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fileSharing readOnlyRecommended="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rosino-my.sharepoint.com/personal/celine_wang_rosinogroup_com/Documents/Desktop/Celine Wang/Petrol Stations/P&amp;L/Source Data Prepare/Credit Fee/Template/"/>
    </mc:Choice>
  </mc:AlternateContent>
  <xr:revisionPtr revIDLastSave="242" documentId="8_{D98B79F7-BAC2-48EE-A321-29CDBDA8B9F4}" xr6:coauthVersionLast="47" xr6:coauthVersionMax="47" xr10:uidLastSave="{42AFA848-7393-4AC2-B00B-B3878327AA68}"/>
  <bookViews>
    <workbookView xWindow="-45" yWindow="135" windowWidth="28770" windowHeight="15450" xr2:uid="{70E35B24-AD63-47B3-A531-BE15E818864B}"/>
  </bookViews>
  <sheets>
    <sheet name="Main" sheetId="8" r:id="rId1"/>
    <sheet name="Output --&gt;" sheetId="10" r:id="rId2"/>
    <sheet name="Credit_CW" sheetId="12" r:id="rId3"/>
    <sheet name="Credit_NP" sheetId="13" r:id="rId4"/>
    <sheet name="Working --&gt;" sheetId="9" r:id="rId5"/>
    <sheet name="Credit_CW_Working" sheetId="2" r:id="rId6"/>
    <sheet name="Credit_NP_Working" sheetId="3" r:id="rId7"/>
    <sheet name="Raw Data --&gt;" sheetId="4" r:id="rId8"/>
    <sheet name="EOD_Credit_CW" sheetId="5" r:id="rId9"/>
    <sheet name="EOD_Credit_NP" sheetId="7" r:id="rId10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F79" i="13" l="1"/>
  <c r="BD79" i="13"/>
  <c r="AX78" i="13"/>
  <c r="AV78" i="13"/>
  <c r="AT78" i="13"/>
  <c r="AR78" i="13"/>
  <c r="AR80" i="13" s="1"/>
  <c r="AP78" i="13"/>
  <c r="J78" i="13"/>
  <c r="F78" i="13"/>
  <c r="AL77" i="13"/>
  <c r="AJ77" i="13"/>
  <c r="AH77" i="13"/>
  <c r="AF77" i="13"/>
  <c r="BL74" i="13"/>
  <c r="BL77" i="13" s="1"/>
  <c r="BH74" i="13"/>
  <c r="BH77" i="13" s="1"/>
  <c r="BF74" i="13"/>
  <c r="BF77" i="13" s="1"/>
  <c r="BD74" i="13"/>
  <c r="BD77" i="13" s="1"/>
  <c r="AR74" i="13"/>
  <c r="AR79" i="13" s="1"/>
  <c r="AP74" i="13"/>
  <c r="AN74" i="13"/>
  <c r="AN79" i="13" s="1"/>
  <c r="AL74" i="13"/>
  <c r="AL79" i="13" s="1"/>
  <c r="X74" i="13"/>
  <c r="X77" i="13" s="1"/>
  <c r="T74" i="13"/>
  <c r="T77" i="13" s="1"/>
  <c r="R74" i="13"/>
  <c r="P74" i="13"/>
  <c r="L74" i="13"/>
  <c r="J74" i="13"/>
  <c r="H74" i="13"/>
  <c r="F74" i="13"/>
  <c r="D74" i="13"/>
  <c r="D77" i="13" s="1"/>
  <c r="BL73" i="13"/>
  <c r="BL78" i="13" s="1"/>
  <c r="AX73" i="13"/>
  <c r="AX76" i="13" s="1"/>
  <c r="AT73" i="13"/>
  <c r="AT76" i="13" s="1"/>
  <c r="AR73" i="13"/>
  <c r="AR76" i="13" s="1"/>
  <c r="AP73" i="13"/>
  <c r="AP76" i="13" s="1"/>
  <c r="AJ73" i="13"/>
  <c r="AH73" i="13"/>
  <c r="AD73" i="13"/>
  <c r="AD78" i="13" s="1"/>
  <c r="AB73" i="13"/>
  <c r="Z73" i="13"/>
  <c r="X73" i="13"/>
  <c r="J73" i="13"/>
  <c r="J76" i="13" s="1"/>
  <c r="F73" i="13"/>
  <c r="F76" i="13" s="1"/>
  <c r="D73" i="13"/>
  <c r="Z67" i="13"/>
  <c r="AF64" i="13"/>
  <c r="T64" i="13"/>
  <c r="R64" i="13"/>
  <c r="AT55" i="13"/>
  <c r="AR55" i="13"/>
  <c r="AQ55" i="13"/>
  <c r="AP55" i="13"/>
  <c r="AO55" i="13"/>
  <c r="AN55" i="13"/>
  <c r="AM55" i="13"/>
  <c r="Z55" i="13"/>
  <c r="T55" i="13"/>
  <c r="S55" i="13"/>
  <c r="G55" i="13"/>
  <c r="F55" i="13"/>
  <c r="D55" i="13"/>
  <c r="C55" i="13"/>
  <c r="BL55" i="13"/>
  <c r="AV55" i="13"/>
  <c r="AU55" i="13"/>
  <c r="AB55" i="13"/>
  <c r="AA55" i="13"/>
  <c r="H55" i="13"/>
  <c r="BM54" i="13" a="1"/>
  <c r="BM54" i="13" s="1"/>
  <c r="BN54" i="13" s="1" a="1"/>
  <c r="BN54" i="13" s="1"/>
  <c r="BK55" i="13"/>
  <c r="BG55" i="13"/>
  <c r="BB55" i="13"/>
  <c r="AY55" i="13"/>
  <c r="AX55" i="13"/>
  <c r="AH55" i="13"/>
  <c r="AE55" i="13"/>
  <c r="AD55" i="13"/>
  <c r="W55" i="13"/>
  <c r="N55" i="13"/>
  <c r="K55" i="13"/>
  <c r="J55" i="13"/>
  <c r="BJ55" i="13"/>
  <c r="BI55" i="13"/>
  <c r="BH55" i="13"/>
  <c r="BF55" i="13"/>
  <c r="BE55" i="13"/>
  <c r="BD55" i="13"/>
  <c r="BC55" i="13"/>
  <c r="BA55" i="13"/>
  <c r="AZ55" i="13"/>
  <c r="AS55" i="13"/>
  <c r="AL55" i="13"/>
  <c r="AK55" i="13"/>
  <c r="AJ55" i="13"/>
  <c r="AI55" i="13"/>
  <c r="AG55" i="13"/>
  <c r="AF55" i="13"/>
  <c r="Y55" i="13"/>
  <c r="X55" i="13"/>
  <c r="V55" i="13"/>
  <c r="U55" i="13"/>
  <c r="R55" i="13"/>
  <c r="Q55" i="13"/>
  <c r="P55" i="13"/>
  <c r="O55" i="13"/>
  <c r="M55" i="13"/>
  <c r="L55" i="13"/>
  <c r="E55" i="13"/>
  <c r="BL49" i="13"/>
  <c r="BK49" i="13"/>
  <c r="BJ49" i="13"/>
  <c r="BA49" i="13"/>
  <c r="AW49" i="13"/>
  <c r="AV49" i="13"/>
  <c r="AR49" i="13"/>
  <c r="AQ49" i="13"/>
  <c r="AP49" i="13"/>
  <c r="AG49" i="13"/>
  <c r="AC49" i="13"/>
  <c r="AB49" i="13"/>
  <c r="X49" i="13"/>
  <c r="W49" i="13"/>
  <c r="V49" i="13"/>
  <c r="U49" i="13"/>
  <c r="T49" i="13"/>
  <c r="M49" i="13"/>
  <c r="D49" i="13"/>
  <c r="C49" i="13"/>
  <c r="BJ74" i="13"/>
  <c r="BJ77" i="13" s="1"/>
  <c r="BG49" i="13"/>
  <c r="BB74" i="13"/>
  <c r="BB77" i="13" s="1"/>
  <c r="AZ74" i="13"/>
  <c r="AX49" i="13"/>
  <c r="AV74" i="13"/>
  <c r="AT49" i="13"/>
  <c r="AM49" i="13"/>
  <c r="AJ74" i="13"/>
  <c r="AJ79" i="13" s="1"/>
  <c r="AH74" i="13"/>
  <c r="AH79" i="13" s="1"/>
  <c r="AF74" i="13"/>
  <c r="AF79" i="13" s="1"/>
  <c r="AB74" i="13"/>
  <c r="AB79" i="13" s="1"/>
  <c r="Z74" i="13"/>
  <c r="Z79" i="13" s="1"/>
  <c r="V74" i="13"/>
  <c r="V77" i="13" s="1"/>
  <c r="S49" i="13"/>
  <c r="BM48" i="13" a="1"/>
  <c r="BM48" i="13" s="1"/>
  <c r="N74" i="13"/>
  <c r="N77" i="13" s="1"/>
  <c r="J49" i="13"/>
  <c r="I49" i="13"/>
  <c r="H49" i="13"/>
  <c r="F49" i="13"/>
  <c r="BJ73" i="13"/>
  <c r="BI49" i="13"/>
  <c r="BH73" i="13"/>
  <c r="BE49" i="13"/>
  <c r="AY49" i="13"/>
  <c r="AV73" i="13"/>
  <c r="AV76" i="13" s="1"/>
  <c r="AU49" i="13"/>
  <c r="AS49" i="13"/>
  <c r="AO49" i="13"/>
  <c r="AK49" i="13"/>
  <c r="AJ49" i="13"/>
  <c r="AH49" i="13"/>
  <c r="AF49" i="13"/>
  <c r="AE49" i="13"/>
  <c r="AA49" i="13"/>
  <c r="Y49" i="13"/>
  <c r="V73" i="13"/>
  <c r="V78" i="13" s="1"/>
  <c r="T73" i="13"/>
  <c r="T78" i="13" s="1"/>
  <c r="Q49" i="13"/>
  <c r="K49" i="13"/>
  <c r="H73" i="13"/>
  <c r="H76" i="13" s="1"/>
  <c r="G49" i="13"/>
  <c r="BI44" i="13"/>
  <c r="BH44" i="13"/>
  <c r="BG44" i="13"/>
  <c r="BF44" i="13"/>
  <c r="AO44" i="13"/>
  <c r="AN44" i="13"/>
  <c r="AN64" i="13" s="1"/>
  <c r="AN67" i="13" s="1"/>
  <c r="AM44" i="13"/>
  <c r="AL44" i="13"/>
  <c r="AL64" i="13" s="1"/>
  <c r="AK44" i="13"/>
  <c r="AJ44" i="13"/>
  <c r="AJ64" i="13" s="1"/>
  <c r="AI44" i="13"/>
  <c r="U44" i="13"/>
  <c r="T44" i="13"/>
  <c r="S44" i="13"/>
  <c r="R44" i="13"/>
  <c r="O44" i="13"/>
  <c r="I44" i="13"/>
  <c r="BL44" i="13"/>
  <c r="BJ44" i="13"/>
  <c r="BC44" i="13"/>
  <c r="AT44" i="13"/>
  <c r="AS44" i="13"/>
  <c r="AR44" i="13"/>
  <c r="AP44" i="13"/>
  <c r="Z44" i="13"/>
  <c r="Z64" i="13" s="1"/>
  <c r="Z69" i="13" s="1"/>
  <c r="Y44" i="13"/>
  <c r="X44" i="13"/>
  <c r="X64" i="13" s="1"/>
  <c r="V44" i="13"/>
  <c r="V64" i="13" s="1"/>
  <c r="F44" i="13"/>
  <c r="E44" i="13"/>
  <c r="D44" i="13"/>
  <c r="BM43" i="13" a="1"/>
  <c r="BM43" i="13" s="1"/>
  <c r="BE44" i="13"/>
  <c r="BD44" i="13"/>
  <c r="BB44" i="13"/>
  <c r="BB64" i="13" s="1"/>
  <c r="BB67" i="13" s="1"/>
  <c r="BA44" i="13"/>
  <c r="AZ44" i="13"/>
  <c r="AZ64" i="13" s="1"/>
  <c r="AZ67" i="13" s="1"/>
  <c r="AY44" i="13"/>
  <c r="AX44" i="13"/>
  <c r="AX64" i="13" s="1"/>
  <c r="AX69" i="13" s="1"/>
  <c r="AW44" i="13"/>
  <c r="AV44" i="13"/>
  <c r="AU44" i="13"/>
  <c r="AH44" i="13"/>
  <c r="AG44" i="13"/>
  <c r="AF44" i="13"/>
  <c r="AE44" i="13"/>
  <c r="AD44" i="13"/>
  <c r="AD64" i="13" s="1"/>
  <c r="AC44" i="13"/>
  <c r="AB44" i="13"/>
  <c r="AB64" i="13" s="1"/>
  <c r="AA44" i="13"/>
  <c r="Q44" i="13"/>
  <c r="P44" i="13"/>
  <c r="N44" i="13"/>
  <c r="N64" i="13" s="1"/>
  <c r="M44" i="13"/>
  <c r="L44" i="13"/>
  <c r="L64" i="13" s="1"/>
  <c r="L69" i="13" s="1"/>
  <c r="K44" i="13"/>
  <c r="J44" i="13"/>
  <c r="J64" i="13" s="1"/>
  <c r="H44" i="13"/>
  <c r="BF39" i="13"/>
  <c r="BD39" i="13"/>
  <c r="BC39" i="13"/>
  <c r="BB39" i="13"/>
  <c r="AZ39" i="13"/>
  <c r="AU39" i="13"/>
  <c r="AO39" i="13"/>
  <c r="AL39" i="13"/>
  <c r="AH39" i="13"/>
  <c r="V39" i="13"/>
  <c r="U39" i="13"/>
  <c r="R39" i="13"/>
  <c r="P39" i="13"/>
  <c r="O39" i="13"/>
  <c r="N39" i="13"/>
  <c r="M39" i="13"/>
  <c r="L39" i="13"/>
  <c r="K39" i="13"/>
  <c r="BI39" i="13"/>
  <c r="BF64" i="13"/>
  <c r="BA39" i="13"/>
  <c r="AY39" i="13"/>
  <c r="AH64" i="13"/>
  <c r="BE39" i="13"/>
  <c r="AV39" i="13"/>
  <c r="AB39" i="13"/>
  <c r="AA39" i="13"/>
  <c r="Q39" i="13"/>
  <c r="H39" i="13"/>
  <c r="G39" i="13"/>
  <c r="AN39" i="13"/>
  <c r="AG39" i="13"/>
  <c r="AF39" i="13"/>
  <c r="AE39" i="13"/>
  <c r="BL39" i="13"/>
  <c r="BK39" i="13"/>
  <c r="BJ39" i="13"/>
  <c r="BH39" i="13"/>
  <c r="AW39" i="13"/>
  <c r="AT39" i="13"/>
  <c r="AS39" i="13"/>
  <c r="AR39" i="13"/>
  <c r="AQ39" i="13"/>
  <c r="AK39" i="13"/>
  <c r="AJ39" i="13"/>
  <c r="AI39" i="13"/>
  <c r="AC39" i="13"/>
  <c r="Z39" i="13"/>
  <c r="Y39" i="13"/>
  <c r="X39" i="13"/>
  <c r="W39" i="13"/>
  <c r="T39" i="13"/>
  <c r="I39" i="13"/>
  <c r="F39" i="13"/>
  <c r="E39" i="13"/>
  <c r="BM35" i="13" a="1"/>
  <c r="BM35" i="13" s="1"/>
  <c r="C39" i="13"/>
  <c r="BA32" i="13"/>
  <c r="AX32" i="13"/>
  <c r="AS32" i="13"/>
  <c r="AO32" i="13"/>
  <c r="AN32" i="13"/>
  <c r="AD32" i="13"/>
  <c r="S32" i="13"/>
  <c r="M32" i="13"/>
  <c r="J32" i="13"/>
  <c r="I32" i="13"/>
  <c r="H32" i="13"/>
  <c r="BG32" i="13"/>
  <c r="BC32" i="13"/>
  <c r="AW32" i="13"/>
  <c r="AI32" i="13"/>
  <c r="AC32" i="13"/>
  <c r="O32" i="13"/>
  <c r="BH32" i="13"/>
  <c r="BH63" i="13" s="1"/>
  <c r="Y32" i="13"/>
  <c r="T32" i="13"/>
  <c r="BL32" i="13"/>
  <c r="BK32" i="13"/>
  <c r="BJ32" i="13"/>
  <c r="BJ63" i="13" s="1"/>
  <c r="AY32" i="13"/>
  <c r="AV32" i="13"/>
  <c r="AU32" i="13"/>
  <c r="AT32" i="13"/>
  <c r="AT63" i="13" s="1"/>
  <c r="AR32" i="13"/>
  <c r="AR63" i="13" s="1"/>
  <c r="AQ32" i="13"/>
  <c r="AP32" i="13"/>
  <c r="AM32" i="13"/>
  <c r="AG32" i="13"/>
  <c r="AE32" i="13"/>
  <c r="AB32" i="13"/>
  <c r="AB63" i="13" s="1"/>
  <c r="AA32" i="13"/>
  <c r="Z32" i="13"/>
  <c r="X32" i="13"/>
  <c r="W32" i="13"/>
  <c r="V32" i="13"/>
  <c r="K32" i="13"/>
  <c r="G32" i="13"/>
  <c r="F32" i="13"/>
  <c r="F63" i="13" s="1"/>
  <c r="D32" i="13"/>
  <c r="AR26" i="13"/>
  <c r="AQ26" i="13"/>
  <c r="Q26" i="13"/>
  <c r="G26" i="13"/>
  <c r="F26" i="13"/>
  <c r="F61" i="13" s="1"/>
  <c r="E26" i="13"/>
  <c r="D26" i="13"/>
  <c r="D61" i="13" s="1"/>
  <c r="AX26" i="13"/>
  <c r="AX61" i="13" s="1"/>
  <c r="AF26" i="13"/>
  <c r="AF61" i="13" s="1"/>
  <c r="K26" i="13"/>
  <c r="J26" i="13"/>
  <c r="J61" i="13" s="1"/>
  <c r="H26" i="13"/>
  <c r="H61" i="13" s="1"/>
  <c r="AK26" i="13"/>
  <c r="AI26" i="13"/>
  <c r="AP26" i="13"/>
  <c r="AP61" i="13" s="1"/>
  <c r="AO26" i="13"/>
  <c r="BM23" i="13" a="1"/>
  <c r="BM23" i="13" s="1"/>
  <c r="AS26" i="13"/>
  <c r="Y26" i="13"/>
  <c r="BM22" i="13" a="1"/>
  <c r="BM22" i="13" s="1"/>
  <c r="BN22" i="13" s="1" a="1"/>
  <c r="BN22" i="13" s="1"/>
  <c r="AU26" i="13"/>
  <c r="BM21" i="13" a="1"/>
  <c r="BM21" i="13" s="1"/>
  <c r="BN21" i="13" s="1" a="1"/>
  <c r="BN21" i="13" s="1"/>
  <c r="BL26" i="13"/>
  <c r="BL61" i="13" s="1"/>
  <c r="BK26" i="13"/>
  <c r="BJ26" i="13"/>
  <c r="BJ61" i="13" s="1"/>
  <c r="BI26" i="13"/>
  <c r="BH26" i="13"/>
  <c r="BH61" i="13" s="1"/>
  <c r="AT26" i="13"/>
  <c r="AT61" i="13" s="1"/>
  <c r="AN26" i="13"/>
  <c r="AN61" i="13" s="1"/>
  <c r="AA26" i="13"/>
  <c r="Z26" i="13"/>
  <c r="Z61" i="13" s="1"/>
  <c r="X26" i="13"/>
  <c r="X61" i="13" s="1"/>
  <c r="W26" i="13"/>
  <c r="V26" i="13"/>
  <c r="V61" i="13" s="1"/>
  <c r="U26" i="13"/>
  <c r="T26" i="13"/>
  <c r="T61" i="13" s="1"/>
  <c r="BI17" i="13"/>
  <c r="BE17" i="13"/>
  <c r="BC17" i="13"/>
  <c r="AZ17" i="13"/>
  <c r="AZ62" i="13" s="1"/>
  <c r="AY17" i="13"/>
  <c r="AE17" i="13"/>
  <c r="U17" i="13"/>
  <c r="BL17" i="13"/>
  <c r="BL62" i="13" s="1"/>
  <c r="V17" i="13"/>
  <c r="V62" i="13" s="1"/>
  <c r="Z17" i="13"/>
  <c r="Z62" i="13" s="1"/>
  <c r="AI17" i="13"/>
  <c r="BM13" i="13" a="1"/>
  <c r="BM13" i="13" s="1"/>
  <c r="AS17" i="13"/>
  <c r="Y17" i="13"/>
  <c r="X17" i="13"/>
  <c r="X62" i="13" s="1"/>
  <c r="W17" i="13"/>
  <c r="O17" i="13"/>
  <c r="K17" i="13"/>
  <c r="BM11" i="13" a="1"/>
  <c r="BM11" i="13" s="1"/>
  <c r="BN11" i="13" s="1" a="1"/>
  <c r="BN11" i="13" s="1"/>
  <c r="BA17" i="13"/>
  <c r="AX17" i="13"/>
  <c r="AX62" i="13" s="1"/>
  <c r="AV17" i="13"/>
  <c r="AV62" i="13" s="1"/>
  <c r="AU17" i="13"/>
  <c r="AG17" i="13"/>
  <c r="AA17" i="13"/>
  <c r="M17" i="13"/>
  <c r="G17" i="13"/>
  <c r="BM10" i="13" a="1"/>
  <c r="BM10" i="13" s="1"/>
  <c r="BL6" i="13"/>
  <c r="BK6" i="13"/>
  <c r="BJ6" i="13"/>
  <c r="BI6" i="13"/>
  <c r="BH6" i="13"/>
  <c r="BG6" i="13"/>
  <c r="BF6" i="13"/>
  <c r="BE6" i="13"/>
  <c r="BD6" i="13"/>
  <c r="BC6" i="13"/>
  <c r="BB6" i="13"/>
  <c r="BA6" i="13"/>
  <c r="AZ6" i="13"/>
  <c r="AY6" i="13"/>
  <c r="AX6" i="13"/>
  <c r="AW6" i="13"/>
  <c r="AV6" i="13"/>
  <c r="AU6" i="13"/>
  <c r="AT6" i="13"/>
  <c r="AS6" i="13"/>
  <c r="AR6" i="13"/>
  <c r="AQ6" i="13"/>
  <c r="AP6" i="13"/>
  <c r="AO6" i="13"/>
  <c r="AN6" i="13"/>
  <c r="AM6" i="13"/>
  <c r="AL6" i="13"/>
  <c r="AK6" i="13"/>
  <c r="AJ6" i="13"/>
  <c r="AI6" i="13"/>
  <c r="AH6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T79" i="13" l="1"/>
  <c r="X79" i="13"/>
  <c r="BB79" i="13"/>
  <c r="T80" i="13"/>
  <c r="N79" i="13"/>
  <c r="BH79" i="13"/>
  <c r="Z77" i="13"/>
  <c r="BJ79" i="13"/>
  <c r="AB77" i="13"/>
  <c r="BL79" i="13"/>
  <c r="BL80" i="13" s="1"/>
  <c r="H63" i="13"/>
  <c r="AX67" i="13"/>
  <c r="AZ69" i="13"/>
  <c r="BL63" i="13"/>
  <c r="T63" i="13"/>
  <c r="V63" i="13"/>
  <c r="X63" i="13"/>
  <c r="X66" i="13" s="1"/>
  <c r="AV63" i="13"/>
  <c r="Z63" i="13"/>
  <c r="Z68" i="13" s="1"/>
  <c r="Z70" i="13" s="1"/>
  <c r="BL68" i="13"/>
  <c r="V69" i="13"/>
  <c r="V67" i="13"/>
  <c r="X69" i="13"/>
  <c r="X67" i="13"/>
  <c r="AU57" i="13"/>
  <c r="BM29" i="13" a="1"/>
  <c r="BM29" i="13" s="1"/>
  <c r="C32" i="13"/>
  <c r="X57" i="13"/>
  <c r="Z78" i="13"/>
  <c r="Z80" i="13" s="1"/>
  <c r="Z76" i="13"/>
  <c r="AZ79" i="13"/>
  <c r="AZ77" i="13"/>
  <c r="BL57" i="13"/>
  <c r="X68" i="13"/>
  <c r="AB69" i="13"/>
  <c r="AB67" i="13"/>
  <c r="BN10" i="13" a="1"/>
  <c r="BN10" i="13" s="1"/>
  <c r="AO17" i="13"/>
  <c r="R49" i="13"/>
  <c r="R73" i="13"/>
  <c r="AL49" i="13"/>
  <c r="AL73" i="13"/>
  <c r="BF49" i="13"/>
  <c r="BF73" i="13"/>
  <c r="AT17" i="13"/>
  <c r="AT62" i="13" s="1"/>
  <c r="AT68" i="13" s="1"/>
  <c r="AP17" i="13"/>
  <c r="AP62" i="13" s="1"/>
  <c r="BJ17" i="13"/>
  <c r="BJ62" i="13" s="1"/>
  <c r="BJ66" i="13" s="1"/>
  <c r="C17" i="13"/>
  <c r="Z66" i="13"/>
  <c r="E32" i="13"/>
  <c r="BM30" i="13" a="1"/>
  <c r="BM30" i="13" s="1"/>
  <c r="BN30" i="13" s="1" a="1"/>
  <c r="BN30" i="13" s="1"/>
  <c r="J69" i="13"/>
  <c r="J67" i="13"/>
  <c r="AD69" i="13"/>
  <c r="AD67" i="13"/>
  <c r="BN43" i="13" a="1"/>
  <c r="BN43" i="13" s="1"/>
  <c r="AA57" i="13"/>
  <c r="R69" i="13"/>
  <c r="R67" i="13"/>
  <c r="BM15" i="13" a="1"/>
  <c r="BM15" i="13" s="1"/>
  <c r="BN15" i="13" s="1" a="1"/>
  <c r="BN15" i="13" s="1"/>
  <c r="V66" i="13"/>
  <c r="V68" i="13"/>
  <c r="V70" i="13" s="1"/>
  <c r="AX57" i="13"/>
  <c r="AV80" i="13"/>
  <c r="H17" i="13"/>
  <c r="H62" i="13" s="1"/>
  <c r="H68" i="13" s="1"/>
  <c r="BB69" i="13"/>
  <c r="AQ17" i="13"/>
  <c r="V80" i="13"/>
  <c r="BJ78" i="13"/>
  <c r="BJ80" i="13" s="1"/>
  <c r="BJ76" i="13"/>
  <c r="J17" i="13"/>
  <c r="J62" i="13" s="1"/>
  <c r="AD17" i="13"/>
  <c r="AD62" i="13" s="1"/>
  <c r="F17" i="13"/>
  <c r="F62" i="13" s="1"/>
  <c r="F68" i="13" s="1"/>
  <c r="AE26" i="13"/>
  <c r="AE57" i="13" s="1"/>
  <c r="AY26" i="13"/>
  <c r="AY57" i="13" s="1"/>
  <c r="BM36" i="13" a="1"/>
  <c r="BM36" i="13" s="1"/>
  <c r="BM39" i="13" s="1"/>
  <c r="BF69" i="13"/>
  <c r="BF67" i="13"/>
  <c r="F79" i="13"/>
  <c r="F80" i="13" s="1"/>
  <c r="F77" i="13"/>
  <c r="T76" i="13"/>
  <c r="AR17" i="13"/>
  <c r="AR62" i="13" s="1"/>
  <c r="AH67" i="13"/>
  <c r="AH69" i="13"/>
  <c r="H57" i="13"/>
  <c r="AB17" i="13"/>
  <c r="AB62" i="13" s="1"/>
  <c r="AF17" i="13"/>
  <c r="AF62" i="13" s="1"/>
  <c r="AK57" i="13"/>
  <c r="H79" i="13"/>
  <c r="H77" i="13"/>
  <c r="V76" i="13"/>
  <c r="AN73" i="13"/>
  <c r="AN49" i="13"/>
  <c r="D17" i="13"/>
  <c r="D62" i="13" s="1"/>
  <c r="AB26" i="13"/>
  <c r="AB61" i="13" s="1"/>
  <c r="AC17" i="13"/>
  <c r="M26" i="13"/>
  <c r="M57" i="13" s="1"/>
  <c r="AG26" i="13"/>
  <c r="AG57" i="13" s="1"/>
  <c r="BA26" i="13"/>
  <c r="BA57" i="13" s="1"/>
  <c r="AV26" i="13"/>
  <c r="AV61" i="13" s="1"/>
  <c r="BN36" i="13" a="1"/>
  <c r="BN36" i="13" s="1"/>
  <c r="BH64" i="13"/>
  <c r="BH49" i="13"/>
  <c r="BH57" i="13" s="1"/>
  <c r="J79" i="13"/>
  <c r="J80" i="13" s="1"/>
  <c r="J77" i="13"/>
  <c r="AL67" i="13"/>
  <c r="AL69" i="13"/>
  <c r="BK17" i="13"/>
  <c r="BL66" i="13"/>
  <c r="AW17" i="13"/>
  <c r="E17" i="13"/>
  <c r="BM12" i="13" a="1"/>
  <c r="BM12" i="13" s="1"/>
  <c r="N26" i="13"/>
  <c r="N61" i="13" s="1"/>
  <c r="AH26" i="13"/>
  <c r="AH61" i="13" s="1"/>
  <c r="BB26" i="13"/>
  <c r="BB61" i="13" s="1"/>
  <c r="L26" i="13"/>
  <c r="L61" i="13" s="1"/>
  <c r="AZ26" i="13"/>
  <c r="AZ61" i="13" s="1"/>
  <c r="BN48" i="13" a="1"/>
  <c r="BN48" i="13" s="1"/>
  <c r="L79" i="13"/>
  <c r="L77" i="13"/>
  <c r="X78" i="13"/>
  <c r="X80" i="13" s="1"/>
  <c r="X76" i="13"/>
  <c r="T69" i="13"/>
  <c r="T67" i="13"/>
  <c r="AD26" i="13"/>
  <c r="AD61" i="13" s="1"/>
  <c r="AR61" i="13"/>
  <c r="BM37" i="13" a="1"/>
  <c r="BM37" i="13" s="1"/>
  <c r="BN37" i="13" s="1" a="1"/>
  <c r="BN37" i="13" s="1"/>
  <c r="BJ64" i="13"/>
  <c r="AO57" i="13"/>
  <c r="P77" i="13"/>
  <c r="P79" i="13"/>
  <c r="G44" i="13"/>
  <c r="G57" i="13" s="1"/>
  <c r="BM16" i="13" a="1"/>
  <c r="BM16" i="13" s="1"/>
  <c r="BN16" i="13" a="1"/>
  <c r="BN16" i="13" s="1"/>
  <c r="I17" i="13"/>
  <c r="L17" i="13"/>
  <c r="L62" i="13" s="1"/>
  <c r="P17" i="13"/>
  <c r="P62" i="13" s="1"/>
  <c r="AJ17" i="13"/>
  <c r="AJ62" i="13" s="1"/>
  <c r="BD17" i="13"/>
  <c r="BD62" i="13" s="1"/>
  <c r="D76" i="13"/>
  <c r="D78" i="13"/>
  <c r="R77" i="13"/>
  <c r="R79" i="13"/>
  <c r="AN63" i="13"/>
  <c r="N67" i="13"/>
  <c r="N69" i="13"/>
  <c r="BH78" i="13"/>
  <c r="BH80" i="13" s="1"/>
  <c r="BH76" i="13"/>
  <c r="D39" i="13"/>
  <c r="D63" i="13" s="1"/>
  <c r="BN35" i="13" a="1"/>
  <c r="BN35" i="13" s="1"/>
  <c r="K57" i="13"/>
  <c r="Q17" i="13"/>
  <c r="AK17" i="13"/>
  <c r="BN13" i="13" a="1"/>
  <c r="BN13" i="13" s="1"/>
  <c r="BM14" i="13" a="1"/>
  <c r="BM14" i="13" s="1"/>
  <c r="BN14" i="13" s="1" a="1"/>
  <c r="BN14" i="13" s="1"/>
  <c r="BE26" i="13"/>
  <c r="O26" i="13"/>
  <c r="BC26" i="13"/>
  <c r="U32" i="13"/>
  <c r="U57" i="13" s="1"/>
  <c r="BI32" i="13"/>
  <c r="BI57" i="13" s="1"/>
  <c r="P32" i="13"/>
  <c r="P63" i="13" s="1"/>
  <c r="AJ32" i="13"/>
  <c r="AJ63" i="13" s="1"/>
  <c r="BD32" i="13"/>
  <c r="BD63" i="13" s="1"/>
  <c r="BL64" i="13"/>
  <c r="AJ67" i="13"/>
  <c r="AJ69" i="13"/>
  <c r="AV79" i="13"/>
  <c r="AV77" i="13"/>
  <c r="V57" i="13"/>
  <c r="P64" i="13"/>
  <c r="BD64" i="13"/>
  <c r="AT57" i="13"/>
  <c r="AB78" i="13"/>
  <c r="AB80" i="13" s="1"/>
  <c r="AB76" i="13"/>
  <c r="N17" i="13"/>
  <c r="N62" i="13" s="1"/>
  <c r="AH17" i="13"/>
  <c r="AH62" i="13" s="1"/>
  <c r="BB17" i="13"/>
  <c r="BB62" i="13" s="1"/>
  <c r="R26" i="13"/>
  <c r="R61" i="13" s="1"/>
  <c r="BN61" i="13" s="1" a="1"/>
  <c r="BN61" i="13" s="1"/>
  <c r="AL26" i="13"/>
  <c r="AL61" i="13" s="1"/>
  <c r="BF26" i="13"/>
  <c r="BF61" i="13" s="1"/>
  <c r="J39" i="13"/>
  <c r="J63" i="13" s="1"/>
  <c r="AD39" i="13"/>
  <c r="AD63" i="13" s="1"/>
  <c r="AX39" i="13"/>
  <c r="AX63" i="13" s="1"/>
  <c r="BM47" i="13" a="1"/>
  <c r="BM47" i="13" s="1"/>
  <c r="BM49" i="13" s="1"/>
  <c r="AN77" i="13"/>
  <c r="S26" i="13"/>
  <c r="AM26" i="13"/>
  <c r="BG26" i="13"/>
  <c r="BN23" i="13" a="1"/>
  <c r="BN23" i="13" s="1"/>
  <c r="Z49" i="13"/>
  <c r="Z57" i="13" s="1"/>
  <c r="AF73" i="13"/>
  <c r="AD76" i="13"/>
  <c r="AR77" i="13"/>
  <c r="AJ26" i="13"/>
  <c r="AJ61" i="13" s="1"/>
  <c r="BM20" i="13" a="1"/>
  <c r="BM20" i="13" s="1"/>
  <c r="BM24" i="13" a="1"/>
  <c r="BM24" i="13" s="1"/>
  <c r="BN24" i="13" s="1" a="1"/>
  <c r="BN24" i="13" s="1"/>
  <c r="AP64" i="13"/>
  <c r="AT74" i="13"/>
  <c r="BN74" i="13" s="1" a="1"/>
  <c r="BN74" i="13" s="1"/>
  <c r="AH78" i="13"/>
  <c r="AH80" i="13" s="1"/>
  <c r="AH76" i="13"/>
  <c r="AJ78" i="13"/>
  <c r="AJ80" i="13" s="1"/>
  <c r="AJ76" i="13"/>
  <c r="AZ32" i="13"/>
  <c r="AZ63" i="13" s="1"/>
  <c r="BG17" i="13"/>
  <c r="N32" i="13"/>
  <c r="N63" i="13" s="1"/>
  <c r="AH32" i="13"/>
  <c r="AH63" i="13" s="1"/>
  <c r="BB32" i="13"/>
  <c r="BB63" i="13" s="1"/>
  <c r="BM31" i="13" a="1"/>
  <c r="BM31" i="13" s="1"/>
  <c r="BN31" i="13" s="1" a="1"/>
  <c r="BN31" i="13" s="1"/>
  <c r="BM38" i="13" a="1"/>
  <c r="BM38" i="13" s="1"/>
  <c r="BN38" i="13" s="1" a="1"/>
  <c r="BN38" i="13" s="1"/>
  <c r="Y57" i="13"/>
  <c r="AS57" i="13"/>
  <c r="BM52" i="13" a="1"/>
  <c r="BM52" i="13" s="1"/>
  <c r="D64" i="13"/>
  <c r="AR64" i="13"/>
  <c r="L73" i="13"/>
  <c r="BN73" i="13" s="1" a="1"/>
  <c r="BN73" i="13" s="1"/>
  <c r="L49" i="13"/>
  <c r="L57" i="13" s="1"/>
  <c r="AZ73" i="13"/>
  <c r="AZ49" i="13"/>
  <c r="BM53" i="13" a="1"/>
  <c r="BM53" i="13" s="1"/>
  <c r="BN53" i="13" s="1" a="1"/>
  <c r="BN53" i="13" s="1"/>
  <c r="AX74" i="13"/>
  <c r="H78" i="13"/>
  <c r="V79" i="13"/>
  <c r="P26" i="13"/>
  <c r="P61" i="13" s="1"/>
  <c r="BM25" i="13" a="1"/>
  <c r="BM25" i="13" s="1"/>
  <c r="BN25" i="13" s="1" a="1"/>
  <c r="BN25" i="13" s="1"/>
  <c r="AD74" i="13"/>
  <c r="AD49" i="13"/>
  <c r="L67" i="13"/>
  <c r="AN69" i="13"/>
  <c r="AF69" i="13"/>
  <c r="AF67" i="13"/>
  <c r="BD26" i="13"/>
  <c r="BD61" i="13" s="1"/>
  <c r="Q32" i="13"/>
  <c r="AK32" i="13"/>
  <c r="BE32" i="13"/>
  <c r="S39" i="13"/>
  <c r="AM39" i="13"/>
  <c r="BG39" i="13"/>
  <c r="BG57" i="13" s="1"/>
  <c r="F64" i="13"/>
  <c r="AT64" i="13"/>
  <c r="N73" i="13"/>
  <c r="N49" i="13"/>
  <c r="BB73" i="13"/>
  <c r="BB49" i="13"/>
  <c r="E49" i="13"/>
  <c r="BL76" i="13"/>
  <c r="AP79" i="13"/>
  <c r="AP80" i="13" s="1"/>
  <c r="AP77" i="13"/>
  <c r="AF32" i="13"/>
  <c r="AF63" i="13" s="1"/>
  <c r="S17" i="13"/>
  <c r="T17" i="13"/>
  <c r="T62" i="13" s="1"/>
  <c r="T66" i="13" s="1"/>
  <c r="R17" i="13"/>
  <c r="R62" i="13" s="1"/>
  <c r="R32" i="13"/>
  <c r="R63" i="13" s="1"/>
  <c r="AL32" i="13"/>
  <c r="AL63" i="13" s="1"/>
  <c r="BF32" i="13"/>
  <c r="BF63" i="13" s="1"/>
  <c r="BM42" i="13" a="1"/>
  <c r="BM42" i="13" s="1"/>
  <c r="BM44" i="13" s="1"/>
  <c r="C44" i="13"/>
  <c r="W44" i="13"/>
  <c r="W57" i="13" s="1"/>
  <c r="AQ44" i="13"/>
  <c r="AQ57" i="13" s="1"/>
  <c r="BK44" i="13"/>
  <c r="O49" i="13"/>
  <c r="AI49" i="13"/>
  <c r="AI57" i="13" s="1"/>
  <c r="BC49" i="13"/>
  <c r="BC57" i="13" s="1"/>
  <c r="I55" i="13"/>
  <c r="AC55" i="13"/>
  <c r="AW55" i="13"/>
  <c r="L32" i="13"/>
  <c r="L63" i="13" s="1"/>
  <c r="AN17" i="13"/>
  <c r="AN62" i="13" s="1"/>
  <c r="AL17" i="13"/>
  <c r="AL62" i="13" s="1"/>
  <c r="I26" i="13"/>
  <c r="AC26" i="13"/>
  <c r="AW26" i="13"/>
  <c r="H64" i="13"/>
  <c r="AV64" i="13"/>
  <c r="P49" i="13"/>
  <c r="P73" i="13"/>
  <c r="BD49" i="13"/>
  <c r="BD73" i="13"/>
  <c r="AM17" i="13"/>
  <c r="BH17" i="13"/>
  <c r="BH62" i="13" s="1"/>
  <c r="BH68" i="13" s="1"/>
  <c r="BF17" i="13"/>
  <c r="BF62" i="13" s="1"/>
  <c r="C26" i="13"/>
  <c r="AP39" i="13"/>
  <c r="AP57" i="13" s="1"/>
  <c r="D79" i="13"/>
  <c r="AF79" i="12"/>
  <c r="AX78" i="12"/>
  <c r="AT78" i="12"/>
  <c r="AR78" i="12"/>
  <c r="AR80" i="12" s="1"/>
  <c r="AN78" i="12"/>
  <c r="AR77" i="12"/>
  <c r="AJ77" i="12"/>
  <c r="AH77" i="12"/>
  <c r="BL74" i="12"/>
  <c r="BL77" i="12" s="1"/>
  <c r="BH74" i="12"/>
  <c r="BH77" i="12" s="1"/>
  <c r="BF74" i="12"/>
  <c r="BF77" i="12" s="1"/>
  <c r="BD74" i="12"/>
  <c r="BD77" i="12" s="1"/>
  <c r="AZ74" i="12"/>
  <c r="AR74" i="12"/>
  <c r="AR79" i="12" s="1"/>
  <c r="AP74" i="12"/>
  <c r="AN74" i="12"/>
  <c r="AN79" i="12" s="1"/>
  <c r="AL74" i="12"/>
  <c r="AL79" i="12" s="1"/>
  <c r="X74" i="12"/>
  <c r="X77" i="12" s="1"/>
  <c r="T74" i="12"/>
  <c r="T77" i="12" s="1"/>
  <c r="R74" i="12"/>
  <c r="R77" i="12" s="1"/>
  <c r="P74" i="12"/>
  <c r="P77" i="12" s="1"/>
  <c r="L74" i="12"/>
  <c r="J74" i="12"/>
  <c r="H74" i="12"/>
  <c r="F74" i="12"/>
  <c r="F79" i="12" s="1"/>
  <c r="D74" i="12"/>
  <c r="D77" i="12" s="1"/>
  <c r="BL73" i="12"/>
  <c r="BL78" i="12" s="1"/>
  <c r="AX73" i="12"/>
  <c r="AX76" i="12" s="1"/>
  <c r="AT73" i="12"/>
  <c r="AT76" i="12" s="1"/>
  <c r="AR73" i="12"/>
  <c r="AR76" i="12" s="1"/>
  <c r="AP73" i="12"/>
  <c r="AP76" i="12" s="1"/>
  <c r="AD73" i="12"/>
  <c r="AD78" i="12" s="1"/>
  <c r="AB73" i="12"/>
  <c r="Z73" i="12"/>
  <c r="Z78" i="12" s="1"/>
  <c r="X73" i="12"/>
  <c r="X78" i="12" s="1"/>
  <c r="J73" i="12"/>
  <c r="J76" i="12" s="1"/>
  <c r="F73" i="12"/>
  <c r="F76" i="12" s="1"/>
  <c r="D73" i="12"/>
  <c r="D76" i="12" s="1"/>
  <c r="AN69" i="12"/>
  <c r="L67" i="12"/>
  <c r="BK55" i="12"/>
  <c r="BG55" i="12"/>
  <c r="AK55" i="12"/>
  <c r="AA55" i="12"/>
  <c r="Z55" i="12"/>
  <c r="W55" i="12"/>
  <c r="S55" i="12"/>
  <c r="AV55" i="12"/>
  <c r="AU55" i="12"/>
  <c r="AT55" i="12"/>
  <c r="AQ55" i="12"/>
  <c r="AB55" i="12"/>
  <c r="H55" i="12"/>
  <c r="G55" i="12"/>
  <c r="F55" i="12"/>
  <c r="C55" i="12"/>
  <c r="BF55" i="12"/>
  <c r="BB55" i="12"/>
  <c r="AX55" i="12"/>
  <c r="AM55" i="12"/>
  <c r="AL55" i="12"/>
  <c r="AH55" i="12"/>
  <c r="AD55" i="12"/>
  <c r="R55" i="12"/>
  <c r="N55" i="12"/>
  <c r="J55" i="12"/>
  <c r="BL55" i="12"/>
  <c r="BJ55" i="12"/>
  <c r="BI55" i="12"/>
  <c r="BH55" i="12"/>
  <c r="BE55" i="12"/>
  <c r="BD55" i="12"/>
  <c r="BC55" i="12"/>
  <c r="BA55" i="12"/>
  <c r="AZ55" i="12"/>
  <c r="AW55" i="12"/>
  <c r="AS55" i="12"/>
  <c r="AR55" i="12"/>
  <c r="AP55" i="12"/>
  <c r="AO55" i="12"/>
  <c r="AN55" i="12"/>
  <c r="AJ55" i="12"/>
  <c r="AI55" i="12"/>
  <c r="AG55" i="12"/>
  <c r="AF55" i="12"/>
  <c r="AC55" i="12"/>
  <c r="Y55" i="12"/>
  <c r="X55" i="12"/>
  <c r="V55" i="12"/>
  <c r="U55" i="12"/>
  <c r="T55" i="12"/>
  <c r="Q55" i="12"/>
  <c r="P55" i="12"/>
  <c r="O55" i="12"/>
  <c r="M55" i="12"/>
  <c r="L55" i="12"/>
  <c r="I55" i="12"/>
  <c r="E55" i="12"/>
  <c r="BL49" i="12"/>
  <c r="BK49" i="12"/>
  <c r="BJ49" i="12"/>
  <c r="BI49" i="12"/>
  <c r="BH49" i="12"/>
  <c r="BG49" i="12"/>
  <c r="AR49" i="12"/>
  <c r="AQ49" i="12"/>
  <c r="AP49" i="12"/>
  <c r="AO49" i="12"/>
  <c r="AN49" i="12"/>
  <c r="AM49" i="12"/>
  <c r="AC49" i="12"/>
  <c r="AB49" i="12"/>
  <c r="Z49" i="12"/>
  <c r="Y49" i="12"/>
  <c r="X49" i="12"/>
  <c r="W49" i="12"/>
  <c r="V49" i="12"/>
  <c r="U49" i="12"/>
  <c r="T49" i="12"/>
  <c r="S49" i="12"/>
  <c r="D49" i="12"/>
  <c r="C49" i="12"/>
  <c r="BM48" i="12" a="1"/>
  <c r="BM48" i="12" s="1"/>
  <c r="BM49" i="12" s="1"/>
  <c r="BJ74" i="12"/>
  <c r="BJ77" i="12" s="1"/>
  <c r="BB74" i="12"/>
  <c r="BB77" i="12" s="1"/>
  <c r="AX49" i="12"/>
  <c r="AW49" i="12"/>
  <c r="AV74" i="12"/>
  <c r="AT74" i="12"/>
  <c r="AS49" i="12"/>
  <c r="AJ74" i="12"/>
  <c r="AJ79" i="12" s="1"/>
  <c r="AH74" i="12"/>
  <c r="AH79" i="12" s="1"/>
  <c r="AF74" i="12"/>
  <c r="AF77" i="12" s="1"/>
  <c r="AB74" i="12"/>
  <c r="AB77" i="12" s="1"/>
  <c r="Z74" i="12"/>
  <c r="Z79" i="12" s="1"/>
  <c r="V74" i="12"/>
  <c r="V77" i="12" s="1"/>
  <c r="N74" i="12"/>
  <c r="N77" i="12" s="1"/>
  <c r="J49" i="12"/>
  <c r="I49" i="12"/>
  <c r="H49" i="12"/>
  <c r="F49" i="12"/>
  <c r="E49" i="12"/>
  <c r="BJ73" i="12"/>
  <c r="BJ78" i="12" s="1"/>
  <c r="BH73" i="12"/>
  <c r="BH78" i="12" s="1"/>
  <c r="BE49" i="12"/>
  <c r="BC49" i="12"/>
  <c r="BA49" i="12"/>
  <c r="AY49" i="12"/>
  <c r="AV73" i="12"/>
  <c r="AV76" i="12" s="1"/>
  <c r="AU49" i="12"/>
  <c r="AN73" i="12"/>
  <c r="AN76" i="12" s="1"/>
  <c r="AL49" i="12"/>
  <c r="AK49" i="12"/>
  <c r="AJ49" i="12"/>
  <c r="AI49" i="12"/>
  <c r="AG49" i="12"/>
  <c r="AF49" i="12"/>
  <c r="AE49" i="12"/>
  <c r="AA49" i="12"/>
  <c r="V73" i="12"/>
  <c r="V78" i="12" s="1"/>
  <c r="T73" i="12"/>
  <c r="T76" i="12" s="1"/>
  <c r="Q49" i="12"/>
  <c r="O49" i="12"/>
  <c r="M49" i="12"/>
  <c r="K49" i="12"/>
  <c r="H73" i="12"/>
  <c r="H76" i="12" s="1"/>
  <c r="BM47" i="12" a="1"/>
  <c r="BM47" i="12" s="1"/>
  <c r="BH44" i="12"/>
  <c r="BG44" i="12"/>
  <c r="BF44" i="12"/>
  <c r="BC44" i="12"/>
  <c r="AN44" i="12"/>
  <c r="AM44" i="12"/>
  <c r="AL44" i="12"/>
  <c r="AK44" i="12"/>
  <c r="AJ44" i="12"/>
  <c r="AJ64" i="12" s="1"/>
  <c r="AI44" i="12"/>
  <c r="Y44" i="12"/>
  <c r="T44" i="12"/>
  <c r="S44" i="12"/>
  <c r="R44" i="12"/>
  <c r="O44" i="12"/>
  <c r="BL44" i="12"/>
  <c r="BL64" i="12" s="1"/>
  <c r="BJ44" i="12"/>
  <c r="BJ64" i="12" s="1"/>
  <c r="BI44" i="12"/>
  <c r="AT44" i="12"/>
  <c r="AS44" i="12"/>
  <c r="AR44" i="12"/>
  <c r="AP44" i="12"/>
  <c r="AO44" i="12"/>
  <c r="Z44" i="12"/>
  <c r="X44" i="12"/>
  <c r="V44" i="12"/>
  <c r="U44" i="12"/>
  <c r="F44" i="12"/>
  <c r="E44" i="12"/>
  <c r="D44" i="12"/>
  <c r="BM43" i="12" a="1"/>
  <c r="BM43" i="12" s="1"/>
  <c r="BE44" i="12"/>
  <c r="BD44" i="12"/>
  <c r="BB44" i="12"/>
  <c r="BA44" i="12"/>
  <c r="AZ44" i="12"/>
  <c r="AZ64" i="12" s="1"/>
  <c r="AZ67" i="12" s="1"/>
  <c r="AY44" i="12"/>
  <c r="AX44" i="12"/>
  <c r="AW44" i="12"/>
  <c r="AV44" i="12"/>
  <c r="AU44" i="12"/>
  <c r="AH44" i="12"/>
  <c r="AG44" i="12"/>
  <c r="AF44" i="12"/>
  <c r="AF64" i="12" s="1"/>
  <c r="AE44" i="12"/>
  <c r="AD44" i="12"/>
  <c r="AD64" i="12" s="1"/>
  <c r="AC44" i="12"/>
  <c r="AB44" i="12"/>
  <c r="AB64" i="12" s="1"/>
  <c r="AA44" i="12"/>
  <c r="Q44" i="12"/>
  <c r="P44" i="12"/>
  <c r="N44" i="12"/>
  <c r="M44" i="12"/>
  <c r="L44" i="12"/>
  <c r="L64" i="12" s="1"/>
  <c r="L69" i="12" s="1"/>
  <c r="K44" i="12"/>
  <c r="J44" i="12"/>
  <c r="I44" i="12"/>
  <c r="H44" i="12"/>
  <c r="G44" i="12"/>
  <c r="AK39" i="12"/>
  <c r="AJ39" i="12"/>
  <c r="AI39" i="12"/>
  <c r="AH39" i="12"/>
  <c r="AG39" i="12"/>
  <c r="AF39" i="12"/>
  <c r="BH64" i="12"/>
  <c r="BF64" i="12"/>
  <c r="AO39" i="12"/>
  <c r="AN64" i="12"/>
  <c r="AN67" i="12" s="1"/>
  <c r="AL64" i="12"/>
  <c r="Z64" i="12"/>
  <c r="V64" i="12"/>
  <c r="T64" i="12"/>
  <c r="R64" i="12"/>
  <c r="BB39" i="12"/>
  <c r="BA39" i="12"/>
  <c r="AZ39" i="12"/>
  <c r="AY39" i="12"/>
  <c r="AU39" i="12"/>
  <c r="AE39" i="12"/>
  <c r="AA39" i="12"/>
  <c r="N39" i="12"/>
  <c r="M39" i="12"/>
  <c r="L39" i="12"/>
  <c r="K39" i="12"/>
  <c r="BM36" i="12" a="1"/>
  <c r="BM36" i="12" s="1"/>
  <c r="G39" i="12"/>
  <c r="BI39" i="12"/>
  <c r="BH39" i="12"/>
  <c r="BF39" i="12"/>
  <c r="BE39" i="12"/>
  <c r="BD39" i="12"/>
  <c r="BC39" i="12"/>
  <c r="AX39" i="12"/>
  <c r="AW39" i="12"/>
  <c r="AD39" i="12"/>
  <c r="AC39" i="12"/>
  <c r="U39" i="12"/>
  <c r="T39" i="12"/>
  <c r="R39" i="12"/>
  <c r="Q39" i="12"/>
  <c r="P39" i="12"/>
  <c r="O39" i="12"/>
  <c r="J39" i="12"/>
  <c r="I39" i="12"/>
  <c r="BK32" i="12"/>
  <c r="AV32" i="12"/>
  <c r="AT32" i="12"/>
  <c r="AS32" i="12"/>
  <c r="AR32" i="12"/>
  <c r="AQ32" i="12"/>
  <c r="W32" i="12"/>
  <c r="H32" i="12"/>
  <c r="F32" i="12"/>
  <c r="E32" i="12"/>
  <c r="D32" i="12"/>
  <c r="C32" i="12"/>
  <c r="AX32" i="12"/>
  <c r="AX63" i="12" s="1"/>
  <c r="AW32" i="12"/>
  <c r="AD32" i="12"/>
  <c r="AC32" i="12"/>
  <c r="AB32" i="12"/>
  <c r="Y32" i="12"/>
  <c r="J32" i="12"/>
  <c r="J63" i="12" s="1"/>
  <c r="I32" i="12"/>
  <c r="BD32" i="12"/>
  <c r="BC32" i="12"/>
  <c r="AZ32" i="12"/>
  <c r="AJ32" i="12"/>
  <c r="AI32" i="12"/>
  <c r="AF32" i="12"/>
  <c r="P32" i="12"/>
  <c r="P63" i="12" s="1"/>
  <c r="O32" i="12"/>
  <c r="L32" i="12"/>
  <c r="BL32" i="12"/>
  <c r="BJ32" i="12"/>
  <c r="BI32" i="12"/>
  <c r="BH32" i="12"/>
  <c r="BG32" i="12"/>
  <c r="BF32" i="12"/>
  <c r="BE32" i="12"/>
  <c r="AU32" i="12"/>
  <c r="AP32" i="12"/>
  <c r="AO32" i="12"/>
  <c r="AN32" i="12"/>
  <c r="AM32" i="12"/>
  <c r="AL32" i="12"/>
  <c r="AK32" i="12"/>
  <c r="AA32" i="12"/>
  <c r="Z32" i="12"/>
  <c r="X32" i="12"/>
  <c r="V32" i="12"/>
  <c r="U32" i="12"/>
  <c r="T32" i="12"/>
  <c r="S32" i="12"/>
  <c r="R32" i="12"/>
  <c r="R63" i="12" s="1"/>
  <c r="Q32" i="12"/>
  <c r="G32" i="12"/>
  <c r="AY26" i="12"/>
  <c r="AX26" i="12"/>
  <c r="AX61" i="12" s="1"/>
  <c r="K26" i="12"/>
  <c r="J26" i="12"/>
  <c r="J61" i="12" s="1"/>
  <c r="BL26" i="12"/>
  <c r="BL61" i="12" s="1"/>
  <c r="BK26" i="12"/>
  <c r="BJ26" i="12"/>
  <c r="BJ61" i="12" s="1"/>
  <c r="BI26" i="12"/>
  <c r="Y26" i="12"/>
  <c r="X26" i="12"/>
  <c r="X61" i="12" s="1"/>
  <c r="W26" i="12"/>
  <c r="V26" i="12"/>
  <c r="V61" i="12" s="1"/>
  <c r="U26" i="12"/>
  <c r="BM23" i="12" a="1"/>
  <c r="BM23" i="12" s="1"/>
  <c r="AV26" i="12"/>
  <c r="AV61" i="12" s="1"/>
  <c r="AU26" i="12"/>
  <c r="AS26" i="12"/>
  <c r="AD26" i="12"/>
  <c r="AD61" i="12" s="1"/>
  <c r="AB26" i="12"/>
  <c r="AB61" i="12" s="1"/>
  <c r="AA26" i="12"/>
  <c r="Z26" i="12"/>
  <c r="Z61" i="12" s="1"/>
  <c r="H26" i="12"/>
  <c r="H61" i="12" s="1"/>
  <c r="G26" i="12"/>
  <c r="BM22" i="12" a="1"/>
  <c r="BM22" i="12" s="1"/>
  <c r="AZ26" i="12"/>
  <c r="AZ61" i="12" s="1"/>
  <c r="AF26" i="12"/>
  <c r="AF61" i="12" s="1"/>
  <c r="AE26" i="12"/>
  <c r="L26" i="12"/>
  <c r="L61" i="12" s="1"/>
  <c r="AT26" i="12"/>
  <c r="AT61" i="12" s="1"/>
  <c r="AR26" i="12"/>
  <c r="AR61" i="12" s="1"/>
  <c r="AQ26" i="12"/>
  <c r="AP26" i="12"/>
  <c r="AP61" i="12" s="1"/>
  <c r="AO26" i="12"/>
  <c r="F26" i="12"/>
  <c r="F61" i="12" s="1"/>
  <c r="D26" i="12"/>
  <c r="D61" i="12" s="1"/>
  <c r="AV17" i="12"/>
  <c r="AV62" i="12" s="1"/>
  <c r="AU17" i="12"/>
  <c r="AT17" i="12"/>
  <c r="AT62" i="12" s="1"/>
  <c r="H17" i="12"/>
  <c r="H62" i="12" s="1"/>
  <c r="G17" i="12"/>
  <c r="F17" i="12"/>
  <c r="F62" i="12" s="1"/>
  <c r="AY17" i="12"/>
  <c r="AX17" i="12"/>
  <c r="AX62" i="12" s="1"/>
  <c r="K17" i="12"/>
  <c r="J17" i="12"/>
  <c r="J62" i="12" s="1"/>
  <c r="BK17" i="12"/>
  <c r="BJ17" i="12"/>
  <c r="BJ62" i="12" s="1"/>
  <c r="BI17" i="12"/>
  <c r="W17" i="12"/>
  <c r="V17" i="12"/>
  <c r="V62" i="12" s="1"/>
  <c r="U17" i="12"/>
  <c r="BM14" i="12" a="1"/>
  <c r="BM14" i="12" s="1"/>
  <c r="BM13" i="12" a="1"/>
  <c r="BM13" i="12" s="1"/>
  <c r="BN13" i="12" s="1" a="1"/>
  <c r="BN13" i="12" s="1"/>
  <c r="AD17" i="12"/>
  <c r="AD62" i="12" s="1"/>
  <c r="Z17" i="12"/>
  <c r="Z62" i="12" s="1"/>
  <c r="Y17" i="12"/>
  <c r="AE17" i="12"/>
  <c r="BM12" i="12" a="1"/>
  <c r="BM12" i="12" s="1"/>
  <c r="BN12" i="12" s="1" a="1"/>
  <c r="BN12" i="12" s="1"/>
  <c r="AP17" i="12"/>
  <c r="AP62" i="12" s="1"/>
  <c r="AO17" i="12"/>
  <c r="BL17" i="12"/>
  <c r="BL62" i="12" s="1"/>
  <c r="BF17" i="12"/>
  <c r="BF62" i="12" s="1"/>
  <c r="BE17" i="12"/>
  <c r="BD17" i="12"/>
  <c r="BD62" i="12" s="1"/>
  <c r="AS17" i="12"/>
  <c r="AR17" i="12"/>
  <c r="AR62" i="12" s="1"/>
  <c r="AQ17" i="12"/>
  <c r="AL17" i="12"/>
  <c r="AL62" i="12" s="1"/>
  <c r="AK17" i="12"/>
  <c r="AJ17" i="12"/>
  <c r="AJ62" i="12" s="1"/>
  <c r="AB17" i="12"/>
  <c r="AB62" i="12" s="1"/>
  <c r="AA17" i="12"/>
  <c r="X17" i="12"/>
  <c r="X62" i="12" s="1"/>
  <c r="R17" i="12"/>
  <c r="R62" i="12" s="1"/>
  <c r="Q17" i="12"/>
  <c r="P17" i="12"/>
  <c r="P62" i="12" s="1"/>
  <c r="E17" i="12"/>
  <c r="D17" i="12"/>
  <c r="D62" i="12" s="1"/>
  <c r="C17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BM55" i="13" l="1"/>
  <c r="E57" i="13"/>
  <c r="J68" i="13"/>
  <c r="J70" i="13" s="1"/>
  <c r="AT66" i="13"/>
  <c r="AF68" i="13"/>
  <c r="AF70" i="13" s="1"/>
  <c r="BE57" i="13"/>
  <c r="AN68" i="13"/>
  <c r="AN70" i="13" s="1"/>
  <c r="BM26" i="13"/>
  <c r="S57" i="13"/>
  <c r="AM57" i="13"/>
  <c r="C57" i="13"/>
  <c r="BF57" i="13"/>
  <c r="Q57" i="13"/>
  <c r="AL57" i="13"/>
  <c r="H66" i="13"/>
  <c r="AW57" i="13"/>
  <c r="AC57" i="13"/>
  <c r="I57" i="13"/>
  <c r="AD57" i="13"/>
  <c r="BM17" i="13"/>
  <c r="BN12" i="13" a="1"/>
  <c r="BN12" i="13" s="1"/>
  <c r="BN17" i="13" s="1"/>
  <c r="AR57" i="13"/>
  <c r="BK57" i="13"/>
  <c r="D68" i="13"/>
  <c r="D66" i="13"/>
  <c r="AX68" i="13"/>
  <c r="AX70" i="13" s="1"/>
  <c r="AX66" i="13"/>
  <c r="AF78" i="13"/>
  <c r="AF80" i="13" s="1"/>
  <c r="AF76" i="13"/>
  <c r="BJ68" i="13"/>
  <c r="BB76" i="13"/>
  <c r="BB78" i="13"/>
  <c r="BB80" i="13" s="1"/>
  <c r="N68" i="13"/>
  <c r="N70" i="13" s="1"/>
  <c r="N66" i="13"/>
  <c r="N57" i="13"/>
  <c r="AD79" i="13"/>
  <c r="AD80" i="13" s="1"/>
  <c r="AD77" i="13"/>
  <c r="BN77" i="13" s="1" a="1"/>
  <c r="BN77" i="13" s="1"/>
  <c r="BJ69" i="13"/>
  <c r="BJ67" i="13"/>
  <c r="AV57" i="13"/>
  <c r="BF76" i="13"/>
  <c r="BF78" i="13"/>
  <c r="BF80" i="13" s="1"/>
  <c r="J66" i="13"/>
  <c r="J57" i="13"/>
  <c r="AR68" i="13"/>
  <c r="AR66" i="13"/>
  <c r="BN20" i="13" a="1"/>
  <c r="BN20" i="13" s="1"/>
  <c r="BN26" i="13" s="1"/>
  <c r="BH66" i="13"/>
  <c r="L68" i="13"/>
  <c r="L70" i="13" s="1"/>
  <c r="L66" i="13"/>
  <c r="F67" i="13"/>
  <c r="F69" i="13"/>
  <c r="F70" i="13" s="1"/>
  <c r="H80" i="13"/>
  <c r="F66" i="13"/>
  <c r="R78" i="13"/>
  <c r="R80" i="13" s="1"/>
  <c r="R76" i="13"/>
  <c r="BM32" i="13"/>
  <c r="D67" i="13"/>
  <c r="BN67" i="13" s="1" a="1"/>
  <c r="BN67" i="13" s="1"/>
  <c r="BN64" i="13" a="1"/>
  <c r="BN64" i="13" s="1"/>
  <c r="D69" i="13"/>
  <c r="BH69" i="13"/>
  <c r="BH70" i="13" s="1"/>
  <c r="BH67" i="13"/>
  <c r="BN39" i="13"/>
  <c r="AF57" i="13"/>
  <c r="P68" i="13"/>
  <c r="P66" i="13"/>
  <c r="BN47" i="13" a="1"/>
  <c r="BN47" i="13" s="1"/>
  <c r="BN49" i="13" s="1"/>
  <c r="AD66" i="13"/>
  <c r="AD68" i="13"/>
  <c r="AD70" i="13" s="1"/>
  <c r="D57" i="13"/>
  <c r="AV69" i="13"/>
  <c r="AV67" i="13"/>
  <c r="AX79" i="13"/>
  <c r="AX80" i="13" s="1"/>
  <c r="AX77" i="13"/>
  <c r="BL69" i="13"/>
  <c r="BL70" i="13" s="1"/>
  <c r="BL67" i="13"/>
  <c r="AB66" i="13"/>
  <c r="AB68" i="13"/>
  <c r="AB70" i="13" s="1"/>
  <c r="R57" i="13"/>
  <c r="BB57" i="13"/>
  <c r="BD78" i="13"/>
  <c r="BD80" i="13" s="1"/>
  <c r="BD76" i="13"/>
  <c r="N78" i="13"/>
  <c r="N80" i="13" s="1"/>
  <c r="N76" i="13"/>
  <c r="AN66" i="13"/>
  <c r="AL78" i="13"/>
  <c r="AL80" i="13" s="1"/>
  <c r="AL76" i="13"/>
  <c r="H67" i="13"/>
  <c r="H69" i="13"/>
  <c r="H70" i="13" s="1"/>
  <c r="BN62" i="13" a="1"/>
  <c r="BN62" i="13" s="1"/>
  <c r="T57" i="13"/>
  <c r="BN29" i="13" a="1"/>
  <c r="BN29" i="13" s="1"/>
  <c r="BN32" i="13" s="1"/>
  <c r="AP63" i="13"/>
  <c r="AF66" i="13"/>
  <c r="D80" i="13"/>
  <c r="AZ68" i="13"/>
  <c r="AZ70" i="13" s="1"/>
  <c r="AZ66" i="13"/>
  <c r="BD69" i="13"/>
  <c r="BD67" i="13"/>
  <c r="BB68" i="13"/>
  <c r="BB70" i="13" s="1"/>
  <c r="BB66" i="13"/>
  <c r="AB57" i="13"/>
  <c r="AH57" i="13"/>
  <c r="BD57" i="13"/>
  <c r="P69" i="13"/>
  <c r="P67" i="13"/>
  <c r="AH68" i="13"/>
  <c r="AH70" i="13" s="1"/>
  <c r="AH66" i="13"/>
  <c r="O57" i="13"/>
  <c r="BJ57" i="13"/>
  <c r="AV68" i="13"/>
  <c r="AV70" i="13" s="1"/>
  <c r="AV66" i="13"/>
  <c r="AZ76" i="13"/>
  <c r="AZ78" i="13"/>
  <c r="AZ80" i="13" s="1"/>
  <c r="BF68" i="13"/>
  <c r="BF70" i="13" s="1"/>
  <c r="BF66" i="13"/>
  <c r="AZ57" i="13"/>
  <c r="AJ57" i="13"/>
  <c r="AN57" i="13"/>
  <c r="X70" i="13"/>
  <c r="BN52" i="13" a="1"/>
  <c r="BN52" i="13" s="1"/>
  <c r="BN55" i="13" s="1"/>
  <c r="AL66" i="13"/>
  <c r="AL68" i="13"/>
  <c r="AL70" i="13" s="1"/>
  <c r="T68" i="13"/>
  <c r="T70" i="13" s="1"/>
  <c r="BD68" i="13"/>
  <c r="BD66" i="13"/>
  <c r="AJ68" i="13"/>
  <c r="AJ70" i="13" s="1"/>
  <c r="AJ66" i="13"/>
  <c r="AT69" i="13"/>
  <c r="AT70" i="13" s="1"/>
  <c r="AT67" i="13"/>
  <c r="L78" i="13"/>
  <c r="L80" i="13" s="1"/>
  <c r="L76" i="13"/>
  <c r="BN76" i="13" s="1" a="1"/>
  <c r="BN76" i="13" s="1"/>
  <c r="AP67" i="13"/>
  <c r="AP69" i="13"/>
  <c r="R68" i="13"/>
  <c r="R70" i="13" s="1"/>
  <c r="R66" i="13"/>
  <c r="BN42" i="13" a="1"/>
  <c r="BN42" i="13" s="1"/>
  <c r="BN44" i="13" s="1"/>
  <c r="AN76" i="13"/>
  <c r="AN78" i="13"/>
  <c r="AN80" i="13" s="1"/>
  <c r="F57" i="13"/>
  <c r="P78" i="13"/>
  <c r="P80" i="13" s="1"/>
  <c r="P76" i="13"/>
  <c r="P57" i="13"/>
  <c r="AT79" i="13"/>
  <c r="AT80" i="13" s="1"/>
  <c r="AT77" i="13"/>
  <c r="AR67" i="13"/>
  <c r="AR69" i="13"/>
  <c r="D78" i="12"/>
  <c r="F78" i="12"/>
  <c r="J78" i="12"/>
  <c r="T78" i="12"/>
  <c r="T80" i="12" s="1"/>
  <c r="AN80" i="12"/>
  <c r="AP78" i="12"/>
  <c r="T79" i="12"/>
  <c r="X79" i="12"/>
  <c r="X80" i="12" s="1"/>
  <c r="AD76" i="12"/>
  <c r="AB79" i="12"/>
  <c r="F80" i="12"/>
  <c r="F77" i="12"/>
  <c r="BB79" i="12"/>
  <c r="Z77" i="12"/>
  <c r="BF79" i="12"/>
  <c r="BH79" i="12"/>
  <c r="BH80" i="12" s="1"/>
  <c r="BL79" i="12"/>
  <c r="BL80" i="12" s="1"/>
  <c r="AZ69" i="12"/>
  <c r="BF63" i="12"/>
  <c r="AD63" i="12"/>
  <c r="BD63" i="12"/>
  <c r="AU57" i="12"/>
  <c r="AO57" i="12"/>
  <c r="R69" i="12"/>
  <c r="R67" i="12"/>
  <c r="X63" i="12"/>
  <c r="X66" i="12" s="1"/>
  <c r="T69" i="12"/>
  <c r="T67" i="12"/>
  <c r="BH69" i="12"/>
  <c r="BH67" i="12"/>
  <c r="AF69" i="12"/>
  <c r="AF67" i="12"/>
  <c r="X57" i="12"/>
  <c r="AR57" i="12"/>
  <c r="BL57" i="12"/>
  <c r="BA57" i="12"/>
  <c r="AJ67" i="12"/>
  <c r="AJ69" i="12"/>
  <c r="X64" i="12"/>
  <c r="BN31" i="12" a="1"/>
  <c r="BN31" i="12" s="1"/>
  <c r="AV79" i="12"/>
  <c r="AV77" i="12"/>
  <c r="BN16" i="12" a="1"/>
  <c r="BN16" i="12" s="1"/>
  <c r="Z69" i="12"/>
  <c r="Z67" i="12"/>
  <c r="T63" i="12"/>
  <c r="Q57" i="12"/>
  <c r="AD66" i="12"/>
  <c r="AD68" i="12"/>
  <c r="BI57" i="12"/>
  <c r="AT77" i="12"/>
  <c r="AT79" i="12"/>
  <c r="AT80" i="12" s="1"/>
  <c r="AB69" i="12"/>
  <c r="AB67" i="12"/>
  <c r="AD69" i="12"/>
  <c r="AD67" i="12"/>
  <c r="AZ63" i="12"/>
  <c r="BH63" i="12"/>
  <c r="U57" i="12"/>
  <c r="AL67" i="12"/>
  <c r="AL69" i="12"/>
  <c r="BN37" i="12" a="1"/>
  <c r="BN37" i="12" s="1"/>
  <c r="BL69" i="12"/>
  <c r="BL67" i="12"/>
  <c r="BF69" i="12"/>
  <c r="BF67" i="12"/>
  <c r="V69" i="12"/>
  <c r="V67" i="12"/>
  <c r="BN22" i="12" a="1"/>
  <c r="BN22" i="12" s="1"/>
  <c r="X68" i="12"/>
  <c r="L63" i="12"/>
  <c r="BJ69" i="12"/>
  <c r="BJ67" i="12"/>
  <c r="AJ26" i="12"/>
  <c r="T17" i="12"/>
  <c r="T62" i="12" s="1"/>
  <c r="R26" i="12"/>
  <c r="R61" i="12" s="1"/>
  <c r="N26" i="12"/>
  <c r="N61" i="12" s="1"/>
  <c r="BG26" i="12"/>
  <c r="T26" i="12"/>
  <c r="T61" i="12" s="1"/>
  <c r="AN26" i="12"/>
  <c r="AN61" i="12" s="1"/>
  <c r="BH26" i="12"/>
  <c r="BH61" i="12" s="1"/>
  <c r="BM24" i="12" a="1"/>
  <c r="BM24" i="12" s="1"/>
  <c r="BN24" i="12" s="1" a="1"/>
  <c r="BN24" i="12" s="1"/>
  <c r="BM29" i="12" a="1"/>
  <c r="BM29" i="12" s="1"/>
  <c r="BN29" i="12" s="1" a="1"/>
  <c r="BN29" i="12" s="1"/>
  <c r="F64" i="12"/>
  <c r="AT64" i="12"/>
  <c r="AF66" i="12"/>
  <c r="L79" i="12"/>
  <c r="L77" i="12"/>
  <c r="AV78" i="12"/>
  <c r="AF63" i="12"/>
  <c r="AI26" i="12"/>
  <c r="BD79" i="12"/>
  <c r="P26" i="12"/>
  <c r="P61" i="12" s="1"/>
  <c r="BN48" i="12" a="1"/>
  <c r="BN48" i="12" s="1"/>
  <c r="AI17" i="12"/>
  <c r="BM15" i="12" a="1"/>
  <c r="BM15" i="12" s="1"/>
  <c r="BN15" i="12" s="1" a="1"/>
  <c r="BN15" i="12" s="1"/>
  <c r="BM20" i="12" a="1"/>
  <c r="BM20" i="12" s="1"/>
  <c r="BN20" i="12" s="1" a="1"/>
  <c r="BN20" i="12" s="1"/>
  <c r="K55" i="12"/>
  <c r="AE55" i="12"/>
  <c r="AY55" i="12"/>
  <c r="AB78" i="12"/>
  <c r="AB76" i="12"/>
  <c r="X76" i="12"/>
  <c r="AL77" i="12"/>
  <c r="J68" i="12"/>
  <c r="AZ79" i="12"/>
  <c r="AZ77" i="12"/>
  <c r="O26" i="12"/>
  <c r="BG17" i="12"/>
  <c r="AP64" i="12"/>
  <c r="BH17" i="12"/>
  <c r="BH62" i="12" s="1"/>
  <c r="AK26" i="12"/>
  <c r="AK57" i="12" s="1"/>
  <c r="BN14" i="12" a="1"/>
  <c r="BN14" i="12" s="1"/>
  <c r="AM26" i="12"/>
  <c r="BM54" i="12" a="1"/>
  <c r="BM54" i="12" s="1"/>
  <c r="BN54" i="12" s="1" a="1"/>
  <c r="BN54" i="12" s="1"/>
  <c r="J64" i="12"/>
  <c r="AX64" i="12"/>
  <c r="N73" i="12"/>
  <c r="N49" i="12"/>
  <c r="AH49" i="12"/>
  <c r="BB73" i="12"/>
  <c r="BB49" i="12"/>
  <c r="AT49" i="12"/>
  <c r="Z76" i="12"/>
  <c r="AN77" i="12"/>
  <c r="AX68" i="12"/>
  <c r="V80" i="12"/>
  <c r="BJ76" i="12"/>
  <c r="AG26" i="12"/>
  <c r="BL76" i="12"/>
  <c r="AL26" i="12"/>
  <c r="AL61" i="12" s="1"/>
  <c r="AL39" i="12"/>
  <c r="AL63" i="12" s="1"/>
  <c r="O17" i="12"/>
  <c r="O57" i="12" s="1"/>
  <c r="AV64" i="12"/>
  <c r="BM16" i="12" a="1"/>
  <c r="BM16" i="12" s="1"/>
  <c r="V39" i="12"/>
  <c r="V57" i="12" s="1"/>
  <c r="AP39" i="12"/>
  <c r="AP57" i="12" s="1"/>
  <c r="BJ39" i="12"/>
  <c r="BJ63" i="12" s="1"/>
  <c r="AV49" i="12"/>
  <c r="J57" i="12"/>
  <c r="AX57" i="12"/>
  <c r="AF73" i="12"/>
  <c r="N79" i="12"/>
  <c r="AN17" i="12"/>
  <c r="AN62" i="12" s="1"/>
  <c r="BN43" i="12" a="1"/>
  <c r="BN43" i="12" s="1"/>
  <c r="J79" i="12"/>
  <c r="J77" i="12"/>
  <c r="AZ73" i="12"/>
  <c r="AZ49" i="12"/>
  <c r="AW17" i="12"/>
  <c r="C39" i="12"/>
  <c r="W39" i="12"/>
  <c r="AQ39" i="12"/>
  <c r="BK39" i="12"/>
  <c r="P49" i="12"/>
  <c r="P73" i="12"/>
  <c r="BD49" i="12"/>
  <c r="BD73" i="12"/>
  <c r="AH73" i="12"/>
  <c r="P79" i="12"/>
  <c r="BN23" i="12" a="1"/>
  <c r="BN23" i="12" s="1"/>
  <c r="Q26" i="12"/>
  <c r="AJ63" i="12"/>
  <c r="BB26" i="12"/>
  <c r="BB61" i="12" s="1"/>
  <c r="D64" i="12"/>
  <c r="BM11" i="12" a="1"/>
  <c r="BM11" i="12" s="1"/>
  <c r="BN11" i="12" s="1" a="1"/>
  <c r="BN11" i="12" s="1"/>
  <c r="C26" i="12"/>
  <c r="D39" i="12"/>
  <c r="D63" i="12" s="1"/>
  <c r="X39" i="12"/>
  <c r="AR39" i="12"/>
  <c r="AR63" i="12" s="1"/>
  <c r="BL39" i="12"/>
  <c r="BL63" i="12" s="1"/>
  <c r="D55" i="12"/>
  <c r="AJ73" i="12"/>
  <c r="AP79" i="12"/>
  <c r="AP80" i="12" s="1"/>
  <c r="AP77" i="12"/>
  <c r="R79" i="12"/>
  <c r="M26" i="12"/>
  <c r="BC26" i="12"/>
  <c r="BC57" i="12" s="1"/>
  <c r="Y57" i="12"/>
  <c r="BF26" i="12"/>
  <c r="BF61" i="12" s="1"/>
  <c r="S39" i="12"/>
  <c r="L73" i="12"/>
  <c r="L49" i="12"/>
  <c r="L57" i="12" s="1"/>
  <c r="V76" i="12"/>
  <c r="BM31" i="12" a="1"/>
  <c r="BM31" i="12" s="1"/>
  <c r="E39" i="12"/>
  <c r="Y39" i="12"/>
  <c r="AS39" i="12"/>
  <c r="BM35" i="12" a="1"/>
  <c r="BM35" i="12" s="1"/>
  <c r="BN35" i="12" s="1" a="1"/>
  <c r="BN35" i="12" s="1"/>
  <c r="N64" i="12"/>
  <c r="AH64" i="12"/>
  <c r="BB64" i="12"/>
  <c r="R49" i="12"/>
  <c r="R57" i="12" s="1"/>
  <c r="R73" i="12"/>
  <c r="BF49" i="12"/>
  <c r="BF73" i="12"/>
  <c r="AX66" i="12"/>
  <c r="AL73" i="12"/>
  <c r="BA26" i="12"/>
  <c r="AM17" i="12"/>
  <c r="BD26" i="12"/>
  <c r="BD61" i="12" s="1"/>
  <c r="BE26" i="12"/>
  <c r="BE57" i="12" s="1"/>
  <c r="BM52" i="12" a="1"/>
  <c r="BM52" i="12" s="1"/>
  <c r="BN52" i="12" s="1" a="1"/>
  <c r="BN52" i="12" s="1"/>
  <c r="AR64" i="12"/>
  <c r="J66" i="12"/>
  <c r="BJ79" i="12"/>
  <c r="BJ80" i="12" s="1"/>
  <c r="AA57" i="12"/>
  <c r="BM10" i="12" a="1"/>
  <c r="BM10" i="12" s="1"/>
  <c r="BN10" i="12" s="1" a="1"/>
  <c r="BN10" i="12" s="1"/>
  <c r="AM39" i="12"/>
  <c r="AM57" i="12" s="1"/>
  <c r="H64" i="12"/>
  <c r="AD74" i="12"/>
  <c r="AD49" i="12"/>
  <c r="AD57" i="12" s="1"/>
  <c r="AC17" i="12"/>
  <c r="K32" i="12"/>
  <c r="AY32" i="12"/>
  <c r="L17" i="12"/>
  <c r="L62" i="12" s="1"/>
  <c r="L68" i="12" s="1"/>
  <c r="L70" i="12" s="1"/>
  <c r="AF17" i="12"/>
  <c r="AF62" i="12" s="1"/>
  <c r="AF68" i="12" s="1"/>
  <c r="AZ17" i="12"/>
  <c r="AZ62" i="12" s="1"/>
  <c r="AZ66" i="12" s="1"/>
  <c r="BM21" i="12" a="1"/>
  <c r="BM21" i="12" s="1"/>
  <c r="BN21" i="12" s="1" a="1"/>
  <c r="BN21" i="12" s="1"/>
  <c r="F39" i="12"/>
  <c r="F57" i="12" s="1"/>
  <c r="Z39" i="12"/>
  <c r="Z63" i="12" s="1"/>
  <c r="AT39" i="12"/>
  <c r="AT63" i="12" s="1"/>
  <c r="AT68" i="12" s="1"/>
  <c r="V79" i="12"/>
  <c r="S17" i="12"/>
  <c r="BM38" i="12" a="1"/>
  <c r="BM38" i="12" s="1"/>
  <c r="BN38" i="12" s="1" a="1"/>
  <c r="BN38" i="12" s="1"/>
  <c r="AS57" i="12"/>
  <c r="H79" i="12"/>
  <c r="H77" i="12"/>
  <c r="BC17" i="12"/>
  <c r="BG39" i="12"/>
  <c r="I17" i="12"/>
  <c r="E26" i="12"/>
  <c r="E57" i="12" s="1"/>
  <c r="AE32" i="12"/>
  <c r="I26" i="12"/>
  <c r="I57" i="12" s="1"/>
  <c r="AC26" i="12"/>
  <c r="AC57" i="12" s="1"/>
  <c r="AW26" i="12"/>
  <c r="AW57" i="12" s="1"/>
  <c r="M17" i="12"/>
  <c r="AG17" i="12"/>
  <c r="BA17" i="12"/>
  <c r="M32" i="12"/>
  <c r="AG32" i="12"/>
  <c r="AG57" i="12" s="1"/>
  <c r="BA32" i="12"/>
  <c r="P64" i="12"/>
  <c r="BD64" i="12"/>
  <c r="H78" i="12"/>
  <c r="BM37" i="12" a="1"/>
  <c r="BM37" i="12" s="1"/>
  <c r="D79" i="12"/>
  <c r="D80" i="12" s="1"/>
  <c r="BN47" i="12" a="1"/>
  <c r="BN47" i="12" s="1"/>
  <c r="BN49" i="12" s="1"/>
  <c r="AH26" i="12"/>
  <c r="AH61" i="12" s="1"/>
  <c r="S26" i="12"/>
  <c r="AN39" i="12"/>
  <c r="AN63" i="12" s="1"/>
  <c r="BM25" i="12" a="1"/>
  <c r="BM25" i="12" s="1"/>
  <c r="BN25" i="12" s="1" a="1"/>
  <c r="BN25" i="12" s="1"/>
  <c r="Z80" i="12"/>
  <c r="N17" i="12"/>
  <c r="N62" i="12" s="1"/>
  <c r="AH17" i="12"/>
  <c r="AH62" i="12" s="1"/>
  <c r="BB17" i="12"/>
  <c r="BB62" i="12" s="1"/>
  <c r="N32" i="12"/>
  <c r="N63" i="12" s="1"/>
  <c r="AH32" i="12"/>
  <c r="AH63" i="12" s="1"/>
  <c r="BB32" i="12"/>
  <c r="BB63" i="12" s="1"/>
  <c r="H39" i="12"/>
  <c r="H57" i="12" s="1"/>
  <c r="AB39" i="12"/>
  <c r="AB63" i="12" s="1"/>
  <c r="AV39" i="12"/>
  <c r="AV63" i="12" s="1"/>
  <c r="AV68" i="12" s="1"/>
  <c r="BN36" i="12" a="1"/>
  <c r="BN36" i="12" s="1"/>
  <c r="BM42" i="12" a="1"/>
  <c r="BM42" i="12" s="1"/>
  <c r="W44" i="12"/>
  <c r="W57" i="12" s="1"/>
  <c r="AQ44" i="12"/>
  <c r="AQ57" i="12" s="1"/>
  <c r="BK44" i="12"/>
  <c r="BK57" i="12" s="1"/>
  <c r="AX74" i="12"/>
  <c r="BN74" i="12" s="1" a="1"/>
  <c r="BN74" i="12" s="1"/>
  <c r="BH76" i="12"/>
  <c r="J80" i="12"/>
  <c r="C44" i="12"/>
  <c r="C57" i="12" s="1"/>
  <c r="G49" i="12"/>
  <c r="G57" i="12" s="1"/>
  <c r="BM30" i="12" a="1"/>
  <c r="BM30" i="12" s="1"/>
  <c r="BN30" i="12" s="1" a="1"/>
  <c r="BN30" i="12" s="1"/>
  <c r="BM53" i="12" a="1"/>
  <c r="BM53" i="12" s="1"/>
  <c r="BN53" i="12" s="1" a="1"/>
  <c r="BN53" i="12" s="1"/>
  <c r="BN78" i="13" l="1" a="1"/>
  <c r="BN78" i="13" s="1"/>
  <c r="BM57" i="13"/>
  <c r="AP66" i="13"/>
  <c r="AP68" i="13"/>
  <c r="AP70" i="13" s="1"/>
  <c r="BD70" i="13"/>
  <c r="BN57" i="13"/>
  <c r="P70" i="13"/>
  <c r="BN80" i="13"/>
  <c r="AR70" i="13"/>
  <c r="BJ70" i="13"/>
  <c r="BN66" i="13" a="1"/>
  <c r="BN66" i="13" s="1"/>
  <c r="BN79" i="13" a="1"/>
  <c r="BN79" i="13" s="1"/>
  <c r="D70" i="13"/>
  <c r="BN70" i="13" s="1"/>
  <c r="BN68" i="13" a="1"/>
  <c r="BN68" i="13" s="1"/>
  <c r="BN69" i="13" a="1"/>
  <c r="BN69" i="13" s="1"/>
  <c r="BN63" i="13" a="1"/>
  <c r="BN63" i="13" s="1"/>
  <c r="H80" i="12"/>
  <c r="AB80" i="12"/>
  <c r="AF70" i="12"/>
  <c r="AD70" i="12"/>
  <c r="AR66" i="12"/>
  <c r="AR68" i="12"/>
  <c r="AT57" i="12"/>
  <c r="H63" i="12"/>
  <c r="H68" i="12" s="1"/>
  <c r="AP63" i="12"/>
  <c r="AP68" i="12" s="1"/>
  <c r="M57" i="12"/>
  <c r="AY57" i="12"/>
  <c r="BN32" i="12"/>
  <c r="BB57" i="12"/>
  <c r="H66" i="12"/>
  <c r="BG57" i="12"/>
  <c r="BF57" i="12"/>
  <c r="S57" i="12"/>
  <c r="AH57" i="12"/>
  <c r="AZ57" i="12"/>
  <c r="AN57" i="12"/>
  <c r="AB66" i="12"/>
  <c r="AB68" i="12"/>
  <c r="AB70" i="12" s="1"/>
  <c r="BJ66" i="12"/>
  <c r="BJ68" i="12"/>
  <c r="BJ70" i="12" s="1"/>
  <c r="D68" i="12"/>
  <c r="D66" i="12"/>
  <c r="BL68" i="12"/>
  <c r="BL70" i="12" s="1"/>
  <c r="BL66" i="12"/>
  <c r="Z66" i="12"/>
  <c r="Z68" i="12"/>
  <c r="Z70" i="12" s="1"/>
  <c r="Z57" i="12"/>
  <c r="BF76" i="12"/>
  <c r="BF78" i="12"/>
  <c r="BF80" i="12" s="1"/>
  <c r="J69" i="12"/>
  <c r="J70" i="12" s="1"/>
  <c r="J67" i="12"/>
  <c r="BM26" i="12"/>
  <c r="T66" i="12"/>
  <c r="T68" i="12"/>
  <c r="T70" i="12" s="1"/>
  <c r="BN62" i="12" a="1"/>
  <c r="BN62" i="12" s="1"/>
  <c r="BH66" i="12"/>
  <c r="BH68" i="12"/>
  <c r="BH70" i="12" s="1"/>
  <c r="BB69" i="12"/>
  <c r="BB67" i="12"/>
  <c r="AF78" i="12"/>
  <c r="AF80" i="12" s="1"/>
  <c r="AF76" i="12"/>
  <c r="P68" i="12"/>
  <c r="P66" i="12"/>
  <c r="X69" i="12"/>
  <c r="X70" i="12" s="1"/>
  <c r="X67" i="12"/>
  <c r="BN39" i="12"/>
  <c r="V63" i="12"/>
  <c r="AH68" i="12"/>
  <c r="AH66" i="12"/>
  <c r="BN55" i="12"/>
  <c r="AV57" i="12"/>
  <c r="AJ57" i="12"/>
  <c r="AJ61" i="12"/>
  <c r="BN61" i="12" s="1" a="1"/>
  <c r="BN61" i="12" s="1"/>
  <c r="AL57" i="12"/>
  <c r="BN17" i="12"/>
  <c r="AE57" i="12"/>
  <c r="L66" i="12"/>
  <c r="AB57" i="12"/>
  <c r="F67" i="12"/>
  <c r="F69" i="12"/>
  <c r="BM39" i="12"/>
  <c r="AJ78" i="12"/>
  <c r="AJ80" i="12" s="1"/>
  <c r="AJ76" i="12"/>
  <c r="BD57" i="12"/>
  <c r="AP67" i="12"/>
  <c r="AP69" i="12"/>
  <c r="AP70" i="12" s="1"/>
  <c r="AI57" i="12"/>
  <c r="BJ57" i="12"/>
  <c r="F63" i="12"/>
  <c r="BN26" i="12"/>
  <c r="BM32" i="12"/>
  <c r="AV67" i="12"/>
  <c r="AV69" i="12"/>
  <c r="AV70" i="12" s="1"/>
  <c r="BB68" i="12"/>
  <c r="BB66" i="12"/>
  <c r="BF68" i="12"/>
  <c r="BF70" i="12" s="1"/>
  <c r="BF66" i="12"/>
  <c r="BM17" i="12"/>
  <c r="D57" i="12"/>
  <c r="P78" i="12"/>
  <c r="P80" i="12" s="1"/>
  <c r="P76" i="12"/>
  <c r="BH57" i="12"/>
  <c r="BD68" i="12"/>
  <c r="BD70" i="12" s="1"/>
  <c r="BD66" i="12"/>
  <c r="D67" i="12"/>
  <c r="D69" i="12"/>
  <c r="BN64" i="12" a="1"/>
  <c r="BN64" i="12" s="1"/>
  <c r="AL78" i="12"/>
  <c r="AL80" i="12" s="1"/>
  <c r="AL76" i="12"/>
  <c r="N76" i="12"/>
  <c r="N78" i="12"/>
  <c r="N80" i="12" s="1"/>
  <c r="AX79" i="12"/>
  <c r="AX80" i="12" s="1"/>
  <c r="AX77" i="12"/>
  <c r="AX69" i="12"/>
  <c r="AX70" i="12" s="1"/>
  <c r="AX67" i="12"/>
  <c r="AZ68" i="12"/>
  <c r="AZ70" i="12" s="1"/>
  <c r="AL66" i="12"/>
  <c r="AL68" i="12"/>
  <c r="AL70" i="12" s="1"/>
  <c r="BD69" i="12"/>
  <c r="BD67" i="12"/>
  <c r="AH67" i="12"/>
  <c r="AH69" i="12"/>
  <c r="P69" i="12"/>
  <c r="P67" i="12"/>
  <c r="P57" i="12"/>
  <c r="AV80" i="12"/>
  <c r="AT69" i="12"/>
  <c r="AT70" i="12" s="1"/>
  <c r="AT67" i="12"/>
  <c r="L78" i="12"/>
  <c r="L76" i="12"/>
  <c r="BN73" i="12" a="1"/>
  <c r="BN73" i="12" s="1"/>
  <c r="N57" i="12"/>
  <c r="BN42" i="12" a="1"/>
  <c r="BN42" i="12" s="1"/>
  <c r="BN44" i="12" s="1"/>
  <c r="BM44" i="12"/>
  <c r="H67" i="12"/>
  <c r="H69" i="12"/>
  <c r="H70" i="12" s="1"/>
  <c r="R68" i="12"/>
  <c r="R70" i="12" s="1"/>
  <c r="R66" i="12"/>
  <c r="AH78" i="12"/>
  <c r="AH80" i="12" s="1"/>
  <c r="AH76" i="12"/>
  <c r="N69" i="12"/>
  <c r="N67" i="12"/>
  <c r="AR67" i="12"/>
  <c r="AR69" i="12"/>
  <c r="AR70" i="12" s="1"/>
  <c r="AV66" i="12"/>
  <c r="AT66" i="12"/>
  <c r="BB76" i="12"/>
  <c r="BB78" i="12"/>
  <c r="BB80" i="12" s="1"/>
  <c r="AZ78" i="12"/>
  <c r="AZ80" i="12" s="1"/>
  <c r="AZ76" i="12"/>
  <c r="K57" i="12"/>
  <c r="AN66" i="12"/>
  <c r="AN68" i="12"/>
  <c r="AN70" i="12" s="1"/>
  <c r="AD79" i="12"/>
  <c r="AD80" i="12" s="1"/>
  <c r="AD77" i="12"/>
  <c r="BN77" i="12" s="1" a="1"/>
  <c r="BN77" i="12" s="1"/>
  <c r="R78" i="12"/>
  <c r="R80" i="12" s="1"/>
  <c r="R76" i="12"/>
  <c r="N68" i="12"/>
  <c r="N66" i="12"/>
  <c r="BD78" i="12"/>
  <c r="BD80" i="12" s="1"/>
  <c r="BD76" i="12"/>
  <c r="BM55" i="12"/>
  <c r="AF57" i="12"/>
  <c r="T57" i="12"/>
  <c r="BB70" i="12" l="1"/>
  <c r="BN63" i="12" a="1"/>
  <c r="BN63" i="12" s="1"/>
  <c r="AP66" i="12"/>
  <c r="P70" i="12"/>
  <c r="BM57" i="12"/>
  <c r="N70" i="12"/>
  <c r="V68" i="12"/>
  <c r="V70" i="12" s="1"/>
  <c r="V66" i="12"/>
  <c r="D70" i="12"/>
  <c r="BN76" i="12" a="1"/>
  <c r="BN76" i="12" s="1"/>
  <c r="AJ68" i="12"/>
  <c r="AJ70" i="12" s="1"/>
  <c r="AJ66" i="12"/>
  <c r="F66" i="12"/>
  <c r="F68" i="12"/>
  <c r="F70" i="12" s="1"/>
  <c r="BN57" i="12"/>
  <c r="BN69" i="12" a="1"/>
  <c r="BN69" i="12" s="1"/>
  <c r="BN66" i="12" a="1"/>
  <c r="BN66" i="12" s="1"/>
  <c r="BN67" i="12" a="1"/>
  <c r="BN67" i="12" s="1"/>
  <c r="L80" i="12"/>
  <c r="BN80" i="12" s="1"/>
  <c r="BN78" i="12" a="1"/>
  <c r="BN78" i="12" s="1"/>
  <c r="BN79" i="12" a="1"/>
  <c r="BN79" i="12" s="1"/>
  <c r="AH70" i="12"/>
  <c r="C11" i="2"/>
  <c r="BL54" i="2"/>
  <c r="BK54" i="2"/>
  <c r="BJ54" i="2"/>
  <c r="BI54" i="2"/>
  <c r="BH54" i="2"/>
  <c r="BG54" i="2"/>
  <c r="BF54" i="2"/>
  <c r="BE54" i="2"/>
  <c r="BD54" i="2"/>
  <c r="BC54" i="2"/>
  <c r="BB54" i="2"/>
  <c r="BA54" i="2"/>
  <c r="AZ54" i="2"/>
  <c r="AY54" i="2"/>
  <c r="AX54" i="2"/>
  <c r="AW54" i="2"/>
  <c r="AV54" i="2"/>
  <c r="AU54" i="2"/>
  <c r="AT54" i="2"/>
  <c r="AS54" i="2"/>
  <c r="AR54" i="2"/>
  <c r="AQ54" i="2"/>
  <c r="AP54" i="2"/>
  <c r="AO54" i="2"/>
  <c r="AN54" i="2"/>
  <c r="AM54" i="2"/>
  <c r="AL54" i="2"/>
  <c r="AK54" i="2"/>
  <c r="AJ54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BL53" i="2"/>
  <c r="BK53" i="2"/>
  <c r="BJ53" i="2"/>
  <c r="BI53" i="2"/>
  <c r="BH53" i="2"/>
  <c r="BG53" i="2"/>
  <c r="BF53" i="2"/>
  <c r="BE53" i="2"/>
  <c r="BD53" i="2"/>
  <c r="BC53" i="2"/>
  <c r="BB53" i="2"/>
  <c r="BA53" i="2"/>
  <c r="AZ53" i="2"/>
  <c r="AY53" i="2"/>
  <c r="AX53" i="2"/>
  <c r="AW53" i="2"/>
  <c r="AV53" i="2"/>
  <c r="AU53" i="2"/>
  <c r="AT53" i="2"/>
  <c r="AS53" i="2"/>
  <c r="AR53" i="2"/>
  <c r="AQ53" i="2"/>
  <c r="AP53" i="2"/>
  <c r="AO53" i="2"/>
  <c r="AN53" i="2"/>
  <c r="AM53" i="2"/>
  <c r="AL53" i="2"/>
  <c r="AK53" i="2"/>
  <c r="AJ53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BL52" i="2"/>
  <c r="BK52" i="2"/>
  <c r="BJ52" i="2"/>
  <c r="BI52" i="2"/>
  <c r="BH52" i="2"/>
  <c r="BG52" i="2"/>
  <c r="BF52" i="2"/>
  <c r="BE52" i="2"/>
  <c r="BD52" i="2"/>
  <c r="BC52" i="2"/>
  <c r="BB52" i="2"/>
  <c r="BA52" i="2"/>
  <c r="AZ52" i="2"/>
  <c r="AY52" i="2"/>
  <c r="AX52" i="2"/>
  <c r="AW52" i="2"/>
  <c r="AV52" i="2"/>
  <c r="AU52" i="2"/>
  <c r="AT52" i="2"/>
  <c r="AS52" i="2"/>
  <c r="AR52" i="2"/>
  <c r="AQ52" i="2"/>
  <c r="AP52" i="2"/>
  <c r="AO52" i="2"/>
  <c r="AN52" i="2"/>
  <c r="AM52" i="2"/>
  <c r="AL52" i="2"/>
  <c r="AK52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BL48" i="2"/>
  <c r="BL74" i="2" s="1"/>
  <c r="BK48" i="2"/>
  <c r="BJ48" i="2"/>
  <c r="BJ74" i="2" s="1"/>
  <c r="BI48" i="2"/>
  <c r="BH48" i="2"/>
  <c r="BH74" i="2" s="1"/>
  <c r="BG48" i="2"/>
  <c r="BF48" i="2"/>
  <c r="BF74" i="2" s="1"/>
  <c r="BE48" i="2"/>
  <c r="BD48" i="2"/>
  <c r="BD74" i="2" s="1"/>
  <c r="BC48" i="2"/>
  <c r="BB48" i="2"/>
  <c r="BB74" i="2" s="1"/>
  <c r="BA48" i="2"/>
  <c r="AZ48" i="2"/>
  <c r="AZ74" i="2" s="1"/>
  <c r="AY48" i="2"/>
  <c r="AX48" i="2"/>
  <c r="AX74" i="2" s="1"/>
  <c r="AW48" i="2"/>
  <c r="AV48" i="2"/>
  <c r="AV74" i="2" s="1"/>
  <c r="AU48" i="2"/>
  <c r="AT48" i="2"/>
  <c r="AT74" i="2" s="1"/>
  <c r="AS48" i="2"/>
  <c r="AR48" i="2"/>
  <c r="AR74" i="2" s="1"/>
  <c r="AQ48" i="2"/>
  <c r="AP48" i="2"/>
  <c r="AP74" i="2" s="1"/>
  <c r="AO48" i="2"/>
  <c r="AN48" i="2"/>
  <c r="AN74" i="2" s="1"/>
  <c r="AM48" i="2"/>
  <c r="AL48" i="2"/>
  <c r="AL74" i="2" s="1"/>
  <c r="AK48" i="2"/>
  <c r="AJ48" i="2"/>
  <c r="AJ74" i="2" s="1"/>
  <c r="AI48" i="2"/>
  <c r="AH48" i="2"/>
  <c r="AH74" i="2" s="1"/>
  <c r="AG48" i="2"/>
  <c r="AF48" i="2"/>
  <c r="AF74" i="2" s="1"/>
  <c r="AE48" i="2"/>
  <c r="AD48" i="2"/>
  <c r="AD74" i="2" s="1"/>
  <c r="AC48" i="2"/>
  <c r="AB48" i="2"/>
  <c r="AB74" i="2" s="1"/>
  <c r="AA48" i="2"/>
  <c r="Z48" i="2"/>
  <c r="Z74" i="2" s="1"/>
  <c r="Y48" i="2"/>
  <c r="X48" i="2"/>
  <c r="X74" i="2" s="1"/>
  <c r="W48" i="2"/>
  <c r="V48" i="2"/>
  <c r="V74" i="2" s="1"/>
  <c r="U48" i="2"/>
  <c r="T48" i="2"/>
  <c r="T74" i="2" s="1"/>
  <c r="S48" i="2"/>
  <c r="R48" i="2"/>
  <c r="R74" i="2" s="1"/>
  <c r="Q48" i="2"/>
  <c r="P48" i="2"/>
  <c r="P74" i="2" s="1"/>
  <c r="O48" i="2"/>
  <c r="N48" i="2"/>
  <c r="N74" i="2" s="1"/>
  <c r="M48" i="2"/>
  <c r="L48" i="2"/>
  <c r="L74" i="2" s="1"/>
  <c r="K48" i="2"/>
  <c r="J48" i="2"/>
  <c r="J74" i="2" s="1"/>
  <c r="I48" i="2"/>
  <c r="H48" i="2"/>
  <c r="H74" i="2" s="1"/>
  <c r="G48" i="2"/>
  <c r="F48" i="2"/>
  <c r="F74" i="2" s="1"/>
  <c r="E48" i="2"/>
  <c r="D48" i="2"/>
  <c r="D74" i="2" s="1"/>
  <c r="C48" i="2"/>
  <c r="BL47" i="2"/>
  <c r="BK47" i="2"/>
  <c r="BJ47" i="2"/>
  <c r="BJ73" i="2" s="1"/>
  <c r="BI47" i="2"/>
  <c r="BH47" i="2"/>
  <c r="BG47" i="2"/>
  <c r="BF47" i="2"/>
  <c r="BF73" i="2" s="1"/>
  <c r="BE47" i="2"/>
  <c r="BD47" i="2"/>
  <c r="BD73" i="2" s="1"/>
  <c r="BC47" i="2"/>
  <c r="BB47" i="2"/>
  <c r="BB73" i="2" s="1"/>
  <c r="BA47" i="2"/>
  <c r="AZ47" i="2"/>
  <c r="AZ73" i="2" s="1"/>
  <c r="AY47" i="2"/>
  <c r="AX47" i="2"/>
  <c r="AX73" i="2" s="1"/>
  <c r="AW47" i="2"/>
  <c r="AV47" i="2"/>
  <c r="AV73" i="2" s="1"/>
  <c r="AU47" i="2"/>
  <c r="AT47" i="2"/>
  <c r="AT73" i="2" s="1"/>
  <c r="AS47" i="2"/>
  <c r="AR47" i="2"/>
  <c r="AR73" i="2" s="1"/>
  <c r="AQ47" i="2"/>
  <c r="AP47" i="2"/>
  <c r="AP73" i="2" s="1"/>
  <c r="AO47" i="2"/>
  <c r="AN47" i="2"/>
  <c r="AN73" i="2" s="1"/>
  <c r="AM47" i="2"/>
  <c r="AL47" i="2"/>
  <c r="AL73" i="2" s="1"/>
  <c r="AK47" i="2"/>
  <c r="AJ47" i="2"/>
  <c r="AJ73" i="2" s="1"/>
  <c r="AI47" i="2"/>
  <c r="AH47" i="2"/>
  <c r="AH73" i="2" s="1"/>
  <c r="AG47" i="2"/>
  <c r="AF47" i="2"/>
  <c r="AF73" i="2" s="1"/>
  <c r="AE47" i="2"/>
  <c r="AD47" i="2"/>
  <c r="AD73" i="2" s="1"/>
  <c r="AC47" i="2"/>
  <c r="AB47" i="2"/>
  <c r="AB73" i="2" s="1"/>
  <c r="AA47" i="2"/>
  <c r="Z47" i="2"/>
  <c r="Z73" i="2" s="1"/>
  <c r="Y47" i="2"/>
  <c r="X47" i="2"/>
  <c r="W47" i="2"/>
  <c r="V47" i="2"/>
  <c r="V73" i="2" s="1"/>
  <c r="U47" i="2"/>
  <c r="T47" i="2"/>
  <c r="T73" i="2" s="1"/>
  <c r="S47" i="2"/>
  <c r="R47" i="2"/>
  <c r="R73" i="2" s="1"/>
  <c r="Q47" i="2"/>
  <c r="P47" i="2"/>
  <c r="P73" i="2" s="1"/>
  <c r="O47" i="2"/>
  <c r="N47" i="2"/>
  <c r="N73" i="2" s="1"/>
  <c r="M47" i="2"/>
  <c r="L47" i="2"/>
  <c r="L73" i="2" s="1"/>
  <c r="K47" i="2"/>
  <c r="J47" i="2"/>
  <c r="J73" i="2" s="1"/>
  <c r="I47" i="2"/>
  <c r="H47" i="2"/>
  <c r="H73" i="2" s="1"/>
  <c r="G47" i="2"/>
  <c r="F47" i="2"/>
  <c r="F73" i="2" s="1"/>
  <c r="E47" i="2"/>
  <c r="D47" i="2"/>
  <c r="D73" i="2" s="1"/>
  <c r="C47" i="2"/>
  <c r="BL43" i="2"/>
  <c r="BK43" i="2"/>
  <c r="BJ43" i="2"/>
  <c r="BI43" i="2"/>
  <c r="BH43" i="2"/>
  <c r="BG43" i="2"/>
  <c r="BF43" i="2"/>
  <c r="BE43" i="2"/>
  <c r="BD43" i="2"/>
  <c r="BC43" i="2"/>
  <c r="BB43" i="2"/>
  <c r="BA43" i="2"/>
  <c r="AZ43" i="2"/>
  <c r="AY43" i="2"/>
  <c r="AX43" i="2"/>
  <c r="AW43" i="2"/>
  <c r="AV43" i="2"/>
  <c r="AU43" i="2"/>
  <c r="AT43" i="2"/>
  <c r="AS43" i="2"/>
  <c r="AR43" i="2"/>
  <c r="AQ43" i="2"/>
  <c r="AP43" i="2"/>
  <c r="AO43" i="2"/>
  <c r="AN43" i="2"/>
  <c r="AM43" i="2"/>
  <c r="AL43" i="2"/>
  <c r="AK43" i="2"/>
  <c r="AJ43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L42" i="2"/>
  <c r="BK42" i="2"/>
  <c r="BJ42" i="2"/>
  <c r="BI42" i="2"/>
  <c r="BH42" i="2"/>
  <c r="BG42" i="2"/>
  <c r="BF42" i="2"/>
  <c r="BE42" i="2"/>
  <c r="BD42" i="2"/>
  <c r="BC42" i="2"/>
  <c r="BB42" i="2"/>
  <c r="BA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L38" i="2"/>
  <c r="BK38" i="2"/>
  <c r="BJ38" i="2"/>
  <c r="BI38" i="2"/>
  <c r="BH38" i="2"/>
  <c r="BG38" i="2"/>
  <c r="BF38" i="2"/>
  <c r="BE38" i="2"/>
  <c r="BD38" i="2"/>
  <c r="BC38" i="2"/>
  <c r="BB38" i="2"/>
  <c r="BA38" i="2"/>
  <c r="AZ38" i="2"/>
  <c r="AY38" i="2"/>
  <c r="AX38" i="2"/>
  <c r="AW38" i="2"/>
  <c r="AV38" i="2"/>
  <c r="AU38" i="2"/>
  <c r="AT38" i="2"/>
  <c r="AS38" i="2"/>
  <c r="AR38" i="2"/>
  <c r="AQ38" i="2"/>
  <c r="AP38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L37" i="2"/>
  <c r="BK37" i="2"/>
  <c r="BJ37" i="2"/>
  <c r="BI37" i="2"/>
  <c r="BH37" i="2"/>
  <c r="BG37" i="2"/>
  <c r="BF37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L36" i="2"/>
  <c r="BK36" i="2"/>
  <c r="BJ36" i="2"/>
  <c r="BI36" i="2"/>
  <c r="BH36" i="2"/>
  <c r="BG36" i="2"/>
  <c r="BF36" i="2"/>
  <c r="BE36" i="2"/>
  <c r="BD36" i="2"/>
  <c r="BC36" i="2"/>
  <c r="BB36" i="2"/>
  <c r="BA36" i="2"/>
  <c r="AZ36" i="2"/>
  <c r="AY36" i="2"/>
  <c r="AX36" i="2"/>
  <c r="AW36" i="2"/>
  <c r="AV36" i="2"/>
  <c r="AU36" i="2"/>
  <c r="AT36" i="2"/>
  <c r="AS36" i="2"/>
  <c r="AR36" i="2"/>
  <c r="AQ36" i="2"/>
  <c r="AP36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L54" i="3"/>
  <c r="BK54" i="3"/>
  <c r="BJ54" i="3"/>
  <c r="BI54" i="3"/>
  <c r="BH54" i="3"/>
  <c r="BG54" i="3"/>
  <c r="BF54" i="3"/>
  <c r="BE54" i="3"/>
  <c r="BD54" i="3"/>
  <c r="BC54" i="3"/>
  <c r="BB54" i="3"/>
  <c r="BA54" i="3"/>
  <c r="AZ54" i="3"/>
  <c r="AY54" i="3"/>
  <c r="AX54" i="3"/>
  <c r="AW54" i="3"/>
  <c r="AV54" i="3"/>
  <c r="AU54" i="3"/>
  <c r="AT54" i="3"/>
  <c r="AS54" i="3"/>
  <c r="AR54" i="3"/>
  <c r="AQ54" i="3"/>
  <c r="AP54" i="3"/>
  <c r="AO54" i="3"/>
  <c r="AN54" i="3"/>
  <c r="AM54" i="3"/>
  <c r="AL54" i="3"/>
  <c r="AK54" i="3"/>
  <c r="AJ54" i="3"/>
  <c r="AI54" i="3"/>
  <c r="AH54" i="3"/>
  <c r="AG54" i="3"/>
  <c r="AF54" i="3"/>
  <c r="AE54" i="3"/>
  <c r="AD54" i="3"/>
  <c r="AC54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L53" i="3"/>
  <c r="BK53" i="3"/>
  <c r="BJ53" i="3"/>
  <c r="BI53" i="3"/>
  <c r="BH53" i="3"/>
  <c r="BG53" i="3"/>
  <c r="BF53" i="3"/>
  <c r="BE53" i="3"/>
  <c r="BD53" i="3"/>
  <c r="BC53" i="3"/>
  <c r="BB53" i="3"/>
  <c r="BA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AH53" i="3"/>
  <c r="AG53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L52" i="3"/>
  <c r="BK52" i="3"/>
  <c r="BJ52" i="3"/>
  <c r="BI52" i="3"/>
  <c r="BH52" i="3"/>
  <c r="BG52" i="3"/>
  <c r="BF52" i="3"/>
  <c r="BE52" i="3"/>
  <c r="BD52" i="3"/>
  <c r="BD55" i="3" s="1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J55" i="3" s="1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P55" i="3" s="1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L48" i="3"/>
  <c r="BL74" i="3" s="1"/>
  <c r="BK48" i="3"/>
  <c r="BJ48" i="3"/>
  <c r="BJ74" i="3" s="1"/>
  <c r="BI48" i="3"/>
  <c r="BH48" i="3"/>
  <c r="BH74" i="3" s="1"/>
  <c r="BG48" i="3"/>
  <c r="BF48" i="3"/>
  <c r="BF74" i="3" s="1"/>
  <c r="BE48" i="3"/>
  <c r="BD48" i="3"/>
  <c r="BD74" i="3" s="1"/>
  <c r="BC48" i="3"/>
  <c r="BB48" i="3"/>
  <c r="BB74" i="3" s="1"/>
  <c r="BA48" i="3"/>
  <c r="AZ48" i="3"/>
  <c r="AZ74" i="3" s="1"/>
  <c r="AY48" i="3"/>
  <c r="AX48" i="3"/>
  <c r="AX74" i="3" s="1"/>
  <c r="AW48" i="3"/>
  <c r="AV48" i="3"/>
  <c r="AV74" i="3" s="1"/>
  <c r="AU48" i="3"/>
  <c r="AT48" i="3"/>
  <c r="AT74" i="3" s="1"/>
  <c r="AS48" i="3"/>
  <c r="AR48" i="3"/>
  <c r="AR74" i="3" s="1"/>
  <c r="AQ48" i="3"/>
  <c r="AP48" i="3"/>
  <c r="AP74" i="3" s="1"/>
  <c r="AO48" i="3"/>
  <c r="AN48" i="3"/>
  <c r="AN74" i="3" s="1"/>
  <c r="AM48" i="3"/>
  <c r="AL48" i="3"/>
  <c r="AL74" i="3" s="1"/>
  <c r="AK48" i="3"/>
  <c r="AJ48" i="3"/>
  <c r="AJ74" i="3" s="1"/>
  <c r="AI48" i="3"/>
  <c r="AH48" i="3"/>
  <c r="AH74" i="3" s="1"/>
  <c r="AG48" i="3"/>
  <c r="AF48" i="3"/>
  <c r="AF74" i="3" s="1"/>
  <c r="AE48" i="3"/>
  <c r="AD48" i="3"/>
  <c r="AD74" i="3" s="1"/>
  <c r="AC48" i="3"/>
  <c r="AB48" i="3"/>
  <c r="AB74" i="3" s="1"/>
  <c r="AA48" i="3"/>
  <c r="Z48" i="3"/>
  <c r="Z74" i="3" s="1"/>
  <c r="Y48" i="3"/>
  <c r="X48" i="3"/>
  <c r="X74" i="3" s="1"/>
  <c r="W48" i="3"/>
  <c r="V48" i="3"/>
  <c r="V74" i="3" s="1"/>
  <c r="U48" i="3"/>
  <c r="T48" i="3"/>
  <c r="T74" i="3" s="1"/>
  <c r="S48" i="3"/>
  <c r="R48" i="3"/>
  <c r="R74" i="3" s="1"/>
  <c r="Q48" i="3"/>
  <c r="P48" i="3"/>
  <c r="P74" i="3" s="1"/>
  <c r="O48" i="3"/>
  <c r="N48" i="3"/>
  <c r="N74" i="3" s="1"/>
  <c r="M48" i="3"/>
  <c r="L48" i="3"/>
  <c r="L74" i="3" s="1"/>
  <c r="K48" i="3"/>
  <c r="J48" i="3"/>
  <c r="J74" i="3" s="1"/>
  <c r="I48" i="3"/>
  <c r="H48" i="3"/>
  <c r="H74" i="3" s="1"/>
  <c r="G48" i="3"/>
  <c r="F48" i="3"/>
  <c r="F74" i="3" s="1"/>
  <c r="E48" i="3"/>
  <c r="D48" i="3"/>
  <c r="D74" i="3" s="1"/>
  <c r="C48" i="3"/>
  <c r="BL47" i="3"/>
  <c r="BL73" i="3" s="1"/>
  <c r="BK47" i="3"/>
  <c r="BJ47" i="3"/>
  <c r="BJ73" i="3" s="1"/>
  <c r="BI47" i="3"/>
  <c r="BH47" i="3"/>
  <c r="BH73" i="3" s="1"/>
  <c r="BG47" i="3"/>
  <c r="BF47" i="3"/>
  <c r="BF73" i="3" s="1"/>
  <c r="BE47" i="3"/>
  <c r="BD47" i="3"/>
  <c r="BD73" i="3" s="1"/>
  <c r="BC47" i="3"/>
  <c r="BB47" i="3"/>
  <c r="BB73" i="3" s="1"/>
  <c r="BA47" i="3"/>
  <c r="AZ47" i="3"/>
  <c r="AZ73" i="3" s="1"/>
  <c r="AY47" i="3"/>
  <c r="AX47" i="3"/>
  <c r="AX73" i="3" s="1"/>
  <c r="AW47" i="3"/>
  <c r="AV47" i="3"/>
  <c r="AV73" i="3" s="1"/>
  <c r="AU47" i="3"/>
  <c r="AT47" i="3"/>
  <c r="AT73" i="3" s="1"/>
  <c r="AS47" i="3"/>
  <c r="AR47" i="3"/>
  <c r="AR73" i="3" s="1"/>
  <c r="AQ47" i="3"/>
  <c r="AP47" i="3"/>
  <c r="AP73" i="3" s="1"/>
  <c r="AO47" i="3"/>
  <c r="AN47" i="3"/>
  <c r="AN73" i="3" s="1"/>
  <c r="AM47" i="3"/>
  <c r="AL47" i="3"/>
  <c r="AL73" i="3" s="1"/>
  <c r="AK47" i="3"/>
  <c r="AJ47" i="3"/>
  <c r="AJ73" i="3" s="1"/>
  <c r="AI47" i="3"/>
  <c r="AH47" i="3"/>
  <c r="AH73" i="3" s="1"/>
  <c r="AG47" i="3"/>
  <c r="AF47" i="3"/>
  <c r="AF73" i="3" s="1"/>
  <c r="AE47" i="3"/>
  <c r="AD47" i="3"/>
  <c r="AD73" i="3" s="1"/>
  <c r="AC47" i="3"/>
  <c r="AB47" i="3"/>
  <c r="AB73" i="3" s="1"/>
  <c r="AA47" i="3"/>
  <c r="Z47" i="3"/>
  <c r="Z73" i="3" s="1"/>
  <c r="Y47" i="3"/>
  <c r="X47" i="3"/>
  <c r="X73" i="3" s="1"/>
  <c r="W47" i="3"/>
  <c r="V47" i="3"/>
  <c r="V73" i="3" s="1"/>
  <c r="U47" i="3"/>
  <c r="T47" i="3"/>
  <c r="T73" i="3" s="1"/>
  <c r="S47" i="3"/>
  <c r="R47" i="3"/>
  <c r="R73" i="3" s="1"/>
  <c r="Q47" i="3"/>
  <c r="P47" i="3"/>
  <c r="P73" i="3" s="1"/>
  <c r="O47" i="3"/>
  <c r="N47" i="3"/>
  <c r="N73" i="3" s="1"/>
  <c r="M47" i="3"/>
  <c r="L47" i="3"/>
  <c r="L73" i="3" s="1"/>
  <c r="K47" i="3"/>
  <c r="J47" i="3"/>
  <c r="J73" i="3" s="1"/>
  <c r="I47" i="3"/>
  <c r="H47" i="3"/>
  <c r="H73" i="3" s="1"/>
  <c r="G47" i="3"/>
  <c r="F47" i="3"/>
  <c r="F73" i="3" s="1"/>
  <c r="E47" i="3"/>
  <c r="D47" i="3"/>
  <c r="D73" i="3" s="1"/>
  <c r="C47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L42" i="3"/>
  <c r="BL44" i="3" s="1"/>
  <c r="BK42" i="3"/>
  <c r="BJ42" i="3"/>
  <c r="BI42" i="3"/>
  <c r="BH42" i="3"/>
  <c r="BG42" i="3"/>
  <c r="BF42" i="3"/>
  <c r="BE42" i="3"/>
  <c r="BD42" i="3"/>
  <c r="BC42" i="3"/>
  <c r="BB42" i="3"/>
  <c r="BA42" i="3"/>
  <c r="AZ42" i="3"/>
  <c r="AY42" i="3"/>
  <c r="AX42" i="3"/>
  <c r="AW42" i="3"/>
  <c r="AV42" i="3"/>
  <c r="AU42" i="3"/>
  <c r="AT42" i="3"/>
  <c r="AT44" i="3" s="1"/>
  <c r="AS42" i="3"/>
  <c r="AR42" i="3"/>
  <c r="AR44" i="3" s="1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Z44" i="3" s="1"/>
  <c r="Y42" i="3"/>
  <c r="X42" i="3"/>
  <c r="X44" i="3" s="1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F44" i="3" s="1"/>
  <c r="E42" i="3"/>
  <c r="D42" i="3"/>
  <c r="D44" i="3" s="1"/>
  <c r="C42" i="3"/>
  <c r="BL38" i="3"/>
  <c r="BK38" i="3"/>
  <c r="BJ38" i="3"/>
  <c r="BI38" i="3"/>
  <c r="BH38" i="3"/>
  <c r="BG38" i="3"/>
  <c r="BF38" i="3"/>
  <c r="BE38" i="3"/>
  <c r="BD38" i="3"/>
  <c r="BC38" i="3"/>
  <c r="BB38" i="3"/>
  <c r="BA38" i="3"/>
  <c r="AZ38" i="3"/>
  <c r="AY38" i="3"/>
  <c r="AX38" i="3"/>
  <c r="AW38" i="3"/>
  <c r="AV38" i="3"/>
  <c r="AU38" i="3"/>
  <c r="AT38" i="3"/>
  <c r="AT64" i="3" s="1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Z64" i="3" s="1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F64" i="3" s="1"/>
  <c r="E38" i="3"/>
  <c r="D38" i="3"/>
  <c r="C38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L36" i="3"/>
  <c r="BK36" i="3"/>
  <c r="BJ36" i="3"/>
  <c r="BI36" i="3"/>
  <c r="BH36" i="3"/>
  <c r="BG36" i="3"/>
  <c r="BF36" i="3"/>
  <c r="BE36" i="3"/>
  <c r="BD36" i="3"/>
  <c r="BC36" i="3"/>
  <c r="BB36" i="3"/>
  <c r="BA36" i="3"/>
  <c r="AZ36" i="3"/>
  <c r="AY36" i="3"/>
  <c r="AX36" i="3"/>
  <c r="AW36" i="3"/>
  <c r="AV36" i="3"/>
  <c r="AU36" i="3"/>
  <c r="AT36" i="3"/>
  <c r="AS36" i="3"/>
  <c r="AR36" i="3"/>
  <c r="AQ36" i="3"/>
  <c r="AP36" i="3"/>
  <c r="AO36" i="3"/>
  <c r="AN36" i="3"/>
  <c r="AM36" i="3"/>
  <c r="AL36" i="3"/>
  <c r="AK36" i="3"/>
  <c r="AJ36" i="3"/>
  <c r="AI36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L30" i="3"/>
  <c r="BK30" i="3"/>
  <c r="BJ30" i="3"/>
  <c r="BI30" i="3"/>
  <c r="BH30" i="3"/>
  <c r="BG30" i="3"/>
  <c r="BF30" i="3"/>
  <c r="BE30" i="3"/>
  <c r="BD30" i="3"/>
  <c r="BC30" i="3"/>
  <c r="BB30" i="3"/>
  <c r="BA30" i="3"/>
  <c r="AZ30" i="3"/>
  <c r="AY30" i="3"/>
  <c r="AX30" i="3"/>
  <c r="AW30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L29" i="3"/>
  <c r="BK29" i="3"/>
  <c r="BJ29" i="3"/>
  <c r="BI29" i="3"/>
  <c r="BH29" i="3"/>
  <c r="BG29" i="3"/>
  <c r="BF29" i="3"/>
  <c r="BF32" i="3" s="1"/>
  <c r="BE29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AM29" i="3"/>
  <c r="AL29" i="3"/>
  <c r="AL32" i="3" s="1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R32" i="3" s="1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L24" i="3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L23" i="3"/>
  <c r="BK23" i="3"/>
  <c r="BJ23" i="3"/>
  <c r="BI23" i="3"/>
  <c r="BH23" i="3"/>
  <c r="BG23" i="3"/>
  <c r="BF23" i="3"/>
  <c r="BE23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L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L20" i="3"/>
  <c r="BK20" i="3"/>
  <c r="BJ20" i="3"/>
  <c r="BI20" i="3"/>
  <c r="BH20" i="3"/>
  <c r="BG20" i="3"/>
  <c r="BF20" i="3"/>
  <c r="BE20" i="3"/>
  <c r="BD20" i="3"/>
  <c r="BC20" i="3"/>
  <c r="BB20" i="3"/>
  <c r="BA20" i="3"/>
  <c r="AZ20" i="3"/>
  <c r="AY20" i="3"/>
  <c r="AX20" i="3"/>
  <c r="AW20" i="3"/>
  <c r="AV20" i="3"/>
  <c r="AU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L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T15" i="3"/>
  <c r="AS15" i="3"/>
  <c r="AR15" i="3"/>
  <c r="AQ15" i="3"/>
  <c r="AP15" i="3"/>
  <c r="AO15" i="3"/>
  <c r="AN15" i="3"/>
  <c r="AM15" i="3"/>
  <c r="AL15" i="3"/>
  <c r="AK15" i="3"/>
  <c r="AJ15" i="3"/>
  <c r="AI15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L12" i="3"/>
  <c r="BK12" i="3"/>
  <c r="BJ12" i="3"/>
  <c r="BI12" i="3"/>
  <c r="BH12" i="3"/>
  <c r="BG12" i="3"/>
  <c r="BF12" i="3"/>
  <c r="BE12" i="3"/>
  <c r="BD12" i="3"/>
  <c r="BC12" i="3"/>
  <c r="BB12" i="3"/>
  <c r="BA12" i="3"/>
  <c r="AZ12" i="3"/>
  <c r="AY12" i="3"/>
  <c r="AX12" i="3"/>
  <c r="AW12" i="3"/>
  <c r="AV12" i="3"/>
  <c r="AU12" i="3"/>
  <c r="AT12" i="3"/>
  <c r="AS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L11" i="3"/>
  <c r="BK11" i="3"/>
  <c r="BJ11" i="3"/>
  <c r="BI11" i="3"/>
  <c r="BH11" i="3"/>
  <c r="BG11" i="3"/>
  <c r="BF11" i="3"/>
  <c r="BE11" i="3"/>
  <c r="BD11" i="3"/>
  <c r="BC11" i="3"/>
  <c r="BB11" i="3"/>
  <c r="BA11" i="3"/>
  <c r="AZ11" i="3"/>
  <c r="AY11" i="3"/>
  <c r="AX11" i="3"/>
  <c r="AW11" i="3"/>
  <c r="AV11" i="3"/>
  <c r="AU11" i="3"/>
  <c r="AT11" i="3"/>
  <c r="AS11" i="3"/>
  <c r="AR11" i="3"/>
  <c r="AQ11" i="3"/>
  <c r="AP11" i="3"/>
  <c r="AO11" i="3"/>
  <c r="AN11" i="3"/>
  <c r="AM11" i="3"/>
  <c r="AL11" i="3"/>
  <c r="AK11" i="3"/>
  <c r="AJ11" i="3"/>
  <c r="AI11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L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Q44" i="3" l="1"/>
  <c r="L39" i="3"/>
  <c r="AF39" i="3"/>
  <c r="AZ39" i="3"/>
  <c r="T32" i="3"/>
  <c r="AN32" i="3"/>
  <c r="BH32" i="3"/>
  <c r="G44" i="3"/>
  <c r="AA44" i="3"/>
  <c r="AU44" i="3"/>
  <c r="W49" i="3"/>
  <c r="AQ49" i="3"/>
  <c r="BK49" i="3"/>
  <c r="H44" i="3"/>
  <c r="H64" i="3" s="1"/>
  <c r="AB44" i="3"/>
  <c r="BN68" i="12" a="1"/>
  <c r="BN68" i="12" s="1"/>
  <c r="BN70" i="12"/>
  <c r="I49" i="3"/>
  <c r="AC49" i="3"/>
  <c r="AW49" i="3"/>
  <c r="AK44" i="3"/>
  <c r="AB64" i="3"/>
  <c r="AB69" i="3" s="1"/>
  <c r="G44" i="2"/>
  <c r="AA44" i="2"/>
  <c r="AU44" i="2"/>
  <c r="C49" i="2"/>
  <c r="W49" i="2"/>
  <c r="AQ49" i="2"/>
  <c r="BK49" i="2"/>
  <c r="W44" i="2"/>
  <c r="AQ44" i="2"/>
  <c r="S49" i="2"/>
  <c r="AM49" i="2"/>
  <c r="BG49" i="2"/>
  <c r="V44" i="2"/>
  <c r="V64" i="2" s="1"/>
  <c r="AP44" i="2"/>
  <c r="AP64" i="2" s="1"/>
  <c r="AP67" i="2" s="1"/>
  <c r="BJ44" i="2"/>
  <c r="BJ64" i="2" s="1"/>
  <c r="BJ69" i="2" s="1"/>
  <c r="BB77" i="2"/>
  <c r="BB79" i="2"/>
  <c r="T76" i="2"/>
  <c r="T78" i="2"/>
  <c r="P76" i="2"/>
  <c r="P78" i="2"/>
  <c r="BD76" i="2"/>
  <c r="BD78" i="2"/>
  <c r="N77" i="2"/>
  <c r="N79" i="2"/>
  <c r="R76" i="2"/>
  <c r="R78" i="2"/>
  <c r="AL78" i="2"/>
  <c r="AL76" i="2"/>
  <c r="P77" i="2"/>
  <c r="P79" i="2"/>
  <c r="BD77" i="2"/>
  <c r="BD79" i="2"/>
  <c r="AN76" i="2"/>
  <c r="AN78" i="2"/>
  <c r="R79" i="2"/>
  <c r="R77" i="2"/>
  <c r="BF77" i="2"/>
  <c r="BF79" i="2"/>
  <c r="V76" i="2"/>
  <c r="V78" i="2"/>
  <c r="AP76" i="2"/>
  <c r="AP78" i="2"/>
  <c r="BJ78" i="2"/>
  <c r="BJ76" i="2"/>
  <c r="T77" i="2"/>
  <c r="T79" i="2"/>
  <c r="AN77" i="2"/>
  <c r="AN79" i="2"/>
  <c r="BH77" i="2"/>
  <c r="BH79" i="2"/>
  <c r="D76" i="2"/>
  <c r="D78" i="2"/>
  <c r="X49" i="2"/>
  <c r="X73" i="2"/>
  <c r="AR76" i="2"/>
  <c r="AR78" i="2"/>
  <c r="BL49" i="2"/>
  <c r="BL73" i="2"/>
  <c r="V77" i="2"/>
  <c r="V79" i="2"/>
  <c r="AP79" i="2"/>
  <c r="AP77" i="2"/>
  <c r="BJ77" i="2"/>
  <c r="BJ79" i="2"/>
  <c r="F78" i="2"/>
  <c r="F76" i="2"/>
  <c r="Z78" i="2"/>
  <c r="Z76" i="2"/>
  <c r="AT76" i="2"/>
  <c r="AT78" i="2"/>
  <c r="BN74" i="2" a="1"/>
  <c r="BN74" i="2" s="1"/>
  <c r="D79" i="2"/>
  <c r="D77" i="2"/>
  <c r="X77" i="2"/>
  <c r="X79" i="2"/>
  <c r="AR79" i="2"/>
  <c r="AR77" i="2"/>
  <c r="BL77" i="2"/>
  <c r="BL79" i="2"/>
  <c r="H76" i="2"/>
  <c r="H78" i="2"/>
  <c r="AB78" i="2"/>
  <c r="AB76" i="2"/>
  <c r="AV76" i="2"/>
  <c r="AV78" i="2"/>
  <c r="F79" i="2"/>
  <c r="F77" i="2"/>
  <c r="Z77" i="2"/>
  <c r="Z79" i="2"/>
  <c r="AT79" i="2"/>
  <c r="AT77" i="2"/>
  <c r="AJ78" i="2"/>
  <c r="AJ76" i="2"/>
  <c r="AH77" i="2"/>
  <c r="AH79" i="2"/>
  <c r="BF76" i="2"/>
  <c r="BF78" i="2"/>
  <c r="AJ77" i="2"/>
  <c r="AJ79" i="2"/>
  <c r="BH49" i="2"/>
  <c r="BH73" i="2"/>
  <c r="AL77" i="2"/>
  <c r="AL79" i="2"/>
  <c r="J76" i="2"/>
  <c r="J78" i="2"/>
  <c r="AD78" i="2"/>
  <c r="AD76" i="2"/>
  <c r="AX76" i="2"/>
  <c r="AX78" i="2"/>
  <c r="H79" i="2"/>
  <c r="H77" i="2"/>
  <c r="AV79" i="2"/>
  <c r="AV77" i="2"/>
  <c r="L76" i="2"/>
  <c r="L78" i="2"/>
  <c r="AF78" i="2"/>
  <c r="AF76" i="2"/>
  <c r="AZ76" i="2"/>
  <c r="AZ78" i="2"/>
  <c r="J79" i="2"/>
  <c r="J77" i="2"/>
  <c r="AD77" i="2"/>
  <c r="AD79" i="2"/>
  <c r="AX79" i="2"/>
  <c r="AX77" i="2"/>
  <c r="N76" i="2"/>
  <c r="N78" i="2"/>
  <c r="AH78" i="2"/>
  <c r="AH76" i="2"/>
  <c r="BB76" i="2"/>
  <c r="BB78" i="2"/>
  <c r="L79" i="2"/>
  <c r="L77" i="2"/>
  <c r="AF79" i="2"/>
  <c r="AF77" i="2"/>
  <c r="AZ79" i="2"/>
  <c r="AZ77" i="2"/>
  <c r="AB77" i="2"/>
  <c r="AB79" i="2"/>
  <c r="J78" i="3"/>
  <c r="J76" i="3"/>
  <c r="AD78" i="3"/>
  <c r="AD76" i="3"/>
  <c r="AX78" i="3"/>
  <c r="AX76" i="3"/>
  <c r="H79" i="3"/>
  <c r="H77" i="3"/>
  <c r="AB77" i="3"/>
  <c r="AB79" i="3"/>
  <c r="AV79" i="3"/>
  <c r="AV77" i="3"/>
  <c r="L76" i="3"/>
  <c r="L78" i="3"/>
  <c r="AF78" i="3"/>
  <c r="AF76" i="3"/>
  <c r="AZ76" i="3"/>
  <c r="AZ78" i="3"/>
  <c r="J77" i="3"/>
  <c r="J79" i="3"/>
  <c r="AD77" i="3"/>
  <c r="AD79" i="3"/>
  <c r="AX77" i="3"/>
  <c r="AX79" i="3"/>
  <c r="N78" i="3"/>
  <c r="N76" i="3"/>
  <c r="AH78" i="3"/>
  <c r="AH76" i="3"/>
  <c r="BB76" i="3"/>
  <c r="BB78" i="3"/>
  <c r="L77" i="3"/>
  <c r="L79" i="3"/>
  <c r="AF77" i="3"/>
  <c r="AF79" i="3"/>
  <c r="AZ77" i="3"/>
  <c r="AZ79" i="3"/>
  <c r="P76" i="3"/>
  <c r="P78" i="3"/>
  <c r="AJ78" i="3"/>
  <c r="AJ76" i="3"/>
  <c r="BD76" i="3"/>
  <c r="BD78" i="3"/>
  <c r="N77" i="3"/>
  <c r="N79" i="3"/>
  <c r="AH77" i="3"/>
  <c r="AH79" i="3"/>
  <c r="BB77" i="3"/>
  <c r="BB79" i="3"/>
  <c r="D64" i="3"/>
  <c r="X64" i="3"/>
  <c r="AR64" i="3"/>
  <c r="BL64" i="3"/>
  <c r="R76" i="3"/>
  <c r="R78" i="3"/>
  <c r="AL76" i="3"/>
  <c r="AL78" i="3"/>
  <c r="BF76" i="3"/>
  <c r="BF78" i="3"/>
  <c r="P77" i="3"/>
  <c r="P79" i="3"/>
  <c r="AJ77" i="3"/>
  <c r="AJ79" i="3"/>
  <c r="BD77" i="3"/>
  <c r="BD79" i="3"/>
  <c r="Z69" i="3"/>
  <c r="Z67" i="3"/>
  <c r="AN76" i="3"/>
  <c r="AN78" i="3"/>
  <c r="AL77" i="3"/>
  <c r="AL79" i="3"/>
  <c r="AP76" i="3"/>
  <c r="AP78" i="3"/>
  <c r="BJ76" i="3"/>
  <c r="BJ78" i="3"/>
  <c r="AN77" i="3"/>
  <c r="AN79" i="3"/>
  <c r="D76" i="3"/>
  <c r="BN73" i="3" a="1"/>
  <c r="BN73" i="3" s="1"/>
  <c r="D78" i="3"/>
  <c r="X78" i="3"/>
  <c r="X76" i="3"/>
  <c r="AR76" i="3"/>
  <c r="AR78" i="3"/>
  <c r="BL76" i="3"/>
  <c r="BL78" i="3"/>
  <c r="V77" i="3"/>
  <c r="V79" i="3"/>
  <c r="AP79" i="3"/>
  <c r="AP77" i="3"/>
  <c r="BJ79" i="3"/>
  <c r="BJ77" i="3"/>
  <c r="F69" i="3"/>
  <c r="F67" i="3"/>
  <c r="R77" i="3"/>
  <c r="R79" i="3"/>
  <c r="V76" i="3"/>
  <c r="V78" i="3"/>
  <c r="BH77" i="3"/>
  <c r="BH79" i="3"/>
  <c r="F76" i="3"/>
  <c r="F78" i="3"/>
  <c r="Z76" i="3"/>
  <c r="Z78" i="3"/>
  <c r="AT76" i="3"/>
  <c r="AT78" i="3"/>
  <c r="BN74" i="3" a="1"/>
  <c r="BN74" i="3" s="1"/>
  <c r="D79" i="3"/>
  <c r="D77" i="3"/>
  <c r="X79" i="3"/>
  <c r="X77" i="3"/>
  <c r="AR79" i="3"/>
  <c r="AR77" i="3"/>
  <c r="BL79" i="3"/>
  <c r="BL77" i="3"/>
  <c r="AT67" i="3"/>
  <c r="AT69" i="3"/>
  <c r="T76" i="3"/>
  <c r="T78" i="3"/>
  <c r="BH76" i="3"/>
  <c r="BH78" i="3"/>
  <c r="BF77" i="3"/>
  <c r="BF79" i="3"/>
  <c r="T77" i="3"/>
  <c r="T79" i="3"/>
  <c r="H78" i="3"/>
  <c r="H76" i="3"/>
  <c r="AB78" i="3"/>
  <c r="AB76" i="3"/>
  <c r="AV76" i="3"/>
  <c r="AV78" i="3"/>
  <c r="F79" i="3"/>
  <c r="F77" i="3"/>
  <c r="Z77" i="3"/>
  <c r="Z79" i="3"/>
  <c r="AT79" i="3"/>
  <c r="AT77" i="3"/>
  <c r="Q32" i="3"/>
  <c r="AK32" i="3"/>
  <c r="BE32" i="3"/>
  <c r="AE39" i="3"/>
  <c r="AY39" i="3"/>
  <c r="W44" i="3"/>
  <c r="AQ44" i="3"/>
  <c r="BK44" i="3"/>
  <c r="O55" i="3"/>
  <c r="AI55" i="3"/>
  <c r="BC55" i="3"/>
  <c r="AV44" i="3"/>
  <c r="AV64" i="3" s="1"/>
  <c r="AK39" i="3"/>
  <c r="AR32" i="3"/>
  <c r="BL32" i="3"/>
  <c r="AL39" i="3"/>
  <c r="AL63" i="3" s="1"/>
  <c r="BD39" i="3"/>
  <c r="V55" i="3"/>
  <c r="AB39" i="2"/>
  <c r="I44" i="2"/>
  <c r="AC44" i="2"/>
  <c r="AW44" i="2"/>
  <c r="S44" i="2"/>
  <c r="AM44" i="2"/>
  <c r="BG44" i="2"/>
  <c r="O49" i="2"/>
  <c r="AI49" i="2"/>
  <c r="BC49" i="2"/>
  <c r="U49" i="3"/>
  <c r="AO49" i="3"/>
  <c r="BI49" i="3"/>
  <c r="Q55" i="3"/>
  <c r="AK55" i="3"/>
  <c r="AH44" i="3"/>
  <c r="AH64" i="3" s="1"/>
  <c r="J39" i="3"/>
  <c r="N55" i="3"/>
  <c r="N44" i="3"/>
  <c r="N64" i="3" s="1"/>
  <c r="J26" i="3"/>
  <c r="J61" i="3" s="1"/>
  <c r="K26" i="3"/>
  <c r="AY26" i="3"/>
  <c r="S32" i="3"/>
  <c r="AM32" i="3"/>
  <c r="BG32" i="3"/>
  <c r="AG39" i="3"/>
  <c r="BA39" i="3"/>
  <c r="E44" i="3"/>
  <c r="Y44" i="3"/>
  <c r="AS44" i="3"/>
  <c r="BE55" i="3"/>
  <c r="N39" i="3"/>
  <c r="AH39" i="3"/>
  <c r="BB39" i="3"/>
  <c r="U32" i="3"/>
  <c r="AO32" i="3"/>
  <c r="BI32" i="3"/>
  <c r="O39" i="3"/>
  <c r="AD26" i="3"/>
  <c r="AD61" i="3" s="1"/>
  <c r="I44" i="3"/>
  <c r="AC44" i="3"/>
  <c r="Y49" i="3"/>
  <c r="AS49" i="3"/>
  <c r="AQ17" i="3"/>
  <c r="AX26" i="3"/>
  <c r="AX61" i="3" s="1"/>
  <c r="AS44" i="2"/>
  <c r="R44" i="2"/>
  <c r="R64" i="2" s="1"/>
  <c r="AL44" i="2"/>
  <c r="AL64" i="2" s="1"/>
  <c r="BF44" i="2"/>
  <c r="BF64" i="2" s="1"/>
  <c r="AX55" i="2"/>
  <c r="G39" i="2"/>
  <c r="AO44" i="2"/>
  <c r="U49" i="2"/>
  <c r="AO49" i="2"/>
  <c r="BI49" i="2"/>
  <c r="C55" i="2"/>
  <c r="W55" i="2"/>
  <c r="AQ55" i="2"/>
  <c r="BK55" i="2"/>
  <c r="V39" i="2"/>
  <c r="AP39" i="2"/>
  <c r="BJ39" i="2"/>
  <c r="BF32" i="2"/>
  <c r="T44" i="3"/>
  <c r="T64" i="3" s="1"/>
  <c r="AN44" i="3"/>
  <c r="AN64" i="3" s="1"/>
  <c r="BH44" i="3"/>
  <c r="BH64" i="3" s="1"/>
  <c r="AJ49" i="3"/>
  <c r="AX55" i="3"/>
  <c r="AT44" i="2"/>
  <c r="AT64" i="2" s="1"/>
  <c r="AR44" i="2"/>
  <c r="AR64" i="2" s="1"/>
  <c r="R49" i="2"/>
  <c r="AN32" i="2"/>
  <c r="AF26" i="3"/>
  <c r="AF61" i="3" s="1"/>
  <c r="BB26" i="3"/>
  <c r="BB61" i="3" s="1"/>
  <c r="P39" i="3"/>
  <c r="AJ39" i="3"/>
  <c r="W39" i="2"/>
  <c r="AQ39" i="2"/>
  <c r="BK39" i="2"/>
  <c r="AZ26" i="3"/>
  <c r="AZ61" i="3" s="1"/>
  <c r="AT32" i="3"/>
  <c r="AS32" i="3"/>
  <c r="C32" i="3"/>
  <c r="BK32" i="3"/>
  <c r="G49" i="3"/>
  <c r="AU49" i="3"/>
  <c r="AV39" i="2"/>
  <c r="Z32" i="3"/>
  <c r="BB44" i="3"/>
  <c r="BB64" i="3" s="1"/>
  <c r="AD49" i="3"/>
  <c r="AO32" i="2"/>
  <c r="L26" i="3"/>
  <c r="L61" i="3" s="1"/>
  <c r="BG17" i="3"/>
  <c r="AA39" i="3"/>
  <c r="M55" i="3"/>
  <c r="AB39" i="3"/>
  <c r="Q39" i="3"/>
  <c r="D32" i="3"/>
  <c r="R39" i="3"/>
  <c r="R63" i="3" s="1"/>
  <c r="J44" i="3"/>
  <c r="J64" i="3" s="1"/>
  <c r="AD44" i="3"/>
  <c r="AD64" i="3" s="1"/>
  <c r="AX44" i="3"/>
  <c r="AX64" i="3" s="1"/>
  <c r="E32" i="3"/>
  <c r="Y32" i="3"/>
  <c r="BL55" i="3"/>
  <c r="H49" i="3"/>
  <c r="W55" i="3"/>
  <c r="AM17" i="3"/>
  <c r="AP17" i="3"/>
  <c r="AP62" i="3" s="1"/>
  <c r="BC39" i="3"/>
  <c r="F32" i="3"/>
  <c r="L44" i="3"/>
  <c r="L64" i="3" s="1"/>
  <c r="AF44" i="3"/>
  <c r="AF64" i="3" s="1"/>
  <c r="D55" i="3"/>
  <c r="X55" i="3"/>
  <c r="AR55" i="3"/>
  <c r="AY32" i="3"/>
  <c r="BB55" i="3"/>
  <c r="K32" i="3"/>
  <c r="AE32" i="3"/>
  <c r="X49" i="3"/>
  <c r="S44" i="3"/>
  <c r="AM44" i="3"/>
  <c r="BG44" i="3"/>
  <c r="O49" i="3"/>
  <c r="AI49" i="3"/>
  <c r="BC49" i="3"/>
  <c r="BF49" i="2"/>
  <c r="AJ39" i="2"/>
  <c r="AH39" i="2"/>
  <c r="AT17" i="2"/>
  <c r="AT62" i="2" s="1"/>
  <c r="AR17" i="2"/>
  <c r="AR62" i="2" s="1"/>
  <c r="Q17" i="2"/>
  <c r="AK17" i="2"/>
  <c r="BE17" i="2"/>
  <c r="R17" i="2"/>
  <c r="R62" i="2" s="1"/>
  <c r="AL17" i="2"/>
  <c r="AL62" i="2" s="1"/>
  <c r="BF17" i="2"/>
  <c r="BF62" i="2" s="1"/>
  <c r="D39" i="2"/>
  <c r="X39" i="2"/>
  <c r="AR39" i="2"/>
  <c r="BL39" i="2"/>
  <c r="S55" i="2"/>
  <c r="AM55" i="2"/>
  <c r="BG55" i="2"/>
  <c r="Z26" i="2"/>
  <c r="Z61" i="2" s="1"/>
  <c r="E39" i="2"/>
  <c r="Y39" i="2"/>
  <c r="AS39" i="2"/>
  <c r="BJ49" i="2"/>
  <c r="F39" i="2"/>
  <c r="Z39" i="2"/>
  <c r="AT39" i="2"/>
  <c r="AU39" i="2"/>
  <c r="V55" i="2"/>
  <c r="AP55" i="2"/>
  <c r="BJ55" i="2"/>
  <c r="AW39" i="2"/>
  <c r="AZ49" i="2"/>
  <c r="D55" i="2"/>
  <c r="X55" i="2"/>
  <c r="AR55" i="2"/>
  <c r="BL55" i="2"/>
  <c r="U44" i="2"/>
  <c r="BI44" i="2"/>
  <c r="AS55" i="2"/>
  <c r="AE39" i="2"/>
  <c r="AX39" i="2"/>
  <c r="P49" i="2"/>
  <c r="AJ49" i="2"/>
  <c r="BD49" i="2"/>
  <c r="Q49" i="2"/>
  <c r="BE49" i="2"/>
  <c r="C17" i="3"/>
  <c r="W17" i="3"/>
  <c r="BK17" i="3"/>
  <c r="I26" i="3"/>
  <c r="AC26" i="3"/>
  <c r="AW26" i="3"/>
  <c r="AE26" i="3"/>
  <c r="AI39" i="3"/>
  <c r="BE39" i="3"/>
  <c r="X32" i="3"/>
  <c r="BF39" i="3"/>
  <c r="BF63" i="3" s="1"/>
  <c r="AP55" i="3"/>
  <c r="BJ55" i="3"/>
  <c r="W32" i="3"/>
  <c r="AQ32" i="3"/>
  <c r="K44" i="3"/>
  <c r="AE44" i="3"/>
  <c r="AY44" i="3"/>
  <c r="AW44" i="3"/>
  <c r="AA49" i="3"/>
  <c r="E49" i="3"/>
  <c r="AQ55" i="3"/>
  <c r="BK55" i="3"/>
  <c r="AZ44" i="3"/>
  <c r="AZ64" i="3" s="1"/>
  <c r="AV49" i="3"/>
  <c r="AK17" i="3"/>
  <c r="BM12" i="3" a="1"/>
  <c r="BM12" i="3" s="1"/>
  <c r="BN12" i="3" s="1" a="1"/>
  <c r="BN12" i="3" s="1"/>
  <c r="I17" i="3"/>
  <c r="U26" i="3"/>
  <c r="Q17" i="3"/>
  <c r="BE17" i="3"/>
  <c r="C26" i="3"/>
  <c r="BM11" i="3" a="1"/>
  <c r="BM11" i="3" s="1"/>
  <c r="BN11" i="3" s="1" a="1"/>
  <c r="BN11" i="3" s="1"/>
  <c r="AW17" i="3"/>
  <c r="W26" i="3"/>
  <c r="AQ26" i="3"/>
  <c r="AB49" i="3"/>
  <c r="AC32" i="3"/>
  <c r="U39" i="3"/>
  <c r="BG39" i="3"/>
  <c r="AH32" i="3"/>
  <c r="BK26" i="3"/>
  <c r="AO26" i="3"/>
  <c r="BI26" i="3"/>
  <c r="S26" i="3"/>
  <c r="AM26" i="3"/>
  <c r="BG26" i="3"/>
  <c r="Q26" i="3"/>
  <c r="BE26" i="3"/>
  <c r="AI26" i="3"/>
  <c r="M26" i="3"/>
  <c r="AG26" i="3"/>
  <c r="BA26" i="3"/>
  <c r="I32" i="3"/>
  <c r="AW32" i="3"/>
  <c r="G32" i="3"/>
  <c r="AU32" i="3"/>
  <c r="E39" i="3"/>
  <c r="Y39" i="3"/>
  <c r="AS39" i="3"/>
  <c r="C39" i="3"/>
  <c r="W39" i="3"/>
  <c r="AQ39" i="3"/>
  <c r="BK39" i="3"/>
  <c r="AO39" i="3"/>
  <c r="BI39" i="3"/>
  <c r="S39" i="3"/>
  <c r="AM39" i="3"/>
  <c r="S17" i="3"/>
  <c r="E26" i="3"/>
  <c r="Y26" i="3"/>
  <c r="AS26" i="3"/>
  <c r="M32" i="3"/>
  <c r="AG32" i="3"/>
  <c r="BA32" i="3"/>
  <c r="G39" i="3"/>
  <c r="AU39" i="3"/>
  <c r="BM37" i="3" a="1"/>
  <c r="BM37" i="3" s="1"/>
  <c r="BN37" i="3" s="1" a="1"/>
  <c r="BN37" i="3" s="1"/>
  <c r="K55" i="3"/>
  <c r="AE55" i="3"/>
  <c r="AY55" i="3"/>
  <c r="T17" i="3"/>
  <c r="T62" i="3" s="1"/>
  <c r="AN17" i="3"/>
  <c r="AN62" i="3" s="1"/>
  <c r="BH17" i="3"/>
  <c r="BH62" i="3" s="1"/>
  <c r="F26" i="3"/>
  <c r="F61" i="3" s="1"/>
  <c r="Z26" i="3"/>
  <c r="Z61" i="3" s="1"/>
  <c r="AT26" i="3"/>
  <c r="AT61" i="3" s="1"/>
  <c r="N32" i="3"/>
  <c r="BB32" i="3"/>
  <c r="H39" i="3"/>
  <c r="AV39" i="3"/>
  <c r="L55" i="3"/>
  <c r="AF55" i="3"/>
  <c r="AZ55" i="3"/>
  <c r="U17" i="3"/>
  <c r="AO17" i="3"/>
  <c r="BI17" i="3"/>
  <c r="AA26" i="3"/>
  <c r="AU26" i="3"/>
  <c r="V17" i="3"/>
  <c r="V62" i="3" s="1"/>
  <c r="BJ17" i="3"/>
  <c r="BJ62" i="3" s="1"/>
  <c r="H26" i="3"/>
  <c r="H61" i="3" s="1"/>
  <c r="AB26" i="3"/>
  <c r="AB61" i="3" s="1"/>
  <c r="AS55" i="3"/>
  <c r="BE44" i="3"/>
  <c r="O44" i="3"/>
  <c r="AI44" i="3"/>
  <c r="BC44" i="3"/>
  <c r="M49" i="3"/>
  <c r="AG49" i="3"/>
  <c r="BA49" i="3"/>
  <c r="K49" i="3"/>
  <c r="AE49" i="3"/>
  <c r="AY49" i="3"/>
  <c r="I55" i="3"/>
  <c r="AC55" i="3"/>
  <c r="AW55" i="3"/>
  <c r="G55" i="3"/>
  <c r="AA55" i="3"/>
  <c r="AU55" i="3"/>
  <c r="E55" i="3"/>
  <c r="Y55" i="3"/>
  <c r="R17" i="3"/>
  <c r="R62" i="3" s="1"/>
  <c r="AL17" i="3"/>
  <c r="AL62" i="3" s="1"/>
  <c r="BF17" i="3"/>
  <c r="BF62" i="3" s="1"/>
  <c r="P17" i="3"/>
  <c r="P62" i="3" s="1"/>
  <c r="AJ17" i="3"/>
  <c r="AJ62" i="3" s="1"/>
  <c r="BD17" i="3"/>
  <c r="BD62" i="3" s="1"/>
  <c r="AD17" i="3"/>
  <c r="AD62" i="3" s="1"/>
  <c r="AX17" i="3"/>
  <c r="AX62" i="3" s="1"/>
  <c r="AV17" i="3"/>
  <c r="AV62" i="3" s="1"/>
  <c r="D26" i="3"/>
  <c r="D61" i="3" s="1"/>
  <c r="X26" i="3"/>
  <c r="X61" i="3" s="1"/>
  <c r="AR26" i="3"/>
  <c r="AR61" i="3" s="1"/>
  <c r="BL26" i="3"/>
  <c r="BL61" i="3" s="1"/>
  <c r="V26" i="3"/>
  <c r="V61" i="3" s="1"/>
  <c r="AP26" i="3"/>
  <c r="AP61" i="3" s="1"/>
  <c r="BJ26" i="3"/>
  <c r="BJ61" i="3" s="1"/>
  <c r="T26" i="3"/>
  <c r="T61" i="3" s="1"/>
  <c r="AN26" i="3"/>
  <c r="AN61" i="3" s="1"/>
  <c r="BH26" i="3"/>
  <c r="BH61" i="3" s="1"/>
  <c r="R26" i="3"/>
  <c r="R61" i="3" s="1"/>
  <c r="AL26" i="3"/>
  <c r="AL61" i="3" s="1"/>
  <c r="BF26" i="3"/>
  <c r="BF61" i="3" s="1"/>
  <c r="AJ26" i="3"/>
  <c r="AJ61" i="3" s="1"/>
  <c r="N26" i="3"/>
  <c r="N61" i="3" s="1"/>
  <c r="AH26" i="3"/>
  <c r="AH61" i="3" s="1"/>
  <c r="L32" i="3"/>
  <c r="L63" i="3" s="1"/>
  <c r="AF32" i="3"/>
  <c r="AF63" i="3" s="1"/>
  <c r="AZ32" i="3"/>
  <c r="AZ63" i="3" s="1"/>
  <c r="AD32" i="3"/>
  <c r="AX32" i="3"/>
  <c r="AB32" i="3"/>
  <c r="AV32" i="3"/>
  <c r="F39" i="3"/>
  <c r="Z39" i="3"/>
  <c r="AT39" i="3"/>
  <c r="D39" i="3"/>
  <c r="X39" i="3"/>
  <c r="AR39" i="3"/>
  <c r="BL39" i="3"/>
  <c r="V39" i="3"/>
  <c r="AP39" i="3"/>
  <c r="BJ39" i="3"/>
  <c r="T39" i="3"/>
  <c r="T63" i="3" s="1"/>
  <c r="AN39" i="3"/>
  <c r="AN63" i="3" s="1"/>
  <c r="BH39" i="3"/>
  <c r="BH63" i="3" s="1"/>
  <c r="R44" i="3"/>
  <c r="R64" i="3" s="1"/>
  <c r="AL44" i="3"/>
  <c r="AL64" i="3" s="1"/>
  <c r="BF44" i="3"/>
  <c r="BF64" i="3" s="1"/>
  <c r="P44" i="3"/>
  <c r="P64" i="3" s="1"/>
  <c r="AJ44" i="3"/>
  <c r="AJ64" i="3" s="1"/>
  <c r="BD44" i="3"/>
  <c r="BD64" i="3" s="1"/>
  <c r="BB49" i="3"/>
  <c r="J55" i="3"/>
  <c r="AD55" i="3"/>
  <c r="H55" i="3"/>
  <c r="AB55" i="3"/>
  <c r="AV55" i="3"/>
  <c r="F55" i="3"/>
  <c r="Z55" i="3"/>
  <c r="AT55" i="3"/>
  <c r="O32" i="3"/>
  <c r="AI32" i="3"/>
  <c r="BC32" i="3"/>
  <c r="I39" i="3"/>
  <c r="AC39" i="3"/>
  <c r="AW39" i="3"/>
  <c r="U44" i="3"/>
  <c r="AO44" i="3"/>
  <c r="BI44" i="3"/>
  <c r="Q49" i="3"/>
  <c r="AK49" i="3"/>
  <c r="BE49" i="3"/>
  <c r="AG55" i="3"/>
  <c r="BA55" i="3"/>
  <c r="AV26" i="3"/>
  <c r="AV61" i="3" s="1"/>
  <c r="P32" i="3"/>
  <c r="AJ32" i="3"/>
  <c r="BD32" i="3"/>
  <c r="AX39" i="3"/>
  <c r="V44" i="3"/>
  <c r="V64" i="3" s="1"/>
  <c r="AP44" i="3"/>
  <c r="AP64" i="3" s="1"/>
  <c r="BJ44" i="3"/>
  <c r="BJ64" i="3" s="1"/>
  <c r="AH55" i="3"/>
  <c r="AA39" i="2"/>
  <c r="F55" i="2"/>
  <c r="Z55" i="2"/>
  <c r="AT55" i="2"/>
  <c r="Q32" i="2"/>
  <c r="AK32" i="2"/>
  <c r="BE32" i="2"/>
  <c r="O32" i="2"/>
  <c r="AI32" i="2"/>
  <c r="BC32" i="2"/>
  <c r="H39" i="2"/>
  <c r="AA55" i="2"/>
  <c r="R32" i="2"/>
  <c r="AL32" i="2"/>
  <c r="I39" i="2"/>
  <c r="O44" i="2"/>
  <c r="AI44" i="2"/>
  <c r="BC44" i="2"/>
  <c r="D49" i="2"/>
  <c r="AR49" i="2"/>
  <c r="H55" i="2"/>
  <c r="AB55" i="2"/>
  <c r="AV55" i="2"/>
  <c r="AM32" i="2"/>
  <c r="I55" i="2"/>
  <c r="AW55" i="2"/>
  <c r="G55" i="2"/>
  <c r="AU55" i="2"/>
  <c r="Y26" i="2"/>
  <c r="AB26" i="2"/>
  <c r="AB61" i="2" s="1"/>
  <c r="J39" i="2"/>
  <c r="T44" i="2"/>
  <c r="T64" i="2" s="1"/>
  <c r="AN44" i="2"/>
  <c r="AN64" i="2" s="1"/>
  <c r="BH44" i="2"/>
  <c r="BH64" i="2" s="1"/>
  <c r="T49" i="2"/>
  <c r="K55" i="2"/>
  <c r="AA26" i="2"/>
  <c r="J55" i="2"/>
  <c r="AD55" i="2"/>
  <c r="AD39" i="2"/>
  <c r="V49" i="2"/>
  <c r="C17" i="2"/>
  <c r="AQ17" i="2"/>
  <c r="AC26" i="2"/>
  <c r="F32" i="2"/>
  <c r="Z32" i="2"/>
  <c r="AT32" i="2"/>
  <c r="D32" i="2"/>
  <c r="AP32" i="2"/>
  <c r="AZ55" i="2"/>
  <c r="D17" i="2"/>
  <c r="D62" i="2" s="1"/>
  <c r="AD26" i="2"/>
  <c r="AD61" i="2" s="1"/>
  <c r="AF39" i="2"/>
  <c r="D44" i="2"/>
  <c r="D64" i="2" s="1"/>
  <c r="X44" i="2"/>
  <c r="X64" i="2" s="1"/>
  <c r="BL44" i="2"/>
  <c r="BL64" i="2" s="1"/>
  <c r="H32" i="2"/>
  <c r="AB32" i="2"/>
  <c r="AV32" i="2"/>
  <c r="S39" i="2"/>
  <c r="AM39" i="2"/>
  <c r="BG39" i="2"/>
  <c r="BM36" i="2" a="1"/>
  <c r="BM36" i="2" s="1"/>
  <c r="BN36" i="2" s="1" a="1"/>
  <c r="BN36" i="2" s="1"/>
  <c r="BM37" i="2" a="1"/>
  <c r="BM37" i="2" s="1"/>
  <c r="BN37" i="2" s="1" a="1"/>
  <c r="BN37" i="2" s="1"/>
  <c r="AI39" i="2"/>
  <c r="BM38" i="2" a="1"/>
  <c r="BM38" i="2" s="1"/>
  <c r="BN38" i="2" s="1" a="1"/>
  <c r="BN38" i="2" s="1"/>
  <c r="AG39" i="2"/>
  <c r="C44" i="2"/>
  <c r="BK44" i="2"/>
  <c r="N49" i="2"/>
  <c r="AH49" i="2"/>
  <c r="BB49" i="2"/>
  <c r="AE26" i="2"/>
  <c r="AC17" i="2"/>
  <c r="G17" i="2"/>
  <c r="E17" i="2"/>
  <c r="AS17" i="2"/>
  <c r="L49" i="2"/>
  <c r="C39" i="2"/>
  <c r="BM35" i="2" a="1"/>
  <c r="BM35" i="2" s="1"/>
  <c r="N32" i="2"/>
  <c r="AH32" i="2"/>
  <c r="BB32" i="2"/>
  <c r="AF49" i="2"/>
  <c r="AG26" i="2"/>
  <c r="AH26" i="2"/>
  <c r="AH61" i="2" s="1"/>
  <c r="AF26" i="2"/>
  <c r="AF61" i="2" s="1"/>
  <c r="BM23" i="2" a="1"/>
  <c r="BM23" i="2" s="1"/>
  <c r="BN23" i="2" s="1" a="1"/>
  <c r="BN23" i="2" s="1"/>
  <c r="M26" i="2"/>
  <c r="BA26" i="2"/>
  <c r="K26" i="2"/>
  <c r="AY26" i="2"/>
  <c r="I26" i="2"/>
  <c r="AW26" i="2"/>
  <c r="P44" i="2"/>
  <c r="P64" i="2" s="1"/>
  <c r="AJ44" i="2"/>
  <c r="AJ64" i="2" s="1"/>
  <c r="BD44" i="2"/>
  <c r="BD64" i="2" s="1"/>
  <c r="M49" i="2"/>
  <c r="AG49" i="2"/>
  <c r="BA49" i="2"/>
  <c r="T55" i="2"/>
  <c r="AN55" i="2"/>
  <c r="BH55" i="2"/>
  <c r="N26" i="2"/>
  <c r="N61" i="2" s="1"/>
  <c r="BB26" i="2"/>
  <c r="BB61" i="2" s="1"/>
  <c r="L26" i="2"/>
  <c r="L61" i="2" s="1"/>
  <c r="AZ26" i="2"/>
  <c r="AZ61" i="2" s="1"/>
  <c r="J26" i="2"/>
  <c r="J61" i="2" s="1"/>
  <c r="AX26" i="2"/>
  <c r="AX61" i="2" s="1"/>
  <c r="H26" i="2"/>
  <c r="H61" i="2" s="1"/>
  <c r="AV26" i="2"/>
  <c r="AV61" i="2" s="1"/>
  <c r="P32" i="2"/>
  <c r="AJ32" i="2"/>
  <c r="BD32" i="2"/>
  <c r="U39" i="2"/>
  <c r="AO39" i="2"/>
  <c r="BI39" i="2"/>
  <c r="Q44" i="2"/>
  <c r="AK44" i="2"/>
  <c r="BE44" i="2"/>
  <c r="U55" i="2"/>
  <c r="AO55" i="2"/>
  <c r="BI55" i="2"/>
  <c r="H17" i="2"/>
  <c r="H62" i="2" s="1"/>
  <c r="F17" i="2"/>
  <c r="F62" i="2" s="1"/>
  <c r="S17" i="2"/>
  <c r="AM17" i="2"/>
  <c r="BG17" i="2"/>
  <c r="AK49" i="2"/>
  <c r="T17" i="2"/>
  <c r="T62" i="2" s="1"/>
  <c r="AN17" i="2"/>
  <c r="AN62" i="2" s="1"/>
  <c r="BH17" i="2"/>
  <c r="BH62" i="2" s="1"/>
  <c r="AL49" i="2"/>
  <c r="E55" i="2"/>
  <c r="Y55" i="2"/>
  <c r="U17" i="2"/>
  <c r="AO17" i="2"/>
  <c r="BI17" i="2"/>
  <c r="AS26" i="2"/>
  <c r="S32" i="2"/>
  <c r="BG32" i="2"/>
  <c r="V17" i="2"/>
  <c r="V62" i="2" s="1"/>
  <c r="AP17" i="2"/>
  <c r="AP62" i="2" s="1"/>
  <c r="BJ17" i="2"/>
  <c r="BJ62" i="2" s="1"/>
  <c r="F26" i="2"/>
  <c r="F61" i="2" s="1"/>
  <c r="AT26" i="2"/>
  <c r="AT61" i="2" s="1"/>
  <c r="AR32" i="2"/>
  <c r="T32" i="2"/>
  <c r="BH32" i="2"/>
  <c r="AP49" i="2"/>
  <c r="W17" i="2"/>
  <c r="BK17" i="2"/>
  <c r="G26" i="2"/>
  <c r="AU26" i="2"/>
  <c r="BM22" i="2" a="1"/>
  <c r="BM22" i="2" s="1"/>
  <c r="BN22" i="2" s="1" a="1"/>
  <c r="BN22" i="2" s="1"/>
  <c r="AS32" i="2"/>
  <c r="BM43" i="2" a="1"/>
  <c r="BM43" i="2" s="1"/>
  <c r="BN43" i="2" s="1" a="1"/>
  <c r="BN43" i="2" s="1"/>
  <c r="Y44" i="2"/>
  <c r="X17" i="2"/>
  <c r="X62" i="2" s="1"/>
  <c r="BL17" i="2"/>
  <c r="BL62" i="2" s="1"/>
  <c r="G32" i="2"/>
  <c r="AA32" i="2"/>
  <c r="AU32" i="2"/>
  <c r="E32" i="2"/>
  <c r="C32" i="2"/>
  <c r="AQ32" i="2"/>
  <c r="H44" i="2"/>
  <c r="H64" i="2" s="1"/>
  <c r="AB44" i="2"/>
  <c r="AB64" i="2" s="1"/>
  <c r="AV44" i="2"/>
  <c r="AV64" i="2" s="1"/>
  <c r="F44" i="2"/>
  <c r="F64" i="2" s="1"/>
  <c r="Z44" i="2"/>
  <c r="Z64" i="2" s="1"/>
  <c r="E49" i="2"/>
  <c r="Y49" i="2"/>
  <c r="AS49" i="2"/>
  <c r="AC55" i="2"/>
  <c r="I32" i="2"/>
  <c r="AC32" i="2"/>
  <c r="AW32" i="2"/>
  <c r="J44" i="2"/>
  <c r="J64" i="2" s="1"/>
  <c r="AD44" i="2"/>
  <c r="AD64" i="2" s="1"/>
  <c r="AX44" i="2"/>
  <c r="AX64" i="2" s="1"/>
  <c r="G49" i="2"/>
  <c r="AA49" i="2"/>
  <c r="AU49" i="2"/>
  <c r="L55" i="2"/>
  <c r="J32" i="2"/>
  <c r="AD32" i="2"/>
  <c r="AX32" i="2"/>
  <c r="O39" i="2"/>
  <c r="BC39" i="2"/>
  <c r="M39" i="2"/>
  <c r="BA39" i="2"/>
  <c r="K39" i="2"/>
  <c r="AY39" i="2"/>
  <c r="AC39" i="2"/>
  <c r="K44" i="2"/>
  <c r="AE44" i="2"/>
  <c r="AY44" i="2"/>
  <c r="AV49" i="2"/>
  <c r="O55" i="2"/>
  <c r="AI55" i="2"/>
  <c r="BC55" i="2"/>
  <c r="M55" i="2"/>
  <c r="BA55" i="2"/>
  <c r="AY55" i="2"/>
  <c r="K32" i="2"/>
  <c r="AE32" i="2"/>
  <c r="AY32" i="2"/>
  <c r="P39" i="2"/>
  <c r="BD39" i="2"/>
  <c r="N39" i="2"/>
  <c r="BB39" i="2"/>
  <c r="L39" i="2"/>
  <c r="AZ39" i="2"/>
  <c r="L44" i="2"/>
  <c r="L64" i="2" s="1"/>
  <c r="AF44" i="2"/>
  <c r="AF64" i="2" s="1"/>
  <c r="AZ44" i="2"/>
  <c r="AZ64" i="2" s="1"/>
  <c r="I49" i="2"/>
  <c r="AC49" i="2"/>
  <c r="AW49" i="2"/>
  <c r="P55" i="2"/>
  <c r="AJ55" i="2"/>
  <c r="BD55" i="2"/>
  <c r="N55" i="2"/>
  <c r="BB55" i="2"/>
  <c r="L32" i="2"/>
  <c r="AF32" i="2"/>
  <c r="AZ32" i="2"/>
  <c r="Q39" i="2"/>
  <c r="AK39" i="2"/>
  <c r="BE39" i="2"/>
  <c r="M44" i="2"/>
  <c r="AG44" i="2"/>
  <c r="BA44" i="2"/>
  <c r="J49" i="2"/>
  <c r="AD49" i="2"/>
  <c r="AX49" i="2"/>
  <c r="Q55" i="2"/>
  <c r="AK55" i="2"/>
  <c r="BE55" i="2"/>
  <c r="M32" i="2"/>
  <c r="AG32" i="2"/>
  <c r="BA32" i="2"/>
  <c r="R39" i="2"/>
  <c r="AL39" i="2"/>
  <c r="BF39" i="2"/>
  <c r="N44" i="2"/>
  <c r="N64" i="2" s="1"/>
  <c r="AH44" i="2"/>
  <c r="AH64" i="2" s="1"/>
  <c r="BB44" i="2"/>
  <c r="BB64" i="2" s="1"/>
  <c r="K49" i="2"/>
  <c r="AE49" i="2"/>
  <c r="AY49" i="2"/>
  <c r="R55" i="2"/>
  <c r="AL55" i="2"/>
  <c r="BF55" i="2"/>
  <c r="BM31" i="2" a="1"/>
  <c r="BM31" i="2" s="1"/>
  <c r="BN31" i="2" s="1" a="1"/>
  <c r="BN31" i="2" s="1"/>
  <c r="BM42" i="2" a="1"/>
  <c r="BM42" i="2" s="1"/>
  <c r="BN42" i="2" s="1" a="1"/>
  <c r="BN42" i="2" s="1"/>
  <c r="H49" i="2"/>
  <c r="BM47" i="2" a="1"/>
  <c r="BM47" i="2" s="1"/>
  <c r="BN47" i="2" s="1" a="1"/>
  <c r="BN47" i="2" s="1"/>
  <c r="BM48" i="2" a="1"/>
  <c r="BM48" i="2" s="1"/>
  <c r="BN48" i="2" s="1" a="1"/>
  <c r="BN48" i="2" s="1"/>
  <c r="Z17" i="2"/>
  <c r="Z62" i="2" s="1"/>
  <c r="E44" i="2"/>
  <c r="N17" i="2"/>
  <c r="N62" i="2" s="1"/>
  <c r="BM10" i="2" a="1"/>
  <c r="BM10" i="2" s="1"/>
  <c r="BN10" i="2" s="1" a="1"/>
  <c r="BN10" i="2" s="1"/>
  <c r="AH17" i="2"/>
  <c r="AH62" i="2" s="1"/>
  <c r="BB17" i="2"/>
  <c r="BB62" i="2" s="1"/>
  <c r="L17" i="2"/>
  <c r="L62" i="2" s="1"/>
  <c r="BM11" i="2" a="1"/>
  <c r="BM11" i="2" s="1"/>
  <c r="BN11" i="2" s="1" a="1"/>
  <c r="BN11" i="2" s="1"/>
  <c r="AF17" i="2"/>
  <c r="AF62" i="2" s="1"/>
  <c r="AZ17" i="2"/>
  <c r="AZ62" i="2" s="1"/>
  <c r="J17" i="2"/>
  <c r="J62" i="2" s="1"/>
  <c r="BM12" i="2" a="1"/>
  <c r="BM12" i="2" s="1"/>
  <c r="BN12" i="2" s="1" a="1"/>
  <c r="BN12" i="2" s="1"/>
  <c r="AD17" i="2"/>
  <c r="AD62" i="2" s="1"/>
  <c r="AX17" i="2"/>
  <c r="AX62" i="2" s="1"/>
  <c r="BM13" i="2" a="1"/>
  <c r="BM13" i="2" s="1"/>
  <c r="BN13" i="2" s="1" a="1"/>
  <c r="BN13" i="2" s="1"/>
  <c r="AB17" i="2"/>
  <c r="AB62" i="2" s="1"/>
  <c r="AV17" i="2"/>
  <c r="AV62" i="2" s="1"/>
  <c r="BM14" i="2" a="1"/>
  <c r="BM14" i="2" s="1"/>
  <c r="BN14" i="2" s="1" a="1"/>
  <c r="BN14" i="2" s="1"/>
  <c r="BM15" i="2" a="1"/>
  <c r="BM15" i="2" s="1"/>
  <c r="BN15" i="2" s="1" a="1"/>
  <c r="BN15" i="2" s="1"/>
  <c r="BM20" i="2" a="1"/>
  <c r="BM20" i="2" s="1"/>
  <c r="BN20" i="2" s="1" a="1"/>
  <c r="BN20" i="2" s="1"/>
  <c r="E26" i="2"/>
  <c r="BM21" i="2" a="1"/>
  <c r="BM21" i="2" s="1"/>
  <c r="BN21" i="2" s="1" a="1"/>
  <c r="BN21" i="2" s="1"/>
  <c r="BM29" i="2" a="1"/>
  <c r="BM29" i="2" s="1"/>
  <c r="BN29" i="2" s="1" a="1"/>
  <c r="BN29" i="2" s="1"/>
  <c r="W32" i="2"/>
  <c r="BK32" i="2"/>
  <c r="U32" i="2"/>
  <c r="BI32" i="2"/>
  <c r="AB49" i="2"/>
  <c r="O17" i="2"/>
  <c r="AI17" i="2"/>
  <c r="BC17" i="2"/>
  <c r="I17" i="2"/>
  <c r="AW17" i="2"/>
  <c r="AA17" i="2"/>
  <c r="AU17" i="2"/>
  <c r="Y17" i="2"/>
  <c r="BM16" i="2" a="1"/>
  <c r="BM16" i="2" s="1"/>
  <c r="BN16" i="2" s="1" a="1"/>
  <c r="BN16" i="2" s="1"/>
  <c r="X32" i="2"/>
  <c r="BL32" i="2"/>
  <c r="V32" i="2"/>
  <c r="BJ32" i="2"/>
  <c r="AG55" i="2"/>
  <c r="AE55" i="2"/>
  <c r="BM54" i="2" a="1"/>
  <c r="BM54" i="2" s="1"/>
  <c r="BN54" i="2" s="1" a="1"/>
  <c r="BN54" i="2" s="1"/>
  <c r="P17" i="2"/>
  <c r="P62" i="2" s="1"/>
  <c r="AJ17" i="2"/>
  <c r="AJ62" i="2" s="1"/>
  <c r="BD17" i="2"/>
  <c r="BD62" i="2" s="1"/>
  <c r="Y32" i="2"/>
  <c r="BM30" i="2" a="1"/>
  <c r="BM30" i="2" s="1"/>
  <c r="AH55" i="2"/>
  <c r="AF55" i="2"/>
  <c r="Q26" i="2"/>
  <c r="AK26" i="2"/>
  <c r="BE26" i="2"/>
  <c r="O26" i="2"/>
  <c r="AI26" i="2"/>
  <c r="BC26" i="2"/>
  <c r="R26" i="2"/>
  <c r="R61" i="2" s="1"/>
  <c r="AL26" i="2"/>
  <c r="AL61" i="2" s="1"/>
  <c r="BF26" i="2"/>
  <c r="BF61" i="2" s="1"/>
  <c r="P26" i="2"/>
  <c r="P61" i="2" s="1"/>
  <c r="AJ26" i="2"/>
  <c r="AJ61" i="2" s="1"/>
  <c r="BD26" i="2"/>
  <c r="BD61" i="2" s="1"/>
  <c r="S26" i="2"/>
  <c r="AM26" i="2"/>
  <c r="BG26" i="2"/>
  <c r="T26" i="2"/>
  <c r="T61" i="2" s="1"/>
  <c r="AN26" i="2"/>
  <c r="AN61" i="2" s="1"/>
  <c r="BH26" i="2"/>
  <c r="BH61" i="2" s="1"/>
  <c r="T39" i="2"/>
  <c r="AN39" i="2"/>
  <c r="BH39" i="2"/>
  <c r="U26" i="2"/>
  <c r="AO26" i="2"/>
  <c r="BI26" i="2"/>
  <c r="BM53" i="2" a="1"/>
  <c r="BM53" i="2" s="1"/>
  <c r="BN53" i="2" s="1" a="1"/>
  <c r="BN53" i="2" s="1"/>
  <c r="C26" i="2"/>
  <c r="W26" i="2"/>
  <c r="BK26" i="2"/>
  <c r="F49" i="2"/>
  <c r="Z49" i="2"/>
  <c r="AT49" i="2"/>
  <c r="AN49" i="2"/>
  <c r="BM25" i="2" a="1"/>
  <c r="BM25" i="2" s="1"/>
  <c r="BN25" i="2" s="1" a="1"/>
  <c r="BN25" i="2" s="1"/>
  <c r="BM24" i="2" a="1"/>
  <c r="BM24" i="2" s="1"/>
  <c r="BN24" i="2" s="1" a="1"/>
  <c r="BN24" i="2" s="1"/>
  <c r="K17" i="2"/>
  <c r="AE17" i="2"/>
  <c r="AY17" i="2"/>
  <c r="V26" i="2"/>
  <c r="V61" i="2" s="1"/>
  <c r="AP26" i="2"/>
  <c r="AP61" i="2" s="1"/>
  <c r="BJ26" i="2"/>
  <c r="BJ61" i="2" s="1"/>
  <c r="AQ26" i="2"/>
  <c r="M17" i="2"/>
  <c r="AG17" i="2"/>
  <c r="BA17" i="2"/>
  <c r="D26" i="2"/>
  <c r="D61" i="2" s="1"/>
  <c r="X26" i="2"/>
  <c r="X61" i="2" s="1"/>
  <c r="AR26" i="2"/>
  <c r="AR61" i="2" s="1"/>
  <c r="BL26" i="2"/>
  <c r="BL61" i="2" s="1"/>
  <c r="BM52" i="2" a="1"/>
  <c r="BM52" i="2" s="1"/>
  <c r="BN52" i="2" s="1" a="1"/>
  <c r="BN52" i="2" s="1"/>
  <c r="BM23" i="3" a="1"/>
  <c r="BM23" i="3" s="1"/>
  <c r="BN23" i="3" s="1" a="1"/>
  <c r="BN23" i="3" s="1"/>
  <c r="L49" i="3"/>
  <c r="AZ49" i="3"/>
  <c r="P49" i="3"/>
  <c r="BD49" i="3"/>
  <c r="AF49" i="3"/>
  <c r="BM38" i="3" a="1"/>
  <c r="BM38" i="3" s="1"/>
  <c r="BN38" i="3" s="1" a="1"/>
  <c r="BN38" i="3" s="1"/>
  <c r="AH49" i="3"/>
  <c r="BM42" i="3" a="1"/>
  <c r="BM42" i="3" s="1"/>
  <c r="BN42" i="3" s="1" a="1"/>
  <c r="BN42" i="3" s="1"/>
  <c r="F17" i="3"/>
  <c r="F62" i="3" s="1"/>
  <c r="Z17" i="3"/>
  <c r="Z62" i="3" s="1"/>
  <c r="AT17" i="3"/>
  <c r="AT62" i="3" s="1"/>
  <c r="G17" i="3"/>
  <c r="AU17" i="3"/>
  <c r="BM25" i="3" a="1"/>
  <c r="BM25" i="3" s="1"/>
  <c r="BN25" i="3" s="1" a="1"/>
  <c r="BN25" i="3" s="1"/>
  <c r="AB17" i="3"/>
  <c r="AB62" i="3" s="1"/>
  <c r="N49" i="3"/>
  <c r="AA32" i="3"/>
  <c r="H17" i="3"/>
  <c r="H62" i="3" s="1"/>
  <c r="P26" i="3"/>
  <c r="P61" i="3" s="1"/>
  <c r="BD26" i="3"/>
  <c r="BD61" i="3" s="1"/>
  <c r="AK26" i="3"/>
  <c r="O26" i="3"/>
  <c r="BC26" i="3"/>
  <c r="Z49" i="3"/>
  <c r="V49" i="3"/>
  <c r="BM10" i="3" a="1"/>
  <c r="BM10" i="3" s="1"/>
  <c r="K39" i="3"/>
  <c r="AD39" i="3"/>
  <c r="C55" i="3"/>
  <c r="BM52" i="3" a="1"/>
  <c r="BM52" i="3" s="1"/>
  <c r="BN52" i="3" s="1" a="1"/>
  <c r="BN52" i="3" s="1"/>
  <c r="M39" i="3"/>
  <c r="BM36" i="3" a="1"/>
  <c r="BM36" i="3" s="1"/>
  <c r="BN36" i="3" s="1" a="1"/>
  <c r="BN36" i="3" s="1"/>
  <c r="J32" i="3"/>
  <c r="BM29" i="3" a="1"/>
  <c r="BM29" i="3" s="1"/>
  <c r="BM30" i="3" a="1"/>
  <c r="BM30" i="3" s="1"/>
  <c r="BN30" i="3" s="1" a="1"/>
  <c r="BN30" i="3" s="1"/>
  <c r="H32" i="3"/>
  <c r="BM31" i="3" a="1"/>
  <c r="BM31" i="3" s="1"/>
  <c r="BN31" i="3" s="1" a="1"/>
  <c r="BN31" i="3" s="1"/>
  <c r="BM13" i="3" a="1"/>
  <c r="BM13" i="3" s="1"/>
  <c r="BN13" i="3" s="1" a="1"/>
  <c r="BN13" i="3" s="1"/>
  <c r="J17" i="3"/>
  <c r="J62" i="3" s="1"/>
  <c r="AC17" i="3"/>
  <c r="AA17" i="3"/>
  <c r="BM53" i="3" a="1"/>
  <c r="BM53" i="3" s="1"/>
  <c r="BN53" i="3" s="1" a="1"/>
  <c r="BN53" i="3" s="1"/>
  <c r="S49" i="3"/>
  <c r="AM49" i="3"/>
  <c r="BG49" i="3"/>
  <c r="T49" i="3"/>
  <c r="AN49" i="3"/>
  <c r="BH49" i="3"/>
  <c r="R49" i="3"/>
  <c r="AL49" i="3"/>
  <c r="BF49" i="3"/>
  <c r="BM54" i="3" a="1"/>
  <c r="BM54" i="3" s="1"/>
  <c r="BN54" i="3" s="1" a="1"/>
  <c r="BN54" i="3" s="1"/>
  <c r="BM47" i="3" a="1"/>
  <c r="BM47" i="3" s="1"/>
  <c r="G26" i="3"/>
  <c r="D17" i="3"/>
  <c r="D62" i="3" s="1"/>
  <c r="BL17" i="3"/>
  <c r="BL62" i="3" s="1"/>
  <c r="BM48" i="3" a="1"/>
  <c r="BM48" i="3" s="1"/>
  <c r="BN48" i="3" s="1" a="1"/>
  <c r="BN48" i="3" s="1"/>
  <c r="AP49" i="3"/>
  <c r="AS17" i="3"/>
  <c r="C49" i="3"/>
  <c r="D49" i="3"/>
  <c r="AR49" i="3"/>
  <c r="E17" i="3"/>
  <c r="Y17" i="3"/>
  <c r="BM43" i="3" a="1"/>
  <c r="BM43" i="3" s="1"/>
  <c r="BN43" i="3" s="1" a="1"/>
  <c r="BN43" i="3" s="1"/>
  <c r="BM24" i="3" a="1"/>
  <c r="BM24" i="3" s="1"/>
  <c r="BN24" i="3" s="1" a="1"/>
  <c r="BN24" i="3" s="1"/>
  <c r="J49" i="3"/>
  <c r="C44" i="3"/>
  <c r="AR17" i="3"/>
  <c r="AR62" i="3" s="1"/>
  <c r="BM21" i="3" a="1"/>
  <c r="BM21" i="3" s="1"/>
  <c r="BN21" i="3" s="1" a="1"/>
  <c r="BN21" i="3" s="1"/>
  <c r="V32" i="3"/>
  <c r="AP32" i="3"/>
  <c r="BJ32" i="3"/>
  <c r="X17" i="3"/>
  <c r="X62" i="3" s="1"/>
  <c r="AX49" i="3"/>
  <c r="F49" i="3"/>
  <c r="BM35" i="3" a="1"/>
  <c r="BM35" i="3" s="1"/>
  <c r="BN35" i="3" s="1" a="1"/>
  <c r="BN35" i="3" s="1"/>
  <c r="L17" i="3"/>
  <c r="L62" i="3" s="1"/>
  <c r="AF17" i="3"/>
  <c r="AF62" i="3" s="1"/>
  <c r="AZ17" i="3"/>
  <c r="AZ62" i="3" s="1"/>
  <c r="BM22" i="3" a="1"/>
  <c r="BM22" i="3" s="1"/>
  <c r="BN22" i="3" s="1" a="1"/>
  <c r="BN22" i="3" s="1"/>
  <c r="AT49" i="3"/>
  <c r="M17" i="3"/>
  <c r="AG17" i="3"/>
  <c r="BA17" i="3"/>
  <c r="K17" i="3"/>
  <c r="AE17" i="3"/>
  <c r="AY17" i="3"/>
  <c r="BM14" i="3" a="1"/>
  <c r="BM14" i="3" s="1"/>
  <c r="BN14" i="3" s="1" a="1"/>
  <c r="BN14" i="3" s="1"/>
  <c r="BM15" i="3" a="1"/>
  <c r="BM15" i="3" s="1"/>
  <c r="BN15" i="3" s="1" a="1"/>
  <c r="BN15" i="3" s="1"/>
  <c r="BJ49" i="3"/>
  <c r="T55" i="3"/>
  <c r="AN55" i="3"/>
  <c r="BH55" i="3"/>
  <c r="R55" i="3"/>
  <c r="AL55" i="3"/>
  <c r="BF55" i="3"/>
  <c r="N17" i="3"/>
  <c r="N62" i="3" s="1"/>
  <c r="AH17" i="3"/>
  <c r="AH62" i="3" s="1"/>
  <c r="BB17" i="3"/>
  <c r="BB62" i="3" s="1"/>
  <c r="U55" i="3"/>
  <c r="AO55" i="3"/>
  <c r="BI55" i="3"/>
  <c r="S55" i="3"/>
  <c r="AM55" i="3"/>
  <c r="BG55" i="3"/>
  <c r="O17" i="3"/>
  <c r="AI17" i="3"/>
  <c r="BC17" i="3"/>
  <c r="BM16" i="3" a="1"/>
  <c r="BM16" i="3" s="1"/>
  <c r="BN16" i="3" s="1" a="1"/>
  <c r="BN16" i="3" s="1"/>
  <c r="M44" i="3"/>
  <c r="AG44" i="3"/>
  <c r="BA44" i="3"/>
  <c r="BL49" i="3"/>
  <c r="BM20" i="3" a="1"/>
  <c r="BM20" i="3" s="1"/>
  <c r="BN20" i="3" s="1" a="1"/>
  <c r="BN20" i="3" s="1"/>
  <c r="BJ80" i="3" l="1"/>
  <c r="L80" i="3"/>
  <c r="AV63" i="3"/>
  <c r="AP63" i="2"/>
  <c r="D63" i="2"/>
  <c r="AD63" i="2"/>
  <c r="AR63" i="2"/>
  <c r="BB63" i="3"/>
  <c r="BB68" i="3" s="1"/>
  <c r="N63" i="3"/>
  <c r="N66" i="3" s="1"/>
  <c r="AT63" i="3"/>
  <c r="AT66" i="3" s="1"/>
  <c r="AT80" i="3"/>
  <c r="D63" i="3"/>
  <c r="D68" i="3" s="1"/>
  <c r="AR80" i="3"/>
  <c r="AH63" i="3"/>
  <c r="AH68" i="3" s="1"/>
  <c r="F80" i="3"/>
  <c r="BD63" i="3"/>
  <c r="BD68" i="3" s="1"/>
  <c r="X80" i="3"/>
  <c r="AJ63" i="3"/>
  <c r="AJ68" i="3" s="1"/>
  <c r="AP63" i="3"/>
  <c r="AP66" i="3" s="1"/>
  <c r="AB67" i="3"/>
  <c r="AL80" i="3"/>
  <c r="AB63" i="3"/>
  <c r="AB68" i="3" s="1"/>
  <c r="AB70" i="3" s="1"/>
  <c r="AB80" i="3"/>
  <c r="BF80" i="3"/>
  <c r="V80" i="3"/>
  <c r="AX80" i="3"/>
  <c r="AX63" i="3"/>
  <c r="AX68" i="3" s="1"/>
  <c r="H80" i="3"/>
  <c r="X63" i="3"/>
  <c r="X66" i="3" s="1"/>
  <c r="BB80" i="2"/>
  <c r="AL80" i="2"/>
  <c r="BH63" i="2"/>
  <c r="BH66" i="2" s="1"/>
  <c r="AF63" i="2"/>
  <c r="AF68" i="2" s="1"/>
  <c r="L63" i="2"/>
  <c r="L68" i="2" s="1"/>
  <c r="Z63" i="2"/>
  <c r="Z66" i="2" s="1"/>
  <c r="BJ80" i="2"/>
  <c r="F63" i="2"/>
  <c r="F68" i="2" s="1"/>
  <c r="AP80" i="2"/>
  <c r="BD80" i="2"/>
  <c r="AZ63" i="2"/>
  <c r="AZ68" i="2" s="1"/>
  <c r="AT63" i="2"/>
  <c r="AT68" i="2" s="1"/>
  <c r="BB63" i="2"/>
  <c r="BB68" i="2" s="1"/>
  <c r="P80" i="2"/>
  <c r="H80" i="2"/>
  <c r="AH63" i="2"/>
  <c r="AH66" i="2" s="1"/>
  <c r="BN73" i="2" a="1"/>
  <c r="BN73" i="2" s="1"/>
  <c r="AP69" i="2"/>
  <c r="T80" i="2"/>
  <c r="L80" i="2"/>
  <c r="AN80" i="2"/>
  <c r="V69" i="2"/>
  <c r="V67" i="2"/>
  <c r="BN77" i="2" a="1"/>
  <c r="BN77" i="2" s="1"/>
  <c r="BN79" i="2" a="1"/>
  <c r="BN79" i="2" s="1"/>
  <c r="X63" i="2"/>
  <c r="X66" i="2" s="1"/>
  <c r="AB63" i="2"/>
  <c r="AB66" i="2" s="1"/>
  <c r="BJ67" i="2"/>
  <c r="V63" i="2"/>
  <c r="V68" i="2" s="1"/>
  <c r="R80" i="2"/>
  <c r="AJ80" i="2"/>
  <c r="AV80" i="2"/>
  <c r="BN62" i="2" a="1"/>
  <c r="BN62" i="2" s="1"/>
  <c r="AH80" i="2"/>
  <c r="BH67" i="2"/>
  <c r="BH69" i="2"/>
  <c r="AN69" i="2"/>
  <c r="AN67" i="2"/>
  <c r="T69" i="2"/>
  <c r="T67" i="2"/>
  <c r="BF67" i="2"/>
  <c r="BF69" i="2"/>
  <c r="BB67" i="2"/>
  <c r="BB69" i="2"/>
  <c r="R69" i="2"/>
  <c r="R67" i="2"/>
  <c r="AB69" i="2"/>
  <c r="AB67" i="2"/>
  <c r="AT67" i="2"/>
  <c r="AT69" i="2"/>
  <c r="F67" i="2"/>
  <c r="F69" i="2"/>
  <c r="AL67" i="2"/>
  <c r="AL69" i="2"/>
  <c r="AH67" i="2"/>
  <c r="AH69" i="2"/>
  <c r="AX67" i="2"/>
  <c r="AX69" i="2"/>
  <c r="L67" i="2"/>
  <c r="L69" i="2"/>
  <c r="J67" i="2"/>
  <c r="J69" i="2"/>
  <c r="X69" i="2"/>
  <c r="X67" i="2"/>
  <c r="Z69" i="2"/>
  <c r="Z67" i="2"/>
  <c r="AV67" i="2"/>
  <c r="AV69" i="2"/>
  <c r="N67" i="2"/>
  <c r="N69" i="2"/>
  <c r="H67" i="2"/>
  <c r="H69" i="2"/>
  <c r="AD69" i="2"/>
  <c r="AD67" i="2"/>
  <c r="AZ67" i="2"/>
  <c r="AZ69" i="2"/>
  <c r="AF69" i="2"/>
  <c r="AF67" i="2"/>
  <c r="BL69" i="2"/>
  <c r="BL67" i="2"/>
  <c r="J80" i="2"/>
  <c r="AZ80" i="2"/>
  <c r="AJ67" i="2"/>
  <c r="AJ69" i="2"/>
  <c r="AR80" i="2"/>
  <c r="V80" i="2"/>
  <c r="AR67" i="2"/>
  <c r="AR69" i="2"/>
  <c r="D67" i="2"/>
  <c r="BN64" i="2" a="1"/>
  <c r="BN64" i="2" s="1"/>
  <c r="D69" i="2"/>
  <c r="AP68" i="2"/>
  <c r="AP66" i="2"/>
  <c r="AX63" i="2"/>
  <c r="AX68" i="2" s="1"/>
  <c r="BH76" i="2"/>
  <c r="BH78" i="2"/>
  <c r="BH80" i="2" s="1"/>
  <c r="D80" i="2"/>
  <c r="P69" i="2"/>
  <c r="P67" i="2"/>
  <c r="AV63" i="2"/>
  <c r="AV68" i="2" s="1"/>
  <c r="N80" i="2"/>
  <c r="F80" i="2"/>
  <c r="Z80" i="2"/>
  <c r="AB80" i="2"/>
  <c r="BF63" i="2"/>
  <c r="BF66" i="2" s="1"/>
  <c r="N63" i="2"/>
  <c r="N68" i="2" s="1"/>
  <c r="BL63" i="2"/>
  <c r="BL66" i="2" s="1"/>
  <c r="AR66" i="2"/>
  <c r="AR68" i="2"/>
  <c r="H63" i="2"/>
  <c r="H68" i="2" s="1"/>
  <c r="BF80" i="2"/>
  <c r="BD67" i="2"/>
  <c r="BD69" i="2"/>
  <c r="BL78" i="2"/>
  <c r="BL80" i="2" s="1"/>
  <c r="BL76" i="2"/>
  <c r="T63" i="2"/>
  <c r="T66" i="2" s="1"/>
  <c r="J63" i="2"/>
  <c r="J66" i="2" s="1"/>
  <c r="X76" i="2"/>
  <c r="X78" i="2"/>
  <c r="X80" i="2" s="1"/>
  <c r="AT80" i="2"/>
  <c r="AX80" i="2"/>
  <c r="BD63" i="2"/>
  <c r="BD68" i="2" s="1"/>
  <c r="AL63" i="2"/>
  <c r="AL68" i="2" s="1"/>
  <c r="AN63" i="2"/>
  <c r="AN66" i="2" s="1"/>
  <c r="BN61" i="2" a="1"/>
  <c r="BN61" i="2" s="1"/>
  <c r="D68" i="2"/>
  <c r="D66" i="2"/>
  <c r="AJ63" i="2"/>
  <c r="AJ66" i="2" s="1"/>
  <c r="R63" i="2"/>
  <c r="R68" i="2" s="1"/>
  <c r="AF80" i="2"/>
  <c r="BJ63" i="2"/>
  <c r="BJ68" i="2" s="1"/>
  <c r="BJ70" i="2" s="1"/>
  <c r="P63" i="2"/>
  <c r="P68" i="2" s="1"/>
  <c r="AD66" i="2"/>
  <c r="AD68" i="2"/>
  <c r="AD80" i="2"/>
  <c r="BB67" i="3"/>
  <c r="BB69" i="3"/>
  <c r="AV69" i="3"/>
  <c r="AV67" i="3"/>
  <c r="BD67" i="3"/>
  <c r="BD69" i="3"/>
  <c r="BH69" i="3"/>
  <c r="BH67" i="3"/>
  <c r="AJ67" i="3"/>
  <c r="AJ69" i="3"/>
  <c r="AN67" i="3"/>
  <c r="AN69" i="3"/>
  <c r="P67" i="3"/>
  <c r="P69" i="3"/>
  <c r="T69" i="3"/>
  <c r="T67" i="3"/>
  <c r="AX69" i="3"/>
  <c r="AX67" i="3"/>
  <c r="AD69" i="3"/>
  <c r="AD67" i="3"/>
  <c r="J69" i="3"/>
  <c r="J67" i="3"/>
  <c r="AZ67" i="3"/>
  <c r="AZ69" i="3"/>
  <c r="AP67" i="3"/>
  <c r="AP69" i="3"/>
  <c r="AF69" i="3"/>
  <c r="AF67" i="3"/>
  <c r="L67" i="3"/>
  <c r="L69" i="3"/>
  <c r="BJ69" i="3"/>
  <c r="BJ67" i="3"/>
  <c r="V69" i="3"/>
  <c r="V67" i="3"/>
  <c r="BN76" i="3" a="1"/>
  <c r="BN76" i="3" s="1"/>
  <c r="BD80" i="3"/>
  <c r="N80" i="3"/>
  <c r="BN77" i="3" a="1"/>
  <c r="BN77" i="3" s="1"/>
  <c r="AZ68" i="3"/>
  <c r="AZ66" i="3"/>
  <c r="AJ80" i="3"/>
  <c r="P80" i="3"/>
  <c r="Z63" i="3"/>
  <c r="Z68" i="3" s="1"/>
  <c r="Z70" i="3" s="1"/>
  <c r="BB80" i="3"/>
  <c r="X68" i="3"/>
  <c r="BN61" i="3" a="1"/>
  <c r="BN61" i="3" s="1"/>
  <c r="D80" i="3"/>
  <c r="BN78" i="3" a="1"/>
  <c r="BN78" i="3" s="1"/>
  <c r="R67" i="3"/>
  <c r="R69" i="3"/>
  <c r="N67" i="3"/>
  <c r="N69" i="3"/>
  <c r="AL66" i="3"/>
  <c r="AL68" i="3"/>
  <c r="AL70" i="3" s="1"/>
  <c r="Z80" i="3"/>
  <c r="AP80" i="3"/>
  <c r="BN79" i="3" a="1"/>
  <c r="BN79" i="3" s="1"/>
  <c r="R68" i="3"/>
  <c r="R66" i="3"/>
  <c r="R80" i="3"/>
  <c r="AD80" i="3"/>
  <c r="BH80" i="3"/>
  <c r="H67" i="3"/>
  <c r="H69" i="3"/>
  <c r="AL67" i="3"/>
  <c r="AL69" i="3"/>
  <c r="BF66" i="3"/>
  <c r="BF68" i="3"/>
  <c r="H63" i="3"/>
  <c r="H68" i="3" s="1"/>
  <c r="AN66" i="3"/>
  <c r="AN68" i="3"/>
  <c r="AF68" i="3"/>
  <c r="AF66" i="3"/>
  <c r="BL69" i="3"/>
  <c r="BL67" i="3"/>
  <c r="AZ80" i="3"/>
  <c r="J80" i="3"/>
  <c r="BN62" i="3" a="1"/>
  <c r="BN62" i="3" s="1"/>
  <c r="J63" i="3"/>
  <c r="J66" i="3" s="1"/>
  <c r="T66" i="3"/>
  <c r="T68" i="3"/>
  <c r="L68" i="3"/>
  <c r="L66" i="3"/>
  <c r="T80" i="3"/>
  <c r="AR69" i="3"/>
  <c r="AR67" i="3"/>
  <c r="AH80" i="3"/>
  <c r="AH67" i="3"/>
  <c r="AH69" i="3"/>
  <c r="F63" i="3"/>
  <c r="BL63" i="3"/>
  <c r="BL66" i="3" s="1"/>
  <c r="BL80" i="3"/>
  <c r="X69" i="3"/>
  <c r="X67" i="3"/>
  <c r="BF69" i="3"/>
  <c r="BF67" i="3"/>
  <c r="AD63" i="3"/>
  <c r="AD66" i="3" s="1"/>
  <c r="AD68" i="3"/>
  <c r="BH66" i="3"/>
  <c r="BH68" i="3"/>
  <c r="BJ63" i="3"/>
  <c r="BJ68" i="3" s="1"/>
  <c r="P63" i="3"/>
  <c r="P68" i="3" s="1"/>
  <c r="BJ66" i="3"/>
  <c r="V63" i="3"/>
  <c r="V66" i="3" s="1"/>
  <c r="AV68" i="3"/>
  <c r="AV66" i="3"/>
  <c r="AR63" i="3"/>
  <c r="AR68" i="3" s="1"/>
  <c r="AV80" i="3"/>
  <c r="AN80" i="3"/>
  <c r="D69" i="3"/>
  <c r="BN64" i="3" a="1"/>
  <c r="BN64" i="3" s="1"/>
  <c r="D67" i="3"/>
  <c r="AF80" i="3"/>
  <c r="E57" i="3"/>
  <c r="AE57" i="3"/>
  <c r="W57" i="2"/>
  <c r="AV57" i="3"/>
  <c r="AA57" i="3"/>
  <c r="P57" i="3"/>
  <c r="AQ57" i="2"/>
  <c r="AB57" i="3"/>
  <c r="BK57" i="2"/>
  <c r="AC57" i="3"/>
  <c r="AX57" i="3"/>
  <c r="K57" i="3"/>
  <c r="BM17" i="3"/>
  <c r="AK57" i="3"/>
  <c r="V57" i="3"/>
  <c r="Q57" i="3"/>
  <c r="AW57" i="3"/>
  <c r="BN44" i="3"/>
  <c r="I57" i="3"/>
  <c r="BN39" i="3"/>
  <c r="BE57" i="3"/>
  <c r="BK57" i="3"/>
  <c r="AQ57" i="3"/>
  <c r="Y57" i="3"/>
  <c r="W57" i="3"/>
  <c r="G57" i="2"/>
  <c r="AH57" i="2"/>
  <c r="AU57" i="2"/>
  <c r="AT57" i="2"/>
  <c r="M57" i="3"/>
  <c r="BC57" i="3"/>
  <c r="BJ57" i="3"/>
  <c r="BM32" i="3"/>
  <c r="BN10" i="3" a="1"/>
  <c r="BN10" i="3" s="1"/>
  <c r="BN17" i="3" s="1"/>
  <c r="AU57" i="3"/>
  <c r="BD57" i="3"/>
  <c r="R57" i="3"/>
  <c r="AI57" i="3"/>
  <c r="F57" i="3"/>
  <c r="BI57" i="3"/>
  <c r="AO57" i="3"/>
  <c r="AJ57" i="3"/>
  <c r="AD57" i="3"/>
  <c r="U57" i="3"/>
  <c r="AS57" i="3"/>
  <c r="AP57" i="3"/>
  <c r="AY57" i="3"/>
  <c r="AO57" i="2"/>
  <c r="AY57" i="2"/>
  <c r="U57" i="2"/>
  <c r="AN57" i="2"/>
  <c r="AA57" i="2"/>
  <c r="Y57" i="2"/>
  <c r="BM32" i="2"/>
  <c r="BN44" i="2"/>
  <c r="Q57" i="2"/>
  <c r="AC57" i="2"/>
  <c r="AS57" i="2"/>
  <c r="BL57" i="2"/>
  <c r="AK57" i="2"/>
  <c r="BM39" i="2"/>
  <c r="X57" i="2"/>
  <c r="H57" i="2"/>
  <c r="AP57" i="2"/>
  <c r="BF57" i="2"/>
  <c r="V57" i="2"/>
  <c r="AZ57" i="2"/>
  <c r="K57" i="2"/>
  <c r="D57" i="2"/>
  <c r="AI57" i="2"/>
  <c r="M57" i="2"/>
  <c r="AM57" i="2"/>
  <c r="AE57" i="2"/>
  <c r="N57" i="2"/>
  <c r="O57" i="2"/>
  <c r="BM26" i="2"/>
  <c r="F57" i="2"/>
  <c r="C57" i="2"/>
  <c r="L57" i="2"/>
  <c r="BN55" i="2"/>
  <c r="BE57" i="2"/>
  <c r="BB57" i="2"/>
  <c r="BM44" i="2"/>
  <c r="BA57" i="2"/>
  <c r="BG57" i="2"/>
  <c r="BI57" i="2"/>
  <c r="BC57" i="2"/>
  <c r="AV57" i="2"/>
  <c r="S57" i="2"/>
  <c r="BN35" i="2" a="1"/>
  <c r="BN35" i="2" s="1"/>
  <c r="BN39" i="2" s="1"/>
  <c r="AW57" i="2"/>
  <c r="BM49" i="2"/>
  <c r="AR57" i="2"/>
  <c r="AF57" i="2"/>
  <c r="I57" i="2"/>
  <c r="Z57" i="2"/>
  <c r="BN30" i="2" a="1"/>
  <c r="BN30" i="2" s="1"/>
  <c r="BN32" i="2" s="1"/>
  <c r="T57" i="2"/>
  <c r="BM17" i="2"/>
  <c r="BN17" i="2"/>
  <c r="AJ57" i="2"/>
  <c r="AG57" i="2"/>
  <c r="BH57" i="2"/>
  <c r="BM55" i="2"/>
  <c r="BJ57" i="2"/>
  <c r="AD57" i="2"/>
  <c r="J57" i="2"/>
  <c r="AL57" i="2"/>
  <c r="AB57" i="2"/>
  <c r="R57" i="2"/>
  <c r="AX57" i="2"/>
  <c r="BD57" i="2"/>
  <c r="P57" i="2"/>
  <c r="BN49" i="2"/>
  <c r="BN26" i="2"/>
  <c r="E57" i="2"/>
  <c r="J57" i="3"/>
  <c r="BA57" i="3"/>
  <c r="G57" i="3"/>
  <c r="BM49" i="3"/>
  <c r="Z57" i="3"/>
  <c r="BM44" i="3"/>
  <c r="BM39" i="3"/>
  <c r="AT57" i="3"/>
  <c r="AR57" i="3"/>
  <c r="BN55" i="3"/>
  <c r="O57" i="3"/>
  <c r="BN26" i="3"/>
  <c r="BF57" i="3"/>
  <c r="D57" i="3"/>
  <c r="AH57" i="3"/>
  <c r="BN29" i="3" a="1"/>
  <c r="BN29" i="3" s="1"/>
  <c r="BN32" i="3" s="1"/>
  <c r="BM26" i="3"/>
  <c r="H57" i="3"/>
  <c r="AG57" i="3"/>
  <c r="AL57" i="3"/>
  <c r="BH57" i="3"/>
  <c r="BB57" i="3"/>
  <c r="C57" i="3"/>
  <c r="BL57" i="3"/>
  <c r="X57" i="3"/>
  <c r="BM55" i="3"/>
  <c r="AN57" i="3"/>
  <c r="T57" i="3"/>
  <c r="BG57" i="3"/>
  <c r="AF57" i="3"/>
  <c r="BN47" i="3" a="1"/>
  <c r="BN47" i="3" s="1"/>
  <c r="BN49" i="3" s="1"/>
  <c r="AM57" i="3"/>
  <c r="AZ57" i="3"/>
  <c r="L57" i="3"/>
  <c r="S57" i="3"/>
  <c r="N57" i="3"/>
  <c r="BD70" i="2" l="1"/>
  <c r="BJ66" i="2"/>
  <c r="V70" i="2"/>
  <c r="T68" i="2"/>
  <c r="AH66" i="3"/>
  <c r="BB66" i="3"/>
  <c r="H70" i="3"/>
  <c r="N68" i="3"/>
  <c r="AT68" i="3"/>
  <c r="AT70" i="3" s="1"/>
  <c r="BD66" i="3"/>
  <c r="AB66" i="3"/>
  <c r="D66" i="3"/>
  <c r="BF70" i="3"/>
  <c r="AJ66" i="3"/>
  <c r="P70" i="3"/>
  <c r="BJ70" i="3"/>
  <c r="AP68" i="3"/>
  <c r="AP70" i="3" s="1"/>
  <c r="AN70" i="3"/>
  <c r="BH70" i="3"/>
  <c r="Z66" i="3"/>
  <c r="BD70" i="3"/>
  <c r="H66" i="3"/>
  <c r="AR70" i="3"/>
  <c r="J68" i="3"/>
  <c r="J70" i="3" s="1"/>
  <c r="AF70" i="3"/>
  <c r="AZ70" i="3"/>
  <c r="AX66" i="3"/>
  <c r="AV70" i="3"/>
  <c r="BN63" i="3" a="1"/>
  <c r="BN63" i="3" s="1"/>
  <c r="Z68" i="2"/>
  <c r="Z70" i="2" s="1"/>
  <c r="AP70" i="2"/>
  <c r="BB66" i="2"/>
  <c r="AF66" i="2"/>
  <c r="BH68" i="2"/>
  <c r="BH70" i="2" s="1"/>
  <c r="AL70" i="2"/>
  <c r="V66" i="2"/>
  <c r="F66" i="2"/>
  <c r="BN76" i="2" a="1"/>
  <c r="BN76" i="2" s="1"/>
  <c r="AH68" i="2"/>
  <c r="AH70" i="2" s="1"/>
  <c r="L66" i="2"/>
  <c r="AT70" i="2"/>
  <c r="AT66" i="2"/>
  <c r="AZ66" i="2"/>
  <c r="AJ68" i="2"/>
  <c r="AJ70" i="2" s="1"/>
  <c r="BF68" i="2"/>
  <c r="BF70" i="2" s="1"/>
  <c r="R70" i="2"/>
  <c r="P70" i="2"/>
  <c r="N70" i="2"/>
  <c r="AX70" i="2"/>
  <c r="AF70" i="2"/>
  <c r="AB68" i="2"/>
  <c r="AB70" i="2" s="1"/>
  <c r="T70" i="2"/>
  <c r="AZ70" i="2"/>
  <c r="H70" i="2"/>
  <c r="X68" i="2"/>
  <c r="X70" i="2" s="1"/>
  <c r="AV70" i="2"/>
  <c r="AL66" i="2"/>
  <c r="BL68" i="2"/>
  <c r="BL70" i="2" s="1"/>
  <c r="BD66" i="2"/>
  <c r="BN67" i="2" a="1"/>
  <c r="BN67" i="2" s="1"/>
  <c r="AV66" i="2"/>
  <c r="J68" i="2"/>
  <c r="J70" i="2" s="1"/>
  <c r="BN63" i="2" a="1"/>
  <c r="BN63" i="2" s="1"/>
  <c r="BB70" i="2"/>
  <c r="AN68" i="2"/>
  <c r="AN70" i="2" s="1"/>
  <c r="BN78" i="2" a="1"/>
  <c r="BN78" i="2" s="1"/>
  <c r="N66" i="2"/>
  <c r="D70" i="2"/>
  <c r="R66" i="2"/>
  <c r="H66" i="2"/>
  <c r="AD70" i="2"/>
  <c r="BN80" i="2"/>
  <c r="F70" i="2"/>
  <c r="AX66" i="2"/>
  <c r="AR70" i="2"/>
  <c r="BN69" i="2" a="1"/>
  <c r="BN69" i="2" s="1"/>
  <c r="P66" i="2"/>
  <c r="L70" i="2"/>
  <c r="R70" i="3"/>
  <c r="AX70" i="3"/>
  <c r="BN80" i="3"/>
  <c r="AD70" i="3"/>
  <c r="AJ70" i="3"/>
  <c r="P66" i="3"/>
  <c r="AR66" i="3"/>
  <c r="BN67" i="3" a="1"/>
  <c r="BN67" i="3" s="1"/>
  <c r="AH70" i="3"/>
  <c r="BL68" i="3"/>
  <c r="BL70" i="3" s="1"/>
  <c r="F66" i="3"/>
  <c r="N70" i="3"/>
  <c r="V68" i="3"/>
  <c r="V70" i="3" s="1"/>
  <c r="F68" i="3"/>
  <c r="F70" i="3" s="1"/>
  <c r="BB70" i="3"/>
  <c r="BN69" i="3" a="1"/>
  <c r="BN69" i="3" s="1"/>
  <c r="D70" i="3"/>
  <c r="L70" i="3"/>
  <c r="T70" i="3"/>
  <c r="X70" i="3"/>
  <c r="BM57" i="2"/>
  <c r="BN57" i="2"/>
  <c r="BN57" i="3"/>
  <c r="BM57" i="3"/>
  <c r="BN66" i="3" l="1" a="1"/>
  <c r="BN66" i="3" s="1"/>
  <c r="BN68" i="3" a="1"/>
  <c r="BN68" i="3" s="1"/>
  <c r="BN66" i="2" a="1"/>
  <c r="BN66" i="2" s="1"/>
  <c r="BN68" i="2" a="1"/>
  <c r="BN68" i="2" s="1"/>
  <c r="BN70" i="2"/>
  <c r="BN70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<sst xmlns="http://schemas.openxmlformats.org/spreadsheetml/2006/main" count="1441" uniqueCount="104">
  <si>
    <t>Daily Credit Card Payment Report Tracker</t>
  </si>
  <si>
    <t>Chai Wan</t>
  </si>
  <si>
    <t>Source of information</t>
  </si>
  <si>
    <t>No. of Transactions</t>
  </si>
  <si>
    <t>Gross Sales (HKD)</t>
  </si>
  <si>
    <t>Total No. of Transactions</t>
  </si>
  <si>
    <t>Total Gross Sales (HKD</t>
  </si>
  <si>
    <t>Mastercard</t>
  </si>
  <si>
    <t>BOC Mastercard</t>
  </si>
  <si>
    <t>-Daily Credit Report</t>
  </si>
  <si>
    <t>Citi Mastercard</t>
  </si>
  <si>
    <t>DBS Mastercard</t>
  </si>
  <si>
    <t>ESSO Mastercard</t>
  </si>
  <si>
    <t>HangSeng Mastercard</t>
  </si>
  <si>
    <t>SCB Mastercard</t>
  </si>
  <si>
    <t>Mastercard - Subtotal</t>
  </si>
  <si>
    <t>Visa</t>
  </si>
  <si>
    <t>BOC Visa</t>
  </si>
  <si>
    <t>Citi Visa</t>
  </si>
  <si>
    <t>DBS Visa</t>
  </si>
  <si>
    <t>HangSeng Visa</t>
  </si>
  <si>
    <t>SCB Visa</t>
  </si>
  <si>
    <t>Visa- Subtotal</t>
  </si>
  <si>
    <t>Union</t>
  </si>
  <si>
    <t xml:space="preserve">BOC Union </t>
  </si>
  <si>
    <t>HangSeng Union</t>
  </si>
  <si>
    <t>Union - Subtotal</t>
  </si>
  <si>
    <t>C-Store</t>
  </si>
  <si>
    <t>C-store Visa</t>
  </si>
  <si>
    <t>-EDC Report</t>
  </si>
  <si>
    <t>C-store Mastercard</t>
  </si>
  <si>
    <t>C-store UnionPay</t>
  </si>
  <si>
    <t>C-store American Express</t>
  </si>
  <si>
    <t>C-Store - Subtotal</t>
  </si>
  <si>
    <t>American Express</t>
  </si>
  <si>
    <t>DBS American Express</t>
  </si>
  <si>
    <t>American Express - Subtotal</t>
  </si>
  <si>
    <t>Alipay and WeChat</t>
  </si>
  <si>
    <t>Alipay</t>
  </si>
  <si>
    <t>WeChat</t>
  </si>
  <si>
    <t>Alipay and WeChat - Subtotal</t>
  </si>
  <si>
    <t>Other Payment Forms</t>
  </si>
  <si>
    <t>ESSO Fleet Card</t>
  </si>
  <si>
    <t>BOC Pay</t>
  </si>
  <si>
    <t>EPS</t>
  </si>
  <si>
    <t>Other Payment Forms - Subtotal</t>
  </si>
  <si>
    <t>End-of-Day Report - Total</t>
  </si>
  <si>
    <t>Credit Card Fees</t>
  </si>
  <si>
    <t>Rate</t>
  </si>
  <si>
    <t>Fee</t>
  </si>
  <si>
    <t>Total Fee</t>
  </si>
  <si>
    <t xml:space="preserve">Visa </t>
  </si>
  <si>
    <t>Supply Contract</t>
  </si>
  <si>
    <t>Union Pay</t>
  </si>
  <si>
    <t>ESSO Share of Card Fees</t>
  </si>
  <si>
    <t>ESSO Share of AmEx Fee</t>
  </si>
  <si>
    <t>FEOSO Share of Card Fees</t>
  </si>
  <si>
    <t>FEOSO Share of AmEx Fee</t>
  </si>
  <si>
    <t>FEOSO Credit Card Fees - Total</t>
  </si>
  <si>
    <t>E-Pay</t>
  </si>
  <si>
    <t>ESSO Share of Alipay Fee</t>
  </si>
  <si>
    <t>ESSO Share of WeChat Fee</t>
  </si>
  <si>
    <t>FEOSO Share of Alipay Fee</t>
  </si>
  <si>
    <t>FEOSO Share of WeChat Fee</t>
  </si>
  <si>
    <t>FEOSO E-Pay Fees - Total</t>
  </si>
  <si>
    <t>Reconciliation on Daily Credit Totals Report (template)</t>
  </si>
  <si>
    <t>No. of txn</t>
  </si>
  <si>
    <t>Subtotal</t>
  </si>
  <si>
    <t>Visa and Mastercard</t>
  </si>
  <si>
    <t>Esso Mastercard</t>
  </si>
  <si>
    <t>Visa and Mastercard - Subtotal</t>
  </si>
  <si>
    <t>BOC Union</t>
  </si>
  <si>
    <t>UnionPay</t>
  </si>
  <si>
    <t>AE Card</t>
  </si>
  <si>
    <t>DBS AE</t>
  </si>
  <si>
    <t>C-store AE</t>
  </si>
  <si>
    <t>AE Card - Subtotal</t>
  </si>
  <si>
    <t>ESSO Priviate Card</t>
  </si>
  <si>
    <t>Wechat pay</t>
  </si>
  <si>
    <t>BOC pay</t>
  </si>
  <si>
    <t>Total as per End-Of-Day report</t>
  </si>
  <si>
    <t>North Point</t>
  </si>
  <si>
    <t>BOC Mastercard Card</t>
  </si>
  <si>
    <t>BOC Visa Card</t>
  </si>
  <si>
    <t>Citi Visa Card</t>
  </si>
  <si>
    <t>DBS Visa Card</t>
  </si>
  <si>
    <t>HangSeng Visa Card</t>
  </si>
  <si>
    <t>SCB Visa Card</t>
  </si>
  <si>
    <t>Visa Card</t>
  </si>
  <si>
    <t>C-store Visa Card</t>
  </si>
  <si>
    <t>File Path:</t>
  </si>
  <si>
    <t>Sheet Name:</t>
  </si>
  <si>
    <t>2025.08CW</t>
  </si>
  <si>
    <t>Credit CW Automation</t>
  </si>
  <si>
    <t>Credit NP Automation</t>
  </si>
  <si>
    <t>Example</t>
  </si>
  <si>
    <t>C:\Users\Celine Wang\OneDrive - Rosino-Axle\Desktop\Celine Wang\EOD settlement checking 2025.08.xlsx</t>
  </si>
  <si>
    <t>Starting Cell:</t>
  </si>
  <si>
    <t>D6</t>
  </si>
  <si>
    <r>
      <rPr>
        <b/>
        <sz val="11"/>
        <color theme="1"/>
        <rFont val="Aptos Narrow"/>
        <family val="2"/>
        <scheme val="minor"/>
      </rPr>
      <t>Step 1:</t>
    </r>
    <r>
      <rPr>
        <sz val="11"/>
        <color theme="1"/>
        <rFont val="Aptos Narrow"/>
        <family val="2"/>
        <scheme val="minor"/>
      </rPr>
      <t xml:space="preserve"> Load data from EOD settlement checking</t>
    </r>
  </si>
  <si>
    <r>
      <rPr>
        <b/>
        <sz val="11"/>
        <color theme="1"/>
        <rFont val="Aptos Narrow"/>
        <family val="2"/>
        <scheme val="minor"/>
      </rPr>
      <t xml:space="preserve">Step 2: </t>
    </r>
    <r>
      <rPr>
        <sz val="11"/>
        <color theme="1"/>
        <rFont val="Aptos Narrow"/>
        <family val="2"/>
        <scheme val="minor"/>
      </rPr>
      <t>Please go to sheet &lt;Credit_CW_Working&gt;, update the time period in cell A4 and refresh your formulas or calculations.</t>
    </r>
  </si>
  <si>
    <r>
      <rPr>
        <b/>
        <sz val="11"/>
        <color theme="1"/>
        <rFont val="Aptos Narrow"/>
        <family val="2"/>
        <scheme val="minor"/>
      </rPr>
      <t xml:space="preserve">Step 3: </t>
    </r>
    <r>
      <rPr>
        <sz val="11"/>
        <color theme="1"/>
        <rFont val="Aptos Narrow"/>
        <family val="2"/>
        <scheme val="minor"/>
      </rPr>
      <t>Run the macro to break links. Please find the final output on sheet &lt;Credit_CW&gt;.</t>
    </r>
  </si>
  <si>
    <r>
      <rPr>
        <b/>
        <sz val="11"/>
        <color theme="1"/>
        <rFont val="Aptos Narrow"/>
        <family val="2"/>
        <scheme val="minor"/>
      </rPr>
      <t xml:space="preserve">Step 2: </t>
    </r>
    <r>
      <rPr>
        <sz val="11"/>
        <color theme="1"/>
        <rFont val="Aptos Narrow"/>
        <family val="2"/>
        <scheme val="minor"/>
      </rPr>
      <t>Please go to sheet &lt;Credit_NP_Working&gt;, update the time period in cell A4 and refresh your formulas or calculations.</t>
    </r>
  </si>
  <si>
    <r>
      <rPr>
        <b/>
        <sz val="11"/>
        <color theme="1"/>
        <rFont val="Aptos Narrow"/>
        <family val="2"/>
        <scheme val="minor"/>
      </rPr>
      <t xml:space="preserve">Step 3: </t>
    </r>
    <r>
      <rPr>
        <sz val="11"/>
        <color theme="1"/>
        <rFont val="Aptos Narrow"/>
        <family val="2"/>
        <scheme val="minor"/>
      </rPr>
      <t>Run the macro to break links. Please find the final output on sheet &lt;Credit_NP&gt;.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</si>
</sst>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sz val="8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u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8">
    <xf numFmtId="0" fontId="0" fillId="0" borderId="0" xfId="0"/>
    <xf numFmtId="17" fontId="5" fillId="2" borderId="1" xfId="0" applyNumberFormat="1" applyFont="1" applyFill="1" applyBorder="1" applyAlignment="1">
      <alignment horizontal="left" vertical="center"/>
    </xf>
    <xf numFmtId="0" fontId="2" fillId="2" borderId="0" xfId="0" applyFont="1" applyFill="1"/>
    <xf numFmtId="0" fontId="0" fillId="2" borderId="0" xfId="0" applyFill="1"/>
    <xf numFmtId="2" fontId="0" fillId="2" borderId="0" xfId="0" applyNumberFormat="1" applyFill="1"/>
    <xf numFmtId="2" fontId="0" fillId="2" borderId="0" xfId="0" applyNumberFormat="1" applyFill="1" applyAlignment="1">
      <alignment horizontal="right"/>
    </xf>
    <xf numFmtId="0" fontId="12" fillId="2" borderId="0" xfId="0" applyFont="1" applyFill="1"/>
    <xf numFmtId="14" fontId="12" fillId="2" borderId="0" xfId="0" applyNumberFormat="1" applyFont="1" applyFill="1"/>
    <xf numFmtId="2" fontId="12" fillId="2" borderId="0" xfId="0" applyNumberFormat="1" applyFont="1" applyFill="1"/>
    <xf numFmtId="0" fontId="0" fillId="2" borderId="0" xfId="0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2" borderId="0" xfId="0" quotePrefix="1" applyFill="1"/>
    <xf numFmtId="1" fontId="0" fillId="2" borderId="0" xfId="0" applyNumberFormat="1" applyFill="1" applyAlignment="1">
      <alignment horizontal="center"/>
    </xf>
    <xf numFmtId="2" fontId="0" fillId="2" borderId="0" xfId="1" applyNumberFormat="1" applyFont="1" applyFill="1"/>
    <xf numFmtId="2" fontId="2" fillId="2" borderId="0" xfId="0" applyNumberFormat="1" applyFont="1" applyFill="1"/>
    <xf numFmtId="1" fontId="0" fillId="2" borderId="0" xfId="0" applyNumberFormat="1" applyFill="1" applyAlignment="1">
      <alignment horizontal="center" vertical="center"/>
    </xf>
    <xf numFmtId="0" fontId="2" fillId="0" borderId="0" xfId="0" applyFont="1"/>
    <xf numFmtId="2" fontId="0" fillId="0" borderId="0" xfId="0" applyNumberFormat="1"/>
    <xf numFmtId="2" fontId="0" fillId="0" borderId="0" xfId="0" applyNumberFormat="1" applyAlignment="1">
      <alignment horizontal="right"/>
    </xf>
    <xf numFmtId="0" fontId="12" fillId="0" borderId="0" xfId="0" applyFont="1"/>
    <xf numFmtId="14" fontId="12" fillId="0" borderId="0" xfId="0" applyNumberFormat="1" applyFont="1"/>
    <xf numFmtId="2" fontId="12" fillId="0" borderId="0" xfId="0" applyNumberFormat="1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quotePrefix="1"/>
    <xf numFmtId="2" fontId="0" fillId="0" borderId="0" xfId="1" applyNumberFormat="1" applyFont="1"/>
    <xf numFmtId="1" fontId="0" fillId="0" borderId="0" xfId="0" applyNumberFormat="1" applyAlignment="1">
      <alignment horizontal="center" vertical="center"/>
    </xf>
    <xf numFmtId="2" fontId="2" fillId="0" borderId="0" xfId="0" applyNumberFormat="1" applyFont="1"/>
    <xf numFmtId="1" fontId="0" fillId="0" borderId="0" xfId="0" applyNumberFormat="1"/>
    <xf numFmtId="1" fontId="0" fillId="2" borderId="6" xfId="0" applyNumberFormat="1" applyFill="1" applyBorder="1" applyAlignment="1">
      <alignment horizontal="center"/>
    </xf>
    <xf numFmtId="2" fontId="0" fillId="2" borderId="5" xfId="1" applyNumberFormat="1" applyFont="1" applyFill="1" applyBorder="1"/>
    <xf numFmtId="1" fontId="0" fillId="2" borderId="5" xfId="1" applyNumberFormat="1" applyFont="1" applyFill="1" applyBorder="1" applyAlignment="1">
      <alignment horizontal="center"/>
    </xf>
    <xf numFmtId="1" fontId="0" fillId="2" borderId="5" xfId="1" applyNumberFormat="1" applyFont="1" applyFill="1" applyBorder="1" applyAlignment="1">
      <alignment horizontal="center" vertical="center"/>
    </xf>
    <xf numFmtId="2" fontId="4" fillId="2" borderId="5" xfId="0" applyNumberFormat="1" applyFont="1" applyFill="1" applyBorder="1" applyProtection="1">
      <protection locked="0"/>
    </xf>
    <xf numFmtId="1" fontId="4" fillId="2" borderId="5" xfId="0" applyNumberFormat="1" applyFont="1" applyFill="1" applyBorder="1" applyAlignment="1" applyProtection="1">
      <alignment horizontal="center"/>
      <protection locked="0"/>
    </xf>
    <xf numFmtId="2" fontId="0" fillId="2" borderId="10" xfId="1" applyNumberFormat="1" applyFont="1" applyFill="1" applyBorder="1"/>
    <xf numFmtId="1" fontId="0" fillId="2" borderId="2" xfId="0" applyNumberFormat="1" applyFill="1" applyBorder="1" applyAlignment="1">
      <alignment horizontal="center"/>
    </xf>
    <xf numFmtId="2" fontId="0" fillId="2" borderId="0" xfId="1" applyNumberFormat="1" applyFont="1" applyFill="1" applyBorder="1"/>
    <xf numFmtId="1" fontId="0" fillId="2" borderId="0" xfId="1" applyNumberFormat="1" applyFont="1" applyFill="1" applyBorder="1" applyAlignment="1">
      <alignment horizontal="center"/>
    </xf>
    <xf numFmtId="1" fontId="0" fillId="2" borderId="0" xfId="1" applyNumberFormat="1" applyFont="1" applyFill="1" applyBorder="1" applyAlignment="1">
      <alignment horizontal="center" vertical="center"/>
    </xf>
    <xf numFmtId="2" fontId="4" fillId="2" borderId="0" xfId="0" applyNumberFormat="1" applyFont="1" applyFill="1" applyProtection="1">
      <protection locked="0"/>
    </xf>
    <xf numFmtId="1" fontId="4" fillId="2" borderId="0" xfId="0" applyNumberFormat="1" applyFont="1" applyFill="1" applyAlignment="1" applyProtection="1">
      <alignment horizontal="center"/>
      <protection locked="0"/>
    </xf>
    <xf numFmtId="2" fontId="0" fillId="2" borderId="9" xfId="1" applyNumberFormat="1" applyFont="1" applyFill="1" applyBorder="1"/>
    <xf numFmtId="1" fontId="2" fillId="2" borderId="2" xfId="0" applyNumberFormat="1" applyFont="1" applyFill="1" applyBorder="1" applyAlignment="1">
      <alignment horizontal="center"/>
    </xf>
    <xf numFmtId="1" fontId="2" fillId="2" borderId="0" xfId="0" applyNumberFormat="1" applyFont="1" applyFill="1" applyAlignment="1">
      <alignment horizontal="center"/>
    </xf>
    <xf numFmtId="1" fontId="2" fillId="2" borderId="0" xfId="0" applyNumberFormat="1" applyFont="1" applyFill="1" applyAlignment="1">
      <alignment horizontal="center" vertical="center"/>
    </xf>
    <xf numFmtId="2" fontId="2" fillId="2" borderId="0" xfId="0" applyNumberFormat="1" applyFont="1" applyFill="1" applyAlignment="1">
      <alignment horizontal="center"/>
    </xf>
    <xf numFmtId="2" fontId="2" fillId="2" borderId="9" xfId="0" applyNumberFormat="1" applyFont="1" applyFill="1" applyBorder="1"/>
    <xf numFmtId="2" fontId="0" fillId="2" borderId="9" xfId="0" applyNumberFormat="1" applyFill="1" applyBorder="1"/>
    <xf numFmtId="1" fontId="2" fillId="2" borderId="4" xfId="0" applyNumberFormat="1" applyFont="1" applyFill="1" applyBorder="1" applyAlignment="1">
      <alignment horizontal="center"/>
    </xf>
    <xf numFmtId="2" fontId="2" fillId="2" borderId="3" xfId="0" applyNumberFormat="1" applyFont="1" applyFill="1" applyBorder="1"/>
    <xf numFmtId="1" fontId="2" fillId="2" borderId="3" xfId="0" applyNumberFormat="1" applyFont="1" applyFill="1" applyBorder="1" applyAlignment="1">
      <alignment horizontal="center"/>
    </xf>
    <xf numFmtId="1" fontId="2" fillId="2" borderId="3" xfId="0" applyNumberFormat="1" applyFont="1" applyFill="1" applyBorder="1" applyAlignment="1">
      <alignment horizontal="center" vertical="center"/>
    </xf>
    <xf numFmtId="2" fontId="2" fillId="2" borderId="11" xfId="0" applyNumberFormat="1" applyFont="1" applyFill="1" applyBorder="1"/>
    <xf numFmtId="1" fontId="0" fillId="0" borderId="6" xfId="1" applyNumberFormat="1" applyFont="1" applyBorder="1" applyAlignment="1">
      <alignment horizontal="center" vertical="center"/>
    </xf>
    <xf numFmtId="2" fontId="0" fillId="0" borderId="5" xfId="1" applyNumberFormat="1" applyFont="1" applyBorder="1"/>
    <xf numFmtId="1" fontId="0" fillId="0" borderId="5" xfId="1" applyNumberFormat="1" applyFont="1" applyBorder="1" applyAlignment="1">
      <alignment horizontal="center" vertical="center"/>
    </xf>
    <xf numFmtId="2" fontId="4" fillId="0" borderId="5" xfId="0" applyNumberFormat="1" applyFont="1" applyBorder="1" applyProtection="1">
      <protection locked="0"/>
    </xf>
    <xf numFmtId="2" fontId="0" fillId="0" borderId="10" xfId="1" applyNumberFormat="1" applyFont="1" applyBorder="1"/>
    <xf numFmtId="1" fontId="0" fillId="0" borderId="2" xfId="1" applyNumberFormat="1" applyFont="1" applyBorder="1" applyAlignment="1">
      <alignment horizontal="center" vertical="center"/>
    </xf>
    <xf numFmtId="2" fontId="0" fillId="0" borderId="0" xfId="1" applyNumberFormat="1" applyFont="1" applyBorder="1"/>
    <xf numFmtId="1" fontId="0" fillId="0" borderId="0" xfId="1" applyNumberFormat="1" applyFont="1" applyBorder="1" applyAlignment="1">
      <alignment horizontal="center" vertical="center"/>
    </xf>
    <xf numFmtId="2" fontId="4" fillId="0" borderId="0" xfId="0" applyNumberFormat="1" applyFont="1" applyProtection="1">
      <protection locked="0"/>
    </xf>
    <xf numFmtId="2" fontId="0" fillId="0" borderId="9" xfId="1" applyNumberFormat="1" applyFont="1" applyBorder="1"/>
    <xf numFmtId="2" fontId="0" fillId="0" borderId="9" xfId="0" applyNumberFormat="1" applyBorder="1"/>
    <xf numFmtId="1" fontId="0" fillId="0" borderId="2" xfId="0" applyNumberForma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2" fontId="2" fillId="0" borderId="9" xfId="0" applyNumberFormat="1" applyFont="1" applyBorder="1"/>
    <xf numFmtId="1" fontId="2" fillId="0" borderId="4" xfId="0" applyNumberFormat="1" applyFont="1" applyBorder="1" applyAlignment="1">
      <alignment horizontal="center"/>
    </xf>
    <xf numFmtId="2" fontId="2" fillId="0" borderId="3" xfId="0" applyNumberFormat="1" applyFont="1" applyBorder="1"/>
    <xf numFmtId="1" fontId="2" fillId="0" borderId="3" xfId="0" applyNumberFormat="1" applyFont="1" applyBorder="1" applyAlignment="1">
      <alignment horizontal="center"/>
    </xf>
    <xf numFmtId="2" fontId="2" fillId="0" borderId="11" xfId="0" applyNumberFormat="1" applyFont="1" applyBorder="1"/>
    <xf numFmtId="0" fontId="0" fillId="0" borderId="1" xfId="0" applyBorder="1"/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14" fillId="0" borderId="0" xfId="0" applyFont="1"/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44" fontId="4" fillId="2" borderId="0" xfId="2" applyFont="1" applyFill="1" applyAlignment="1">
      <alignment horizontal="right" vertical="center"/>
    </xf>
    <xf numFmtId="2" fontId="4" fillId="2" borderId="0" xfId="0" applyNumberFormat="1" applyFont="1" applyFill="1" applyAlignment="1">
      <alignment horizontal="right" vertical="center"/>
    </xf>
    <xf numFmtId="44" fontId="4" fillId="2" borderId="0" xfId="2" applyFont="1" applyFill="1" applyAlignment="1">
      <alignment vertical="center"/>
    </xf>
    <xf numFmtId="2" fontId="4" fillId="2" borderId="0" xfId="0" applyNumberFormat="1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14" fontId="6" fillId="2" borderId="0" xfId="0" applyNumberFormat="1" applyFont="1" applyFill="1" applyAlignment="1">
      <alignment vertical="center"/>
    </xf>
    <xf numFmtId="2" fontId="6" fillId="2" borderId="0" xfId="0" applyNumberFormat="1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8" fillId="2" borderId="0" xfId="0" applyFont="1" applyFill="1" applyAlignment="1">
      <alignment horizontal="center" vertical="center" wrapText="1"/>
    </xf>
    <xf numFmtId="44" fontId="8" fillId="2" borderId="0" xfId="2" applyFont="1" applyFill="1" applyAlignment="1">
      <alignment horizontal="center" vertical="center"/>
    </xf>
    <xf numFmtId="44" fontId="8" fillId="2" borderId="2" xfId="2" applyFont="1" applyFill="1" applyBorder="1" applyAlignment="1">
      <alignment horizontal="center" vertical="center"/>
    </xf>
    <xf numFmtId="0" fontId="9" fillId="2" borderId="3" xfId="0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4" fillId="2" borderId="3" xfId="0" applyFont="1" applyFill="1" applyBorder="1" applyAlignment="1">
      <alignment horizontal="center" vertical="center"/>
    </xf>
    <xf numFmtId="44" fontId="4" fillId="2" borderId="3" xfId="2" applyFont="1" applyFill="1" applyBorder="1" applyAlignment="1">
      <alignment horizontal="center" vertical="center"/>
    </xf>
    <xf numFmtId="2" fontId="4" fillId="2" borderId="4" xfId="0" applyNumberFormat="1" applyFont="1" applyFill="1" applyBorder="1" applyAlignment="1">
      <alignment vertical="center"/>
    </xf>
    <xf numFmtId="2" fontId="4" fillId="2" borderId="3" xfId="0" applyNumberFormat="1" applyFont="1" applyFill="1" applyBorder="1" applyAlignment="1">
      <alignment vertical="center"/>
    </xf>
    <xf numFmtId="0" fontId="4" fillId="2" borderId="0" xfId="0" quotePrefix="1" applyFont="1" applyFill="1" applyAlignment="1">
      <alignment vertical="center"/>
    </xf>
    <xf numFmtId="2" fontId="4" fillId="2" borderId="0" xfId="1" applyNumberFormat="1" applyFont="1" applyFill="1" applyAlignment="1">
      <alignment vertical="center"/>
    </xf>
    <xf numFmtId="0" fontId="9" fillId="2" borderId="5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2" fontId="9" fillId="2" borderId="0" xfId="0" applyNumberFormat="1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4" fillId="2" borderId="5" xfId="0" quotePrefix="1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9" fillId="2" borderId="7" xfId="0" applyFont="1" applyFill="1" applyBorder="1" applyAlignment="1">
      <alignment vertical="center"/>
    </xf>
    <xf numFmtId="0" fontId="9" fillId="0" borderId="5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2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9" fillId="0" borderId="3" xfId="0" applyFont="1" applyBorder="1" applyAlignment="1">
      <alignment vertical="center"/>
    </xf>
    <xf numFmtId="1" fontId="4" fillId="2" borderId="0" xfId="0" applyNumberFormat="1" applyFont="1" applyFill="1" applyAlignment="1">
      <alignment horizontal="right" vertical="center"/>
    </xf>
    <xf numFmtId="4" fontId="4" fillId="2" borderId="0" xfId="0" applyNumberFormat="1" applyFont="1" applyFill="1" applyAlignment="1">
      <alignment horizontal="right" vertical="center"/>
    </xf>
    <xf numFmtId="1" fontId="4" fillId="2" borderId="2" xfId="0" applyNumberFormat="1" applyFont="1" applyFill="1" applyBorder="1" applyAlignment="1">
      <alignment horizontal="right" vertical="center"/>
    </xf>
    <xf numFmtId="1" fontId="9" fillId="2" borderId="5" xfId="0" applyNumberFormat="1" applyFont="1" applyFill="1" applyBorder="1" applyAlignment="1">
      <alignment horizontal="right" vertical="center"/>
    </xf>
    <xf numFmtId="4" fontId="9" fillId="2" borderId="5" xfId="2" applyNumberFormat="1" applyFont="1" applyFill="1" applyBorder="1" applyAlignment="1">
      <alignment horizontal="right" vertical="center"/>
    </xf>
    <xf numFmtId="1" fontId="9" fillId="2" borderId="6" xfId="0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horizontal="right" vertical="center"/>
    </xf>
    <xf numFmtId="4" fontId="4" fillId="2" borderId="0" xfId="2" applyNumberFormat="1" applyFont="1" applyFill="1" applyAlignment="1">
      <alignment horizontal="right" vertical="center"/>
    </xf>
    <xf numFmtId="0" fontId="4" fillId="2" borderId="2" xfId="0" applyFont="1" applyFill="1" applyBorder="1" applyAlignment="1">
      <alignment horizontal="right" vertical="center"/>
    </xf>
    <xf numFmtId="0" fontId="4" fillId="2" borderId="3" xfId="0" applyFont="1" applyFill="1" applyBorder="1" applyAlignment="1">
      <alignment horizontal="right" vertical="center"/>
    </xf>
    <xf numFmtId="4" fontId="4" fillId="2" borderId="3" xfId="2" applyNumberFormat="1" applyFont="1" applyFill="1" applyBorder="1" applyAlignment="1">
      <alignment horizontal="right" vertical="center"/>
    </xf>
    <xf numFmtId="0" fontId="4" fillId="2" borderId="4" xfId="0" applyFont="1" applyFill="1" applyBorder="1" applyAlignment="1">
      <alignment horizontal="right" vertical="center"/>
    </xf>
    <xf numFmtId="1" fontId="9" fillId="2" borderId="0" xfId="0" applyNumberFormat="1" applyFont="1" applyFill="1" applyAlignment="1">
      <alignment horizontal="right" vertical="center"/>
    </xf>
    <xf numFmtId="4" fontId="9" fillId="2" borderId="0" xfId="2" applyNumberFormat="1" applyFont="1" applyFill="1" applyBorder="1" applyAlignment="1">
      <alignment horizontal="right" vertical="center"/>
    </xf>
    <xf numFmtId="1" fontId="9" fillId="2" borderId="2" xfId="0" applyNumberFormat="1" applyFont="1" applyFill="1" applyBorder="1" applyAlignment="1">
      <alignment horizontal="right" vertical="center"/>
    </xf>
    <xf numFmtId="0" fontId="9" fillId="2" borderId="5" xfId="0" applyFont="1" applyFill="1" applyBorder="1" applyAlignment="1">
      <alignment horizontal="right" vertical="center"/>
    </xf>
    <xf numFmtId="0" fontId="9" fillId="2" borderId="6" xfId="0" applyFont="1" applyFill="1" applyBorder="1" applyAlignment="1">
      <alignment horizontal="right" vertical="center"/>
    </xf>
    <xf numFmtId="0" fontId="4" fillId="2" borderId="7" xfId="0" applyFont="1" applyFill="1" applyBorder="1" applyAlignment="1">
      <alignment horizontal="right" vertical="center"/>
    </xf>
    <xf numFmtId="4" fontId="4" fillId="2" borderId="7" xfId="2" applyNumberFormat="1" applyFont="1" applyFill="1" applyBorder="1" applyAlignment="1">
      <alignment horizontal="right" vertical="center"/>
    </xf>
    <xf numFmtId="0" fontId="4" fillId="2" borderId="8" xfId="0" applyFont="1" applyFill="1" applyBorder="1" applyAlignment="1">
      <alignment horizontal="right" vertical="center"/>
    </xf>
    <xf numFmtId="0" fontId="8" fillId="2" borderId="3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 wrapText="1"/>
    </xf>
    <xf numFmtId="10" fontId="10" fillId="2" borderId="0" xfId="0" applyNumberFormat="1" applyFont="1" applyFill="1" applyAlignment="1">
      <alignment horizontal="right" vertical="center"/>
    </xf>
    <xf numFmtId="4" fontId="11" fillId="2" borderId="0" xfId="2" applyNumberFormat="1" applyFont="1" applyFill="1" applyBorder="1" applyAlignment="1">
      <alignment horizontal="right" vertical="center"/>
    </xf>
    <xf numFmtId="10" fontId="10" fillId="2" borderId="2" xfId="0" applyNumberFormat="1" applyFont="1" applyFill="1" applyBorder="1" applyAlignment="1">
      <alignment horizontal="right" vertical="center"/>
    </xf>
    <xf numFmtId="0" fontId="10" fillId="2" borderId="0" xfId="0" applyFont="1" applyFill="1" applyAlignment="1">
      <alignment horizontal="right" vertical="center"/>
    </xf>
    <xf numFmtId="4" fontId="4" fillId="2" borderId="0" xfId="2" applyNumberFormat="1" applyFont="1" applyFill="1" applyBorder="1" applyAlignment="1">
      <alignment horizontal="right" vertical="center"/>
    </xf>
    <xf numFmtId="9" fontId="10" fillId="2" borderId="0" xfId="0" applyNumberFormat="1" applyFont="1" applyFill="1" applyAlignment="1">
      <alignment horizontal="right" vertical="center"/>
    </xf>
    <xf numFmtId="4" fontId="11" fillId="2" borderId="0" xfId="2" applyNumberFormat="1" applyFont="1" applyFill="1" applyAlignment="1">
      <alignment horizontal="right" vertical="center"/>
    </xf>
    <xf numFmtId="9" fontId="10" fillId="2" borderId="2" xfId="0" applyNumberFormat="1" applyFont="1" applyFill="1" applyBorder="1" applyAlignment="1">
      <alignment horizontal="right" vertical="center"/>
    </xf>
    <xf numFmtId="1" fontId="9" fillId="0" borderId="5" xfId="0" applyNumberFormat="1" applyFont="1" applyBorder="1" applyAlignment="1">
      <alignment horizontal="right" vertical="center"/>
    </xf>
    <xf numFmtId="4" fontId="9" fillId="0" borderId="5" xfId="2" applyNumberFormat="1" applyFont="1" applyFill="1" applyBorder="1" applyAlignment="1">
      <alignment horizontal="right" vertical="center"/>
    </xf>
    <xf numFmtId="1" fontId="9" fillId="0" borderId="6" xfId="0" applyNumberFormat="1" applyFont="1" applyBorder="1" applyAlignment="1">
      <alignment horizontal="right" vertical="center"/>
    </xf>
    <xf numFmtId="2" fontId="4" fillId="2" borderId="9" xfId="0" applyNumberFormat="1" applyFont="1" applyFill="1" applyBorder="1" applyAlignment="1">
      <alignment horizontal="right" vertical="center"/>
    </xf>
    <xf numFmtId="0" fontId="8" fillId="2" borderId="0" xfId="0" applyFont="1" applyFill="1" applyAlignment="1">
      <alignment horizontal="right" vertical="center" wrapText="1"/>
    </xf>
    <xf numFmtId="44" fontId="8" fillId="2" borderId="0" xfId="2" applyFont="1" applyFill="1" applyAlignment="1">
      <alignment horizontal="right" vertical="center"/>
    </xf>
    <xf numFmtId="44" fontId="8" fillId="2" borderId="2" xfId="2" applyFont="1" applyFill="1" applyBorder="1" applyAlignment="1">
      <alignment horizontal="right" vertical="center"/>
    </xf>
    <xf numFmtId="0" fontId="8" fillId="2" borderId="0" xfId="0" applyFont="1" applyFill="1" applyAlignment="1">
      <alignment horizontal="left" vertical="center"/>
    </xf>
    <xf numFmtId="14" fontId="7" fillId="2" borderId="0" xfId="0" applyNumberFormat="1" applyFont="1" applyFill="1" applyAlignment="1">
      <alignment horizontal="right" vertical="center"/>
    </xf>
    <xf numFmtId="14" fontId="6" fillId="2" borderId="0" xfId="0" applyNumberFormat="1" applyFont="1" applyFill="1" applyAlignment="1">
      <alignment horizontal="right" vertical="center"/>
    </xf>
    <xf numFmtId="14" fontId="12" fillId="2" borderId="13" xfId="0" applyNumberFormat="1" applyFont="1" applyFill="1" applyBorder="1" applyAlignment="1">
      <alignment horizontal="center"/>
    </xf>
    <xf numFmtId="14" fontId="12" fillId="2" borderId="14" xfId="0" applyNumberFormat="1" applyFont="1" applyFill="1" applyBorder="1" applyAlignment="1">
      <alignment horizontal="center"/>
    </xf>
    <xf numFmtId="14" fontId="12" fillId="2" borderId="12" xfId="0" applyNumberFormat="1" applyFont="1" applyFill="1" applyBorder="1" applyAlignment="1">
      <alignment horizontal="center"/>
    </xf>
    <xf numFmtId="14" fontId="12" fillId="0" borderId="13" xfId="0" applyNumberFormat="1" applyFont="1" applyBorder="1" applyAlignment="1">
      <alignment horizontal="center"/>
    </xf>
    <xf numFmtId="14" fontId="12" fillId="0" borderId="14" xfId="0" applyNumberFormat="1" applyFont="1" applyBorder="1" applyAlignment="1">
      <alignment horizontal="center"/>
    </xf>
    <xf numFmtId="14" fontId="12" fillId="0" borderId="12" xfId="0" applyNumberFormat="1" applyFont="1" applyBorder="1" applyAlignment="1">
      <alignment horizontal="center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</xdr:row>
          <xdr:rowOff>0</xdr:rowOff>
        </xdr:from>
        <xdr:to>
          <xdr:col>1</xdr:col>
          <xdr:colOff>323850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1: 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</xdr:row>
          <xdr:rowOff>19050</xdr:rowOff>
        </xdr:from>
        <xdr:to>
          <xdr:col>1</xdr:col>
          <xdr:colOff>238125</xdr:colOff>
          <xdr:row>23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1: 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12</xdr:row>
          <xdr:rowOff>19050</xdr:rowOff>
        </xdr:from>
        <xdr:to>
          <xdr:col>1</xdr:col>
          <xdr:colOff>304800</xdr:colOff>
          <xdr:row>13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3: Break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27</xdr:row>
          <xdr:rowOff>19050</xdr:rowOff>
        </xdr:from>
        <xdr:to>
          <xdr:col>1</xdr:col>
          <xdr:colOff>304800</xdr:colOff>
          <xdr:row>28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3: Break Links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CA368-0B00-448E-988D-43F2B1B0FBEE}">
  <sheetPr codeName="Sheet1"/>
  <dimension ref="A1:B34"/>
  <sheetViews>
    <sheetView showGridLines="0" tabSelected="1" workbookViewId="0"/>
  </sheetViews>
  <sheetFormatPr defaultRowHeight="15" x14ac:dyDescent="0.25"/>
  <cols>
    <col min="1" max="1" width="26.28515625" bestFit="1" customWidth="1"/>
    <col min="2" max="2" width="24.7109375" customWidth="1"/>
  </cols>
  <sheetData>
    <row r="1" spans="1:2" x14ac:dyDescent="0.25">
      <c r="A1" s="77" t="s">
        <v>93</v>
      </c>
    </row>
    <row r="2" spans="1:2" x14ac:dyDescent="0.25">
      <c r="A2" s="77"/>
    </row>
    <row r="3" spans="1:2" x14ac:dyDescent="0.25">
      <c r="A3" t="s">
        <v>90</v>
      </c>
      <c r="B3" s="74"/>
    </row>
    <row r="4" spans="1:2" x14ac:dyDescent="0.25">
      <c r="A4" t="s">
        <v>91</v>
      </c>
      <c r="B4" s="74"/>
    </row>
    <row r="5" spans="1:2" x14ac:dyDescent="0.25">
      <c r="A5" t="s">
        <v>97</v>
      </c>
      <c r="B5" s="74"/>
    </row>
    <row r="7" spans="1:2" x14ac:dyDescent="0.25">
      <c r="A7" s="76" t="s">
        <v>99</v>
      </c>
    </row>
    <row r="8" spans="1:2" x14ac:dyDescent="0.25">
      <c r="A8" s="75"/>
    </row>
    <row r="10" spans="1:2" x14ac:dyDescent="0.25">
      <c r="A10" t="s">
        <v>100</v>
      </c>
    </row>
    <row r="12" spans="1:2" x14ac:dyDescent="0.25">
      <c r="A12" t="s">
        <v>101</v>
      </c>
    </row>
    <row r="16" spans="1:2" x14ac:dyDescent="0.25">
      <c r="A16" s="77" t="s">
        <v>94</v>
      </c>
    </row>
    <row r="17" spans="1:2" x14ac:dyDescent="0.25">
      <c r="A17" s="77"/>
    </row>
    <row r="18" spans="1:2" x14ac:dyDescent="0.25">
      <c r="A18" t="s">
        <v>90</v>
      </c>
      <c r="B18" s="74"/>
    </row>
    <row r="19" spans="1:2" x14ac:dyDescent="0.25">
      <c r="A19" t="s">
        <v>91</v>
      </c>
      <c r="B19" s="74"/>
    </row>
    <row r="20" spans="1:2" x14ac:dyDescent="0.25">
      <c r="A20" t="s">
        <v>97</v>
      </c>
      <c r="B20" s="74"/>
    </row>
    <row r="22" spans="1:2" x14ac:dyDescent="0.25">
      <c r="A22" s="76" t="s">
        <v>99</v>
      </c>
    </row>
    <row r="23" spans="1:2" x14ac:dyDescent="0.25">
      <c r="A23" s="75"/>
    </row>
    <row r="25" spans="1:2" x14ac:dyDescent="0.25">
      <c r="A25" t="s">
        <v>102</v>
      </c>
    </row>
    <row r="27" spans="1:2" x14ac:dyDescent="0.25">
      <c r="A27" t="s">
        <v>103</v>
      </c>
    </row>
    <row r="31" spans="1:2" x14ac:dyDescent="0.25">
      <c r="A31" s="77" t="s">
        <v>95</v>
      </c>
    </row>
    <row r="32" spans="1:2" x14ac:dyDescent="0.25">
      <c r="A32" t="s">
        <v>90</v>
      </c>
      <c r="B32" s="74" t="s">
        <v>96</v>
      </c>
    </row>
    <row r="33" spans="1:2" x14ac:dyDescent="0.25">
      <c r="A33" t="s">
        <v>91</v>
      </c>
      <c r="B33" s="74" t="s">
        <v>92</v>
      </c>
    </row>
    <row r="34" spans="1:2" x14ac:dyDescent="0.25">
      <c r="A34" t="s">
        <v>97</v>
      </c>
      <c r="B34" s="74" t="s">
        <v>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tep1_CopyFromFile_CW">
                <anchor moveWithCells="1" sizeWithCells="1">
                  <from>
                    <xdr:col>0</xdr:col>
                    <xdr:colOff>28575</xdr:colOff>
                    <xdr:row>7</xdr:row>
                    <xdr:rowOff>0</xdr:rowOff>
                  </from>
                  <to>
                    <xdr:col>1</xdr:col>
                    <xdr:colOff>323850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tep1_CopyFromFile_NP">
                <anchor moveWithCells="1" sizeWithCells="1">
                  <from>
                    <xdr:col>0</xdr:col>
                    <xdr:colOff>38100</xdr:colOff>
                    <xdr:row>22</xdr:row>
                    <xdr:rowOff>19050</xdr:rowOff>
                  </from>
                  <to>
                    <xdr:col>1</xdr:col>
                    <xdr:colOff>238125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Step4_CopyPaste_CW">
                <anchor moveWithCells="1" sizeWithCells="1">
                  <from>
                    <xdr:col>0</xdr:col>
                    <xdr:colOff>28575</xdr:colOff>
                    <xdr:row>12</xdr:row>
                    <xdr:rowOff>19050</xdr:rowOff>
                  </from>
                  <to>
                    <xdr:col>1</xdr:col>
                    <xdr:colOff>304800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Step4_CopyPaste_NP">
                <anchor moveWithCells="1" sizeWithCells="1">
                  <from>
                    <xdr:col>0</xdr:col>
                    <xdr:colOff>28575</xdr:colOff>
                    <xdr:row>27</xdr:row>
                    <xdr:rowOff>19050</xdr:rowOff>
                  </from>
                  <to>
                    <xdr:col>1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A0A5B-68E6-47CE-91DB-3E64D5A902D8}">
  <sheetPr codeName="Sheet8">
    <tabColor theme="0" tint="-0.249977111117893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8E43F-27DD-41C8-AC58-FE941AF5426A}">
  <sheetPr codeName="Sheet9"/>
  <dimension ref="A2:CP81"/>
  <sheetViews>
    <sheetView showGridLines="0" topLeftCell="A21" workbookViewId="0">
      <selection activeCell="G42" sqref="G42"/>
    </sheetView>
  </sheetViews>
  <sheetFormatPr defaultColWidth="9.140625" defaultRowHeight="12.75" x14ac:dyDescent="0.25"/>
  <cols>
    <col min="1" max="1" width="26.7109375" style="79" customWidth="1"/>
    <col min="2" max="2" width="19.7109375" style="79" customWidth="1"/>
    <col min="3" max="3" width="20.7109375" style="79" customWidth="1"/>
    <col min="4" max="4" width="20.7109375" style="82" customWidth="1"/>
    <col min="5" max="5" width="20.7109375" style="83" customWidth="1"/>
    <col min="6" max="6" width="20.7109375" style="82" customWidth="1"/>
    <col min="7" max="7" width="20.7109375" style="83" customWidth="1"/>
    <col min="8" max="8" width="20.7109375" style="82" customWidth="1"/>
    <col min="9" max="9" width="20.7109375" style="83" customWidth="1"/>
    <col min="10" max="10" width="20.7109375" style="82" customWidth="1"/>
    <col min="11" max="11" width="20.7109375" style="83" customWidth="1"/>
    <col min="12" max="12" width="20.7109375" style="82" customWidth="1"/>
    <col min="13" max="13" width="20.7109375" style="83" customWidth="1"/>
    <col min="14" max="14" width="20.7109375" style="82" customWidth="1"/>
    <col min="15" max="66" width="20.7109375" style="83" customWidth="1"/>
    <col min="67" max="75" width="11.42578125" style="83" customWidth="1"/>
    <col min="76" max="76" width="10.42578125" style="83" bestFit="1" customWidth="1"/>
    <col min="77" max="78" width="9.140625" style="83"/>
    <col min="79" max="16384" width="9.140625" style="79"/>
  </cols>
  <sheetData>
    <row r="2" spans="1:94" ht="15.75" x14ac:dyDescent="0.25">
      <c r="A2" s="78" t="s">
        <v>0</v>
      </c>
      <c r="D2" s="80"/>
      <c r="E2" s="81"/>
      <c r="F2" s="80"/>
      <c r="G2" s="81"/>
    </row>
    <row r="3" spans="1:94" x14ac:dyDescent="0.25">
      <c r="A3" s="79" t="s">
        <v>1</v>
      </c>
      <c r="D3" s="80"/>
      <c r="E3" s="81"/>
      <c r="F3" s="80"/>
      <c r="G3" s="81"/>
    </row>
    <row r="4" spans="1:94" x14ac:dyDescent="0.25">
      <c r="A4" s="1">
        <v>45839</v>
      </c>
      <c r="D4" s="80"/>
      <c r="E4" s="81"/>
      <c r="F4" s="80"/>
      <c r="G4" s="81"/>
    </row>
    <row r="5" spans="1:94" x14ac:dyDescent="0.25">
      <c r="D5" s="80"/>
      <c r="E5" s="81"/>
      <c r="F5" s="80"/>
      <c r="G5" s="81"/>
    </row>
    <row r="6" spans="1:94" s="84" customFormat="1" x14ac:dyDescent="0.25">
      <c r="B6" s="85"/>
      <c r="C6" s="150">
        <f>IF(MOD(COLUMN()-COLUMN($C$6),2)=0,IF(DAY(DATE(YEAR($A$4),MONTH($A$4),(COLUMN()-COLUMN($C$6))/2+1))=(COLUMN()-COLUMN($C$6))/2+1,DATE(YEAR($A$4),MONTH($A$4),(COLUMN()-COLUMN($C$6))/2+1),""),"")</f>
        <v>45839</v>
      </c>
      <c r="D6" s="150" t="str">
        <f t="shared" ref="D6:BL6" si="0">IF(MOD(COLUMN()-COLUMN($C$6),2)=0,IF(DAY(DATE(YEAR($A$4),MONTH($A$4),(COLUMN()-COLUMN($C$6))/2+1))=(COLUMN()-COLUMN($C$6))/2+1,DATE(YEAR($A$4),MONTH($A$4),(COLUMN()-COLUMN($C$6))/2+1),""),"")</f>
        <v/>
      </c>
      <c r="E6" s="150">
        <f t="shared" si="0"/>
        <v>45840</v>
      </c>
      <c r="F6" s="150" t="str">
        <f t="shared" si="0"/>
        <v/>
      </c>
      <c r="G6" s="150">
        <f t="shared" si="0"/>
        <v>45841</v>
      </c>
      <c r="H6" s="150" t="str">
        <f t="shared" si="0"/>
        <v/>
      </c>
      <c r="I6" s="150">
        <f t="shared" si="0"/>
        <v>45842</v>
      </c>
      <c r="J6" s="150" t="str">
        <f t="shared" si="0"/>
        <v/>
      </c>
      <c r="K6" s="150">
        <f t="shared" si="0"/>
        <v>45843</v>
      </c>
      <c r="L6" s="150" t="str">
        <f t="shared" si="0"/>
        <v/>
      </c>
      <c r="M6" s="150">
        <f t="shared" si="0"/>
        <v>45844</v>
      </c>
      <c r="N6" s="150" t="str">
        <f t="shared" si="0"/>
        <v/>
      </c>
      <c r="O6" s="150">
        <f t="shared" si="0"/>
        <v>45845</v>
      </c>
      <c r="P6" s="150" t="str">
        <f t="shared" si="0"/>
        <v/>
      </c>
      <c r="Q6" s="150">
        <f t="shared" si="0"/>
        <v>45846</v>
      </c>
      <c r="R6" s="150" t="str">
        <f t="shared" si="0"/>
        <v/>
      </c>
      <c r="S6" s="150">
        <f t="shared" si="0"/>
        <v>45847</v>
      </c>
      <c r="T6" s="150" t="str">
        <f t="shared" si="0"/>
        <v/>
      </c>
      <c r="U6" s="150">
        <f t="shared" si="0"/>
        <v>45848</v>
      </c>
      <c r="V6" s="150" t="str">
        <f t="shared" si="0"/>
        <v/>
      </c>
      <c r="W6" s="150">
        <f t="shared" si="0"/>
        <v>45849</v>
      </c>
      <c r="X6" s="150" t="str">
        <f t="shared" si="0"/>
        <v/>
      </c>
      <c r="Y6" s="150">
        <f t="shared" si="0"/>
        <v>45850</v>
      </c>
      <c r="Z6" s="150" t="str">
        <f t="shared" si="0"/>
        <v/>
      </c>
      <c r="AA6" s="150">
        <f t="shared" si="0"/>
        <v>45851</v>
      </c>
      <c r="AB6" s="150" t="str">
        <f t="shared" si="0"/>
        <v/>
      </c>
      <c r="AC6" s="150">
        <f t="shared" si="0"/>
        <v>45852</v>
      </c>
      <c r="AD6" s="150" t="str">
        <f t="shared" si="0"/>
        <v/>
      </c>
      <c r="AE6" s="150">
        <f t="shared" si="0"/>
        <v>45853</v>
      </c>
      <c r="AF6" s="150" t="str">
        <f t="shared" si="0"/>
        <v/>
      </c>
      <c r="AG6" s="150">
        <f t="shared" si="0"/>
        <v>45854</v>
      </c>
      <c r="AH6" s="150" t="str">
        <f t="shared" si="0"/>
        <v/>
      </c>
      <c r="AI6" s="150">
        <f t="shared" si="0"/>
        <v>45855</v>
      </c>
      <c r="AJ6" s="150" t="str">
        <f t="shared" si="0"/>
        <v/>
      </c>
      <c r="AK6" s="150">
        <f t="shared" si="0"/>
        <v>45856</v>
      </c>
      <c r="AL6" s="150" t="str">
        <f t="shared" si="0"/>
        <v/>
      </c>
      <c r="AM6" s="150">
        <f t="shared" si="0"/>
        <v>45857</v>
      </c>
      <c r="AN6" s="150" t="str">
        <f t="shared" si="0"/>
        <v/>
      </c>
      <c r="AO6" s="150">
        <f t="shared" si="0"/>
        <v>45858</v>
      </c>
      <c r="AP6" s="150" t="str">
        <f t="shared" si="0"/>
        <v/>
      </c>
      <c r="AQ6" s="150">
        <f t="shared" si="0"/>
        <v>45859</v>
      </c>
      <c r="AR6" s="150" t="str">
        <f t="shared" si="0"/>
        <v/>
      </c>
      <c r="AS6" s="150">
        <f t="shared" si="0"/>
        <v>45860</v>
      </c>
      <c r="AT6" s="150" t="str">
        <f t="shared" si="0"/>
        <v/>
      </c>
      <c r="AU6" s="150">
        <f t="shared" si="0"/>
        <v>45861</v>
      </c>
      <c r="AV6" s="150" t="str">
        <f t="shared" si="0"/>
        <v/>
      </c>
      <c r="AW6" s="150">
        <f t="shared" si="0"/>
        <v>45862</v>
      </c>
      <c r="AX6" s="150" t="str">
        <f t="shared" si="0"/>
        <v/>
      </c>
      <c r="AY6" s="150">
        <f t="shared" si="0"/>
        <v>45863</v>
      </c>
      <c r="AZ6" s="150" t="str">
        <f t="shared" si="0"/>
        <v/>
      </c>
      <c r="BA6" s="150">
        <f t="shared" si="0"/>
        <v>45864</v>
      </c>
      <c r="BB6" s="150" t="str">
        <f t="shared" si="0"/>
        <v/>
      </c>
      <c r="BC6" s="150">
        <f t="shared" si="0"/>
        <v>45865</v>
      </c>
      <c r="BD6" s="150" t="str">
        <f t="shared" si="0"/>
        <v/>
      </c>
      <c r="BE6" s="150">
        <f t="shared" si="0"/>
        <v>45866</v>
      </c>
      <c r="BF6" s="150" t="str">
        <f t="shared" si="0"/>
        <v/>
      </c>
      <c r="BG6" s="150">
        <f t="shared" si="0"/>
        <v>45867</v>
      </c>
      <c r="BH6" s="150" t="str">
        <f t="shared" si="0"/>
        <v/>
      </c>
      <c r="BI6" s="150">
        <f t="shared" si="0"/>
        <v>45868</v>
      </c>
      <c r="BJ6" s="150" t="str">
        <f t="shared" si="0"/>
        <v/>
      </c>
      <c r="BK6" s="150">
        <f t="shared" si="0"/>
        <v>45869</v>
      </c>
      <c r="BL6" s="150" t="str">
        <f t="shared" si="0"/>
        <v/>
      </c>
      <c r="BM6" s="151"/>
      <c r="BN6" s="151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7"/>
      <c r="BZ6" s="87"/>
    </row>
    <row r="7" spans="1:94" x14ac:dyDescent="0.25">
      <c r="B7" s="149" t="s">
        <v>2</v>
      </c>
      <c r="C7" s="146" t="s">
        <v>3</v>
      </c>
      <c r="D7" s="147" t="s">
        <v>4</v>
      </c>
      <c r="E7" s="146" t="s">
        <v>3</v>
      </c>
      <c r="F7" s="147" t="s">
        <v>4</v>
      </c>
      <c r="G7" s="146" t="s">
        <v>3</v>
      </c>
      <c r="H7" s="147" t="s">
        <v>4</v>
      </c>
      <c r="I7" s="146" t="s">
        <v>3</v>
      </c>
      <c r="J7" s="147" t="s">
        <v>4</v>
      </c>
      <c r="K7" s="146" t="s">
        <v>3</v>
      </c>
      <c r="L7" s="147" t="s">
        <v>4</v>
      </c>
      <c r="M7" s="146" t="s">
        <v>3</v>
      </c>
      <c r="N7" s="147" t="s">
        <v>4</v>
      </c>
      <c r="O7" s="146" t="s">
        <v>3</v>
      </c>
      <c r="P7" s="147" t="s">
        <v>4</v>
      </c>
      <c r="Q7" s="146" t="s">
        <v>3</v>
      </c>
      <c r="R7" s="147" t="s">
        <v>4</v>
      </c>
      <c r="S7" s="146" t="s">
        <v>3</v>
      </c>
      <c r="T7" s="147" t="s">
        <v>4</v>
      </c>
      <c r="U7" s="146" t="s">
        <v>3</v>
      </c>
      <c r="V7" s="147" t="s">
        <v>4</v>
      </c>
      <c r="W7" s="146" t="s">
        <v>3</v>
      </c>
      <c r="X7" s="147" t="s">
        <v>4</v>
      </c>
      <c r="Y7" s="146" t="s">
        <v>3</v>
      </c>
      <c r="Z7" s="147" t="s">
        <v>4</v>
      </c>
      <c r="AA7" s="146" t="s">
        <v>3</v>
      </c>
      <c r="AB7" s="147" t="s">
        <v>4</v>
      </c>
      <c r="AC7" s="146" t="s">
        <v>3</v>
      </c>
      <c r="AD7" s="147" t="s">
        <v>4</v>
      </c>
      <c r="AE7" s="146" t="s">
        <v>3</v>
      </c>
      <c r="AF7" s="147" t="s">
        <v>4</v>
      </c>
      <c r="AG7" s="146" t="s">
        <v>3</v>
      </c>
      <c r="AH7" s="147" t="s">
        <v>4</v>
      </c>
      <c r="AI7" s="146" t="s">
        <v>3</v>
      </c>
      <c r="AJ7" s="147" t="s">
        <v>4</v>
      </c>
      <c r="AK7" s="146" t="s">
        <v>3</v>
      </c>
      <c r="AL7" s="147" t="s">
        <v>4</v>
      </c>
      <c r="AM7" s="146" t="s">
        <v>3</v>
      </c>
      <c r="AN7" s="147" t="s">
        <v>4</v>
      </c>
      <c r="AO7" s="146" t="s">
        <v>3</v>
      </c>
      <c r="AP7" s="147" t="s">
        <v>4</v>
      </c>
      <c r="AQ7" s="146" t="s">
        <v>3</v>
      </c>
      <c r="AR7" s="147" t="s">
        <v>4</v>
      </c>
      <c r="AS7" s="146" t="s">
        <v>3</v>
      </c>
      <c r="AT7" s="147" t="s">
        <v>4</v>
      </c>
      <c r="AU7" s="146" t="s">
        <v>3</v>
      </c>
      <c r="AV7" s="147" t="s">
        <v>4</v>
      </c>
      <c r="AW7" s="146" t="s">
        <v>3</v>
      </c>
      <c r="AX7" s="147" t="s">
        <v>4</v>
      </c>
      <c r="AY7" s="146" t="s">
        <v>3</v>
      </c>
      <c r="AZ7" s="147" t="s">
        <v>4</v>
      </c>
      <c r="BA7" s="146" t="s">
        <v>3</v>
      </c>
      <c r="BB7" s="147" t="s">
        <v>4</v>
      </c>
      <c r="BC7" s="146" t="s">
        <v>3</v>
      </c>
      <c r="BD7" s="147" t="s">
        <v>4</v>
      </c>
      <c r="BE7" s="146" t="s">
        <v>3</v>
      </c>
      <c r="BF7" s="147" t="s">
        <v>4</v>
      </c>
      <c r="BG7" s="146" t="s">
        <v>3</v>
      </c>
      <c r="BH7" s="147" t="s">
        <v>4</v>
      </c>
      <c r="BI7" s="146" t="s">
        <v>3</v>
      </c>
      <c r="BJ7" s="147" t="s">
        <v>4</v>
      </c>
      <c r="BK7" s="146" t="s">
        <v>3</v>
      </c>
      <c r="BL7" s="147" t="s">
        <v>4</v>
      </c>
      <c r="BM7" s="148" t="s">
        <v>5</v>
      </c>
      <c r="BN7" s="147" t="s">
        <v>6</v>
      </c>
      <c r="CA7" s="83"/>
      <c r="CB7" s="83"/>
      <c r="CC7" s="83"/>
      <c r="CD7" s="83"/>
      <c r="CE7" s="83"/>
      <c r="CF7" s="83"/>
      <c r="CG7" s="83"/>
      <c r="CH7" s="83"/>
      <c r="CI7" s="83"/>
      <c r="CJ7" s="83"/>
      <c r="CK7" s="83"/>
      <c r="CL7" s="83"/>
      <c r="CM7" s="83"/>
      <c r="CN7" s="83"/>
      <c r="CO7" s="83"/>
      <c r="CP7" s="83"/>
    </row>
    <row r="8" spans="1:94" x14ac:dyDescent="0.25">
      <c r="B8" s="88"/>
      <c r="C8" s="89"/>
      <c r="D8" s="90"/>
      <c r="E8" s="89"/>
      <c r="F8" s="90"/>
      <c r="G8" s="89"/>
      <c r="H8" s="90"/>
      <c r="I8" s="89"/>
      <c r="J8" s="90"/>
      <c r="K8" s="89"/>
      <c r="L8" s="90"/>
      <c r="M8" s="89"/>
      <c r="N8" s="90"/>
      <c r="O8" s="89"/>
      <c r="P8" s="90"/>
      <c r="Q8" s="89"/>
      <c r="R8" s="90"/>
      <c r="S8" s="89"/>
      <c r="T8" s="90"/>
      <c r="U8" s="89"/>
      <c r="V8" s="90"/>
      <c r="W8" s="89"/>
      <c r="X8" s="90"/>
      <c r="Y8" s="89"/>
      <c r="Z8" s="90"/>
      <c r="AA8" s="89"/>
      <c r="AB8" s="90"/>
      <c r="AC8" s="89"/>
      <c r="AD8" s="90"/>
      <c r="AE8" s="89"/>
      <c r="AF8" s="90"/>
      <c r="AG8" s="89"/>
      <c r="AH8" s="90"/>
      <c r="AI8" s="89"/>
      <c r="AJ8" s="90"/>
      <c r="AK8" s="89"/>
      <c r="AL8" s="90"/>
      <c r="AM8" s="89"/>
      <c r="AN8" s="90"/>
      <c r="AO8" s="89"/>
      <c r="AP8" s="90"/>
      <c r="AQ8" s="89"/>
      <c r="AR8" s="90"/>
      <c r="AS8" s="89"/>
      <c r="AT8" s="90"/>
      <c r="AU8" s="89"/>
      <c r="AV8" s="90"/>
      <c r="AW8" s="89"/>
      <c r="AX8" s="90"/>
      <c r="AY8" s="89"/>
      <c r="AZ8" s="90"/>
      <c r="BA8" s="89"/>
      <c r="BB8" s="90"/>
      <c r="BC8" s="89"/>
      <c r="BD8" s="90"/>
      <c r="BE8" s="89"/>
      <c r="BF8" s="90"/>
      <c r="BG8" s="89"/>
      <c r="BH8" s="90"/>
      <c r="BI8" s="89"/>
      <c r="BJ8" s="90"/>
      <c r="BK8" s="89"/>
      <c r="BL8" s="90"/>
      <c r="BM8" s="91"/>
      <c r="BN8" s="90"/>
      <c r="CA8" s="83"/>
      <c r="CB8" s="83"/>
      <c r="CC8" s="83"/>
      <c r="CD8" s="83"/>
      <c r="CE8" s="83"/>
      <c r="CF8" s="83"/>
      <c r="CG8" s="83"/>
      <c r="CH8" s="83"/>
      <c r="CI8" s="83"/>
      <c r="CJ8" s="83"/>
      <c r="CK8" s="83"/>
      <c r="CL8" s="83"/>
      <c r="CM8" s="83"/>
      <c r="CN8" s="83"/>
      <c r="CO8" s="83"/>
      <c r="CP8" s="83"/>
    </row>
    <row r="9" spans="1:94" x14ac:dyDescent="0.25">
      <c r="A9" s="92" t="s">
        <v>7</v>
      </c>
      <c r="B9" s="93"/>
      <c r="C9" s="94"/>
      <c r="D9" s="95"/>
      <c r="E9" s="94"/>
      <c r="F9" s="95"/>
      <c r="G9" s="94"/>
      <c r="H9" s="95"/>
      <c r="I9" s="94"/>
      <c r="J9" s="95"/>
      <c r="K9" s="94"/>
      <c r="L9" s="95"/>
      <c r="M9" s="94"/>
      <c r="N9" s="95"/>
      <c r="O9" s="94"/>
      <c r="P9" s="95"/>
      <c r="Q9" s="94"/>
      <c r="R9" s="95"/>
      <c r="S9" s="94"/>
      <c r="T9" s="95"/>
      <c r="U9" s="94"/>
      <c r="V9" s="95"/>
      <c r="W9" s="94"/>
      <c r="X9" s="95"/>
      <c r="Y9" s="94"/>
      <c r="Z9" s="95"/>
      <c r="AA9" s="94"/>
      <c r="AB9" s="95"/>
      <c r="AC9" s="94"/>
      <c r="AD9" s="95"/>
      <c r="AE9" s="94"/>
      <c r="AF9" s="95"/>
      <c r="AG9" s="94"/>
      <c r="AH9" s="95"/>
      <c r="AI9" s="94"/>
      <c r="AJ9" s="95"/>
      <c r="AK9" s="94"/>
      <c r="AL9" s="95"/>
      <c r="AM9" s="94"/>
      <c r="AN9" s="95"/>
      <c r="AO9" s="94"/>
      <c r="AP9" s="95"/>
      <c r="AQ9" s="94"/>
      <c r="AR9" s="95"/>
      <c r="AS9" s="94"/>
      <c r="AT9" s="95"/>
      <c r="AU9" s="94"/>
      <c r="AV9" s="95"/>
      <c r="AW9" s="94"/>
      <c r="AX9" s="95"/>
      <c r="AY9" s="94"/>
      <c r="AZ9" s="95"/>
      <c r="BA9" s="94"/>
      <c r="BB9" s="95"/>
      <c r="BC9" s="94"/>
      <c r="BD9" s="95"/>
      <c r="BE9" s="94"/>
      <c r="BF9" s="95"/>
      <c r="BG9" s="94"/>
      <c r="BH9" s="95"/>
      <c r="BI9" s="94"/>
      <c r="BJ9" s="95"/>
      <c r="BK9" s="94"/>
      <c r="BL9" s="95"/>
      <c r="BM9" s="96"/>
      <c r="BN9" s="97"/>
      <c r="CA9" s="83"/>
      <c r="CB9" s="83"/>
      <c r="CC9" s="83"/>
      <c r="CD9" s="83"/>
      <c r="CE9" s="83"/>
      <c r="CF9" s="83"/>
      <c r="CG9" s="83"/>
      <c r="CH9" s="83"/>
      <c r="CI9" s="83"/>
      <c r="CJ9" s="83"/>
      <c r="CK9" s="83"/>
      <c r="CL9" s="83"/>
      <c r="CM9" s="83"/>
      <c r="CN9" s="83"/>
      <c r="CO9" s="83"/>
      <c r="CP9" s="83"/>
    </row>
    <row r="10" spans="1:94" x14ac:dyDescent="0.25">
      <c r="A10" s="79" t="s">
        <v>8</v>
      </c>
      <c r="B10" s="98" t="s">
        <v>9</v>
      </c>
      <c r="C10" s="112">
        <v>3</v>
      </c>
      <c r="D10" s="113">
        <v>296.10000000000002</v>
      </c>
      <c r="E10" s="112">
        <v>2</v>
      </c>
      <c r="F10" s="113">
        <v>800</v>
      </c>
      <c r="G10" s="112">
        <v>1</v>
      </c>
      <c r="H10" s="113">
        <v>154.6</v>
      </c>
      <c r="I10" s="112">
        <v>2</v>
      </c>
      <c r="J10" s="113">
        <v>270.89999999999998</v>
      </c>
      <c r="K10" s="112">
        <v>2</v>
      </c>
      <c r="L10" s="113">
        <v>963.2</v>
      </c>
      <c r="M10" s="112">
        <v>8</v>
      </c>
      <c r="N10" s="113">
        <v>3203.2</v>
      </c>
      <c r="O10" s="112">
        <v>4</v>
      </c>
      <c r="P10" s="113">
        <v>1364.2</v>
      </c>
      <c r="Q10" s="112">
        <v>0</v>
      </c>
      <c r="R10" s="113">
        <v>0</v>
      </c>
      <c r="S10" s="112">
        <v>4</v>
      </c>
      <c r="T10" s="113">
        <v>493.2</v>
      </c>
      <c r="U10" s="112">
        <v>0</v>
      </c>
      <c r="V10" s="113">
        <v>0</v>
      </c>
      <c r="W10" s="112">
        <v>0</v>
      </c>
      <c r="X10" s="113">
        <v>0</v>
      </c>
      <c r="Y10" s="112">
        <v>7</v>
      </c>
      <c r="Z10" s="113">
        <v>2888.3</v>
      </c>
      <c r="AA10" s="112">
        <v>3</v>
      </c>
      <c r="AB10" s="113">
        <v>2061.6999999999998</v>
      </c>
      <c r="AC10" s="112">
        <v>3</v>
      </c>
      <c r="AD10" s="113">
        <v>1600</v>
      </c>
      <c r="AE10" s="112">
        <v>4</v>
      </c>
      <c r="AF10" s="113">
        <v>1007.5</v>
      </c>
      <c r="AG10" s="112">
        <v>0</v>
      </c>
      <c r="AH10" s="113">
        <v>0</v>
      </c>
      <c r="AI10" s="112">
        <v>2</v>
      </c>
      <c r="AJ10" s="113">
        <v>1180.2</v>
      </c>
      <c r="AK10" s="112">
        <v>4</v>
      </c>
      <c r="AL10" s="113">
        <v>919.4</v>
      </c>
      <c r="AM10" s="112">
        <v>7</v>
      </c>
      <c r="AN10" s="113">
        <v>3264.4</v>
      </c>
      <c r="AO10" s="112">
        <v>0</v>
      </c>
      <c r="AP10" s="113">
        <v>0</v>
      </c>
      <c r="AQ10" s="112">
        <v>2</v>
      </c>
      <c r="AR10" s="113">
        <v>1381.6</v>
      </c>
      <c r="AS10" s="112">
        <v>2</v>
      </c>
      <c r="AT10" s="113">
        <v>801.4</v>
      </c>
      <c r="AU10" s="112">
        <v>4</v>
      </c>
      <c r="AV10" s="113">
        <v>1713.5</v>
      </c>
      <c r="AW10" s="112">
        <v>1</v>
      </c>
      <c r="AX10" s="113">
        <v>487.3</v>
      </c>
      <c r="AY10" s="112">
        <v>2</v>
      </c>
      <c r="AZ10" s="113">
        <v>600</v>
      </c>
      <c r="BA10" s="112">
        <v>5</v>
      </c>
      <c r="BB10" s="113">
        <v>1917.5</v>
      </c>
      <c r="BC10" s="112">
        <v>4</v>
      </c>
      <c r="BD10" s="113">
        <v>1994.1</v>
      </c>
      <c r="BE10" s="112">
        <v>4</v>
      </c>
      <c r="BF10" s="113">
        <v>1771.6</v>
      </c>
      <c r="BG10" s="112">
        <v>1</v>
      </c>
      <c r="BH10" s="113">
        <v>500</v>
      </c>
      <c r="BI10" s="112">
        <v>5</v>
      </c>
      <c r="BJ10" s="113">
        <v>2096.1999999999998</v>
      </c>
      <c r="BK10" s="112">
        <v>1</v>
      </c>
      <c r="BL10" s="113">
        <v>591.6</v>
      </c>
      <c r="BM10" s="114" cm="1">
        <f t="array" ref="BM10">SUMPRODUCT((MOD(COLUMN(C10:BL10)-COLUMN(C10),2)=0)*C10:BL10)</f>
        <v>87</v>
      </c>
      <c r="BN10" s="113" cm="1">
        <f t="array" ref="BN10">SUMPRODUCT((MOD(COLUMN(D10:BM10)-COLUMN(D10),2)=0)*D10:BM10)</f>
        <v>34321.699999999997</v>
      </c>
      <c r="BO10" s="99"/>
      <c r="BP10" s="99"/>
      <c r="BQ10" s="99"/>
      <c r="BR10" s="99"/>
      <c r="BS10" s="99"/>
      <c r="BT10" s="99"/>
      <c r="BU10" s="99"/>
      <c r="BV10" s="99"/>
      <c r="BW10" s="99"/>
      <c r="BX10" s="99"/>
      <c r="CA10" s="83"/>
      <c r="CB10" s="83"/>
      <c r="CC10" s="83"/>
      <c r="CD10" s="83"/>
      <c r="CE10" s="83"/>
      <c r="CF10" s="83"/>
      <c r="CG10" s="83"/>
      <c r="CH10" s="83"/>
      <c r="CI10" s="83"/>
      <c r="CJ10" s="83"/>
      <c r="CK10" s="83"/>
      <c r="CL10" s="83"/>
      <c r="CM10" s="83"/>
      <c r="CN10" s="83"/>
      <c r="CO10" s="83"/>
      <c r="CP10" s="83"/>
    </row>
    <row r="11" spans="1:94" x14ac:dyDescent="0.25">
      <c r="A11" s="79" t="s">
        <v>10</v>
      </c>
      <c r="B11" s="98" t="s">
        <v>9</v>
      </c>
      <c r="C11" s="112">
        <v>3</v>
      </c>
      <c r="D11" s="113">
        <v>1351.9</v>
      </c>
      <c r="E11" s="112">
        <v>3</v>
      </c>
      <c r="F11" s="113">
        <v>1200</v>
      </c>
      <c r="G11" s="112">
        <v>2</v>
      </c>
      <c r="H11" s="113">
        <v>800</v>
      </c>
      <c r="I11" s="112">
        <v>6</v>
      </c>
      <c r="J11" s="113">
        <v>2444.1</v>
      </c>
      <c r="K11" s="112">
        <v>2</v>
      </c>
      <c r="L11" s="113">
        <v>1000</v>
      </c>
      <c r="M11" s="112">
        <v>7</v>
      </c>
      <c r="N11" s="113">
        <v>3136</v>
      </c>
      <c r="O11" s="112">
        <v>2</v>
      </c>
      <c r="P11" s="113">
        <v>1250.7</v>
      </c>
      <c r="Q11" s="112">
        <v>3</v>
      </c>
      <c r="R11" s="113">
        <v>1562.4</v>
      </c>
      <c r="S11" s="112">
        <v>4</v>
      </c>
      <c r="T11" s="113">
        <v>1600</v>
      </c>
      <c r="U11" s="112">
        <v>1</v>
      </c>
      <c r="V11" s="113">
        <v>159</v>
      </c>
      <c r="W11" s="112">
        <v>4</v>
      </c>
      <c r="X11" s="113">
        <v>2210</v>
      </c>
      <c r="Y11" s="112">
        <v>4</v>
      </c>
      <c r="Z11" s="113">
        <v>2158.6</v>
      </c>
      <c r="AA11" s="112">
        <v>6</v>
      </c>
      <c r="AB11" s="113">
        <v>2127.1</v>
      </c>
      <c r="AC11" s="112">
        <v>3</v>
      </c>
      <c r="AD11" s="113">
        <v>795.8</v>
      </c>
      <c r="AE11" s="112">
        <v>4</v>
      </c>
      <c r="AF11" s="113">
        <v>2413.8000000000002</v>
      </c>
      <c r="AG11" s="112">
        <v>2</v>
      </c>
      <c r="AH11" s="113">
        <v>1000</v>
      </c>
      <c r="AI11" s="112">
        <v>6</v>
      </c>
      <c r="AJ11" s="113">
        <v>1975.8</v>
      </c>
      <c r="AK11" s="112">
        <v>4</v>
      </c>
      <c r="AL11" s="113">
        <v>1866.5</v>
      </c>
      <c r="AM11" s="112">
        <v>4</v>
      </c>
      <c r="AN11" s="113">
        <v>1080.8</v>
      </c>
      <c r="AO11" s="112">
        <v>0</v>
      </c>
      <c r="AP11" s="113">
        <v>0</v>
      </c>
      <c r="AQ11" s="112">
        <v>4</v>
      </c>
      <c r="AR11" s="113">
        <v>1505.8</v>
      </c>
      <c r="AS11" s="112">
        <v>2</v>
      </c>
      <c r="AT11" s="113">
        <v>560</v>
      </c>
      <c r="AU11" s="112">
        <v>3</v>
      </c>
      <c r="AV11" s="113">
        <v>2723.1</v>
      </c>
      <c r="AW11" s="112">
        <v>6</v>
      </c>
      <c r="AX11" s="113">
        <v>3095.6</v>
      </c>
      <c r="AY11" s="112">
        <v>4</v>
      </c>
      <c r="AZ11" s="113">
        <v>2078.1999999999998</v>
      </c>
      <c r="BA11" s="112">
        <v>5</v>
      </c>
      <c r="BB11" s="113">
        <v>2115.3000000000002</v>
      </c>
      <c r="BC11" s="112">
        <v>8</v>
      </c>
      <c r="BD11" s="113">
        <v>3881.4</v>
      </c>
      <c r="BE11" s="112">
        <v>2</v>
      </c>
      <c r="BF11" s="113">
        <v>600</v>
      </c>
      <c r="BG11" s="112">
        <v>2</v>
      </c>
      <c r="BH11" s="113">
        <v>694.9</v>
      </c>
      <c r="BI11" s="112">
        <v>1</v>
      </c>
      <c r="BJ11" s="113">
        <v>357.3</v>
      </c>
      <c r="BK11" s="112">
        <v>2</v>
      </c>
      <c r="BL11" s="113">
        <v>1000</v>
      </c>
      <c r="BM11" s="114" cm="1">
        <f t="array" ref="BM11">SUMPRODUCT((MOD(COLUMN(C11:BL11)-COLUMN(C11),2)=0)*C11:BL11)</f>
        <v>109</v>
      </c>
      <c r="BN11" s="113" cm="1">
        <f t="array" ref="BN11">SUMPRODUCT((MOD(COLUMN(D11:BM11)-COLUMN(D11),2)=0)*D11:BM11)</f>
        <v>48744.1</v>
      </c>
      <c r="BO11" s="99"/>
      <c r="BP11" s="99"/>
      <c r="BQ11" s="99"/>
      <c r="BR11" s="99"/>
      <c r="BS11" s="99"/>
      <c r="BT11" s="99"/>
      <c r="BU11" s="99"/>
      <c r="BV11" s="99"/>
      <c r="BW11" s="99"/>
      <c r="BX11" s="99"/>
      <c r="CA11" s="83"/>
      <c r="CB11" s="83"/>
      <c r="CC11" s="83"/>
      <c r="CD11" s="83"/>
      <c r="CE11" s="83"/>
      <c r="CF11" s="83"/>
      <c r="CG11" s="83"/>
      <c r="CH11" s="83"/>
      <c r="CI11" s="83"/>
      <c r="CJ11" s="83"/>
      <c r="CK11" s="83"/>
      <c r="CL11" s="83"/>
      <c r="CM11" s="83"/>
      <c r="CN11" s="83"/>
      <c r="CO11" s="83"/>
      <c r="CP11" s="83"/>
    </row>
    <row r="12" spans="1:94" x14ac:dyDescent="0.25">
      <c r="A12" s="79" t="s">
        <v>11</v>
      </c>
      <c r="B12" s="98" t="s">
        <v>9</v>
      </c>
      <c r="C12" s="112">
        <v>3</v>
      </c>
      <c r="D12" s="113">
        <v>2077.3000000000002</v>
      </c>
      <c r="E12" s="112">
        <v>2</v>
      </c>
      <c r="F12" s="113">
        <v>1500</v>
      </c>
      <c r="G12" s="112">
        <v>4</v>
      </c>
      <c r="H12" s="113">
        <v>1722.8</v>
      </c>
      <c r="I12" s="112">
        <v>0</v>
      </c>
      <c r="J12" s="113">
        <v>0</v>
      </c>
      <c r="K12" s="112">
        <v>1</v>
      </c>
      <c r="L12" s="113">
        <v>608.5</v>
      </c>
      <c r="M12" s="112">
        <v>7</v>
      </c>
      <c r="N12" s="113">
        <v>3542.4</v>
      </c>
      <c r="O12" s="112">
        <v>0</v>
      </c>
      <c r="P12" s="113">
        <v>0</v>
      </c>
      <c r="Q12" s="112">
        <v>5</v>
      </c>
      <c r="R12" s="113">
        <v>1653.7</v>
      </c>
      <c r="S12" s="112">
        <v>2</v>
      </c>
      <c r="T12" s="113">
        <v>722.9</v>
      </c>
      <c r="U12" s="112">
        <v>3</v>
      </c>
      <c r="V12" s="113">
        <v>1409.6</v>
      </c>
      <c r="W12" s="112">
        <v>3</v>
      </c>
      <c r="X12" s="113">
        <v>1219.0999999999999</v>
      </c>
      <c r="Y12" s="112">
        <v>2</v>
      </c>
      <c r="Z12" s="113">
        <v>1359.1</v>
      </c>
      <c r="AA12" s="112">
        <v>2</v>
      </c>
      <c r="AB12" s="113">
        <v>961.3</v>
      </c>
      <c r="AC12" s="112">
        <v>1</v>
      </c>
      <c r="AD12" s="113">
        <v>800</v>
      </c>
      <c r="AE12" s="112">
        <v>2</v>
      </c>
      <c r="AF12" s="113">
        <v>969.6</v>
      </c>
      <c r="AG12" s="112">
        <v>0</v>
      </c>
      <c r="AH12" s="113">
        <v>0</v>
      </c>
      <c r="AI12" s="112">
        <v>4</v>
      </c>
      <c r="AJ12" s="113">
        <v>1914.1</v>
      </c>
      <c r="AK12" s="112">
        <v>0</v>
      </c>
      <c r="AL12" s="113">
        <v>0</v>
      </c>
      <c r="AM12" s="112">
        <v>6</v>
      </c>
      <c r="AN12" s="113">
        <v>3621.6</v>
      </c>
      <c r="AO12" s="112">
        <v>0</v>
      </c>
      <c r="AP12" s="113">
        <v>0</v>
      </c>
      <c r="AQ12" s="112">
        <v>0</v>
      </c>
      <c r="AR12" s="113">
        <v>0</v>
      </c>
      <c r="AS12" s="112">
        <v>0</v>
      </c>
      <c r="AT12" s="113">
        <v>0</v>
      </c>
      <c r="AU12" s="112">
        <v>4</v>
      </c>
      <c r="AV12" s="113">
        <v>1299.5999999999999</v>
      </c>
      <c r="AW12" s="112">
        <v>2</v>
      </c>
      <c r="AX12" s="113">
        <v>1416.4</v>
      </c>
      <c r="AY12" s="112">
        <v>3</v>
      </c>
      <c r="AZ12" s="113">
        <v>1170.7</v>
      </c>
      <c r="BA12" s="112">
        <v>1</v>
      </c>
      <c r="BB12" s="113">
        <v>230.3</v>
      </c>
      <c r="BC12" s="112">
        <v>5</v>
      </c>
      <c r="BD12" s="113">
        <v>2339.1999999999998</v>
      </c>
      <c r="BE12" s="112">
        <v>1</v>
      </c>
      <c r="BF12" s="113">
        <v>100</v>
      </c>
      <c r="BG12" s="112">
        <v>2</v>
      </c>
      <c r="BH12" s="113">
        <v>685.9</v>
      </c>
      <c r="BI12" s="112">
        <v>0</v>
      </c>
      <c r="BJ12" s="113">
        <v>0</v>
      </c>
      <c r="BK12" s="112">
        <v>5</v>
      </c>
      <c r="BL12" s="113">
        <v>2182.1999999999998</v>
      </c>
      <c r="BM12" s="114" cm="1">
        <f t="array" ref="BM12">SUMPRODUCT((MOD(COLUMN(C12:BL12)-COLUMN(C12),2)=0)*C12:BL12)</f>
        <v>70</v>
      </c>
      <c r="BN12" s="113" cm="1">
        <f t="array" ref="BN12">SUMPRODUCT((MOD(COLUMN(D12:BM12)-COLUMN(D12),2)=0)*D12:BM12)</f>
        <v>33506.299999999996</v>
      </c>
      <c r="BO12" s="99"/>
      <c r="BP12" s="99"/>
      <c r="BQ12" s="99"/>
      <c r="BR12" s="99"/>
      <c r="BS12" s="99"/>
      <c r="BT12" s="99"/>
      <c r="BU12" s="99"/>
      <c r="BV12" s="99"/>
      <c r="BW12" s="99"/>
      <c r="BX12" s="99"/>
      <c r="CA12" s="83"/>
      <c r="CB12" s="83"/>
      <c r="CC12" s="83"/>
      <c r="CD12" s="83"/>
      <c r="CE12" s="83"/>
      <c r="CF12" s="83"/>
      <c r="CG12" s="83"/>
      <c r="CH12" s="83"/>
      <c r="CI12" s="83"/>
      <c r="CJ12" s="83"/>
      <c r="CK12" s="83"/>
      <c r="CL12" s="83"/>
      <c r="CM12" s="83"/>
      <c r="CN12" s="83"/>
      <c r="CO12" s="83"/>
      <c r="CP12" s="83"/>
    </row>
    <row r="13" spans="1:94" x14ac:dyDescent="0.25">
      <c r="A13" s="79" t="s">
        <v>12</v>
      </c>
      <c r="B13" s="98" t="s">
        <v>9</v>
      </c>
      <c r="C13" s="112">
        <v>4</v>
      </c>
      <c r="D13" s="113">
        <v>1565.6</v>
      </c>
      <c r="E13" s="112">
        <v>4</v>
      </c>
      <c r="F13" s="113">
        <v>1979.5</v>
      </c>
      <c r="G13" s="112">
        <v>10</v>
      </c>
      <c r="H13" s="113">
        <v>5982.5</v>
      </c>
      <c r="I13" s="112">
        <v>3</v>
      </c>
      <c r="J13" s="113">
        <v>1756.1</v>
      </c>
      <c r="K13" s="112">
        <v>5</v>
      </c>
      <c r="L13" s="113">
        <v>3216.9</v>
      </c>
      <c r="M13" s="112">
        <v>2</v>
      </c>
      <c r="N13" s="113">
        <v>410.3</v>
      </c>
      <c r="O13" s="112">
        <v>4</v>
      </c>
      <c r="P13" s="113">
        <v>1305.4000000000001</v>
      </c>
      <c r="Q13" s="112">
        <v>6</v>
      </c>
      <c r="R13" s="113">
        <v>3265.9</v>
      </c>
      <c r="S13" s="112">
        <v>4</v>
      </c>
      <c r="T13" s="113">
        <v>1342.8</v>
      </c>
      <c r="U13" s="112">
        <v>7</v>
      </c>
      <c r="V13" s="113">
        <v>3499.7</v>
      </c>
      <c r="W13" s="112">
        <v>5</v>
      </c>
      <c r="X13" s="113">
        <v>1566.8</v>
      </c>
      <c r="Y13" s="112">
        <v>8</v>
      </c>
      <c r="Z13" s="113">
        <v>4512.8999999999996</v>
      </c>
      <c r="AA13" s="112">
        <v>6</v>
      </c>
      <c r="AB13" s="113">
        <v>2486.8000000000002</v>
      </c>
      <c r="AC13" s="112">
        <v>4</v>
      </c>
      <c r="AD13" s="113">
        <v>1574.6</v>
      </c>
      <c r="AE13" s="112">
        <v>6</v>
      </c>
      <c r="AF13" s="113">
        <v>2660.4</v>
      </c>
      <c r="AG13" s="112">
        <v>3</v>
      </c>
      <c r="AH13" s="113">
        <v>1500</v>
      </c>
      <c r="AI13" s="112">
        <v>13</v>
      </c>
      <c r="AJ13" s="113">
        <v>7069.8</v>
      </c>
      <c r="AK13" s="112">
        <v>7</v>
      </c>
      <c r="AL13" s="113">
        <v>4554.8</v>
      </c>
      <c r="AM13" s="112">
        <v>4</v>
      </c>
      <c r="AN13" s="113">
        <v>2357.5</v>
      </c>
      <c r="AO13" s="112">
        <v>0</v>
      </c>
      <c r="AP13" s="113">
        <v>0</v>
      </c>
      <c r="AQ13" s="112">
        <v>5</v>
      </c>
      <c r="AR13" s="113">
        <v>1855.3</v>
      </c>
      <c r="AS13" s="112">
        <v>3</v>
      </c>
      <c r="AT13" s="113">
        <v>1638.7</v>
      </c>
      <c r="AU13" s="112">
        <v>4</v>
      </c>
      <c r="AV13" s="113">
        <v>1240.7</v>
      </c>
      <c r="AW13" s="112">
        <v>8</v>
      </c>
      <c r="AX13" s="113">
        <v>4379</v>
      </c>
      <c r="AY13" s="112">
        <v>5</v>
      </c>
      <c r="AZ13" s="113">
        <v>2559.5</v>
      </c>
      <c r="BA13" s="112">
        <v>5</v>
      </c>
      <c r="BB13" s="113">
        <v>3941.5</v>
      </c>
      <c r="BC13" s="112">
        <v>5</v>
      </c>
      <c r="BD13" s="113">
        <v>2339.4</v>
      </c>
      <c r="BE13" s="112">
        <v>2</v>
      </c>
      <c r="BF13" s="113">
        <v>1000</v>
      </c>
      <c r="BG13" s="112">
        <v>4</v>
      </c>
      <c r="BH13" s="113">
        <v>1593.9</v>
      </c>
      <c r="BI13" s="112">
        <v>3</v>
      </c>
      <c r="BJ13" s="113">
        <v>1059.2</v>
      </c>
      <c r="BK13" s="112">
        <v>17</v>
      </c>
      <c r="BL13" s="113">
        <v>9330.7999999999993</v>
      </c>
      <c r="BM13" s="114" cm="1">
        <f t="array" ref="BM13">SUMPRODUCT((MOD(COLUMN(C13:BL13)-COLUMN(C13),2)=0)*C13:BL13)</f>
        <v>166</v>
      </c>
      <c r="BN13" s="113" cm="1">
        <f t="array" ref="BN13">SUMPRODUCT((MOD(COLUMN(D13:BM13)-COLUMN(D13),2)=0)*D13:BM13)</f>
        <v>83546.299999999988</v>
      </c>
      <c r="BO13" s="99"/>
      <c r="BP13" s="99"/>
      <c r="BQ13" s="99"/>
      <c r="BR13" s="99"/>
      <c r="BS13" s="99"/>
      <c r="BT13" s="99"/>
      <c r="BU13" s="99"/>
      <c r="BV13" s="99"/>
      <c r="BW13" s="99"/>
      <c r="BX13" s="99"/>
      <c r="CA13" s="83"/>
      <c r="CB13" s="83"/>
      <c r="CC13" s="83"/>
      <c r="CD13" s="83"/>
      <c r="CE13" s="83"/>
      <c r="CF13" s="83"/>
      <c r="CG13" s="83"/>
      <c r="CH13" s="83"/>
      <c r="CI13" s="83"/>
      <c r="CJ13" s="83"/>
      <c r="CK13" s="83"/>
      <c r="CL13" s="83"/>
      <c r="CM13" s="83"/>
      <c r="CN13" s="83"/>
      <c r="CO13" s="83"/>
      <c r="CP13" s="83"/>
    </row>
    <row r="14" spans="1:94" x14ac:dyDescent="0.25">
      <c r="A14" s="79" t="s">
        <v>13</v>
      </c>
      <c r="B14" s="98" t="s">
        <v>9</v>
      </c>
      <c r="C14" s="112">
        <v>4</v>
      </c>
      <c r="D14" s="113">
        <v>2979.3</v>
      </c>
      <c r="E14" s="112">
        <v>6</v>
      </c>
      <c r="F14" s="113">
        <v>2289.1</v>
      </c>
      <c r="G14" s="112">
        <v>17</v>
      </c>
      <c r="H14" s="113">
        <v>7752.3</v>
      </c>
      <c r="I14" s="112">
        <v>4</v>
      </c>
      <c r="J14" s="113">
        <v>1138</v>
      </c>
      <c r="K14" s="112">
        <v>12</v>
      </c>
      <c r="L14" s="113">
        <v>7707.2</v>
      </c>
      <c r="M14" s="112">
        <v>14</v>
      </c>
      <c r="N14" s="113">
        <v>7911.7</v>
      </c>
      <c r="O14" s="112">
        <v>9</v>
      </c>
      <c r="P14" s="113">
        <v>4802.5</v>
      </c>
      <c r="Q14" s="112">
        <v>5</v>
      </c>
      <c r="R14" s="113">
        <v>2074.3000000000002</v>
      </c>
      <c r="S14" s="112">
        <v>5</v>
      </c>
      <c r="T14" s="113">
        <v>1707.4</v>
      </c>
      <c r="U14" s="112">
        <v>8</v>
      </c>
      <c r="V14" s="113">
        <v>4178.3999999999996</v>
      </c>
      <c r="W14" s="112">
        <v>8</v>
      </c>
      <c r="X14" s="113">
        <v>4869.8999999999996</v>
      </c>
      <c r="Y14" s="112">
        <v>9</v>
      </c>
      <c r="Z14" s="113">
        <v>5410.5</v>
      </c>
      <c r="AA14" s="112">
        <v>6</v>
      </c>
      <c r="AB14" s="113">
        <v>1269.4000000000001</v>
      </c>
      <c r="AC14" s="112">
        <v>4</v>
      </c>
      <c r="AD14" s="113">
        <v>1702.1</v>
      </c>
      <c r="AE14" s="112">
        <v>9</v>
      </c>
      <c r="AF14" s="113">
        <v>4847.7</v>
      </c>
      <c r="AG14" s="112">
        <v>4</v>
      </c>
      <c r="AH14" s="113">
        <v>1201</v>
      </c>
      <c r="AI14" s="112">
        <v>11</v>
      </c>
      <c r="AJ14" s="113">
        <v>4531.2</v>
      </c>
      <c r="AK14" s="112">
        <v>10</v>
      </c>
      <c r="AL14" s="113">
        <v>6129</v>
      </c>
      <c r="AM14" s="112">
        <v>10</v>
      </c>
      <c r="AN14" s="113">
        <v>6476.4</v>
      </c>
      <c r="AO14" s="112">
        <v>0</v>
      </c>
      <c r="AP14" s="113">
        <v>0</v>
      </c>
      <c r="AQ14" s="112">
        <v>7</v>
      </c>
      <c r="AR14" s="113">
        <v>3180.8</v>
      </c>
      <c r="AS14" s="112">
        <v>6</v>
      </c>
      <c r="AT14" s="113">
        <v>3110.2</v>
      </c>
      <c r="AU14" s="112">
        <v>7</v>
      </c>
      <c r="AV14" s="113">
        <v>2901.5</v>
      </c>
      <c r="AW14" s="112">
        <v>15</v>
      </c>
      <c r="AX14" s="113">
        <v>7080</v>
      </c>
      <c r="AY14" s="112">
        <v>9</v>
      </c>
      <c r="AZ14" s="113">
        <v>5014.6000000000004</v>
      </c>
      <c r="BA14" s="112">
        <v>10</v>
      </c>
      <c r="BB14" s="113">
        <v>3868.6</v>
      </c>
      <c r="BC14" s="112">
        <v>17</v>
      </c>
      <c r="BD14" s="113">
        <v>7663.8</v>
      </c>
      <c r="BE14" s="112">
        <v>4</v>
      </c>
      <c r="BF14" s="113">
        <v>1322.6</v>
      </c>
      <c r="BG14" s="112">
        <v>5</v>
      </c>
      <c r="BH14" s="113">
        <v>3282.2</v>
      </c>
      <c r="BI14" s="112">
        <v>6</v>
      </c>
      <c r="BJ14" s="113">
        <v>1998.6</v>
      </c>
      <c r="BK14" s="112">
        <v>13</v>
      </c>
      <c r="BL14" s="113">
        <v>4983.2</v>
      </c>
      <c r="BM14" s="114" cm="1">
        <f t="array" ref="BM14">SUMPRODUCT((MOD(COLUMN(C14:BL14)-COLUMN(C14),2)=0)*C14:BL14)</f>
        <v>254</v>
      </c>
      <c r="BN14" s="113" cm="1">
        <f t="array" ref="BN14">SUMPRODUCT((MOD(COLUMN(D14:BM14)-COLUMN(D14),2)=0)*D14:BM14)</f>
        <v>123383.50000000003</v>
      </c>
      <c r="BO14" s="99"/>
      <c r="BP14" s="99"/>
      <c r="BQ14" s="99"/>
      <c r="BR14" s="99"/>
      <c r="BS14" s="99"/>
      <c r="BT14" s="99"/>
      <c r="BU14" s="99"/>
      <c r="BV14" s="99"/>
      <c r="BW14" s="99"/>
      <c r="BX14" s="99"/>
      <c r="CA14" s="83"/>
      <c r="CB14" s="83"/>
      <c r="CC14" s="83"/>
      <c r="CD14" s="83"/>
      <c r="CE14" s="83"/>
      <c r="CF14" s="83"/>
      <c r="CG14" s="83"/>
      <c r="CH14" s="83"/>
      <c r="CI14" s="83"/>
      <c r="CJ14" s="83"/>
      <c r="CK14" s="83"/>
      <c r="CL14" s="83"/>
      <c r="CM14" s="83"/>
      <c r="CN14" s="83"/>
      <c r="CO14" s="83"/>
      <c r="CP14" s="83"/>
    </row>
    <row r="15" spans="1:94" x14ac:dyDescent="0.25">
      <c r="A15" s="79" t="s">
        <v>14</v>
      </c>
      <c r="B15" s="98" t="s">
        <v>9</v>
      </c>
      <c r="C15" s="112">
        <v>9</v>
      </c>
      <c r="D15" s="113">
        <v>4840.3999999999996</v>
      </c>
      <c r="E15" s="112">
        <v>10</v>
      </c>
      <c r="F15" s="113">
        <v>4154.1000000000004</v>
      </c>
      <c r="G15" s="112">
        <v>20</v>
      </c>
      <c r="H15" s="113">
        <v>9995.2000000000007</v>
      </c>
      <c r="I15" s="112">
        <v>11</v>
      </c>
      <c r="J15" s="113">
        <v>6536.3</v>
      </c>
      <c r="K15" s="112">
        <v>9</v>
      </c>
      <c r="L15" s="113">
        <v>4870.3</v>
      </c>
      <c r="M15" s="112">
        <v>15</v>
      </c>
      <c r="N15" s="113">
        <v>6172.6</v>
      </c>
      <c r="O15" s="112">
        <v>11</v>
      </c>
      <c r="P15" s="113">
        <v>4719.6000000000004</v>
      </c>
      <c r="Q15" s="112">
        <v>6</v>
      </c>
      <c r="R15" s="113">
        <v>4624.6000000000004</v>
      </c>
      <c r="S15" s="112">
        <v>15</v>
      </c>
      <c r="T15" s="113">
        <v>6400.7</v>
      </c>
      <c r="U15" s="112">
        <v>12</v>
      </c>
      <c r="V15" s="113">
        <v>5451.7</v>
      </c>
      <c r="W15" s="112">
        <v>3</v>
      </c>
      <c r="X15" s="113">
        <v>1271.3</v>
      </c>
      <c r="Y15" s="112">
        <v>5</v>
      </c>
      <c r="Z15" s="113">
        <v>2420.1999999999998</v>
      </c>
      <c r="AA15" s="112">
        <v>17</v>
      </c>
      <c r="AB15" s="113">
        <v>13071.1</v>
      </c>
      <c r="AC15" s="112">
        <v>12</v>
      </c>
      <c r="AD15" s="113">
        <v>6354.6</v>
      </c>
      <c r="AE15" s="112">
        <v>6</v>
      </c>
      <c r="AF15" s="113">
        <v>2122.6999999999998</v>
      </c>
      <c r="AG15" s="112">
        <v>5</v>
      </c>
      <c r="AH15" s="113">
        <v>2197.9</v>
      </c>
      <c r="AI15" s="112">
        <v>18</v>
      </c>
      <c r="AJ15" s="113">
        <v>6853.8</v>
      </c>
      <c r="AK15" s="112">
        <v>6</v>
      </c>
      <c r="AL15" s="113">
        <v>1427.9</v>
      </c>
      <c r="AM15" s="112">
        <v>12</v>
      </c>
      <c r="AN15" s="113">
        <v>6733.5</v>
      </c>
      <c r="AO15" s="112">
        <v>0</v>
      </c>
      <c r="AP15" s="113">
        <v>0</v>
      </c>
      <c r="AQ15" s="112">
        <v>7</v>
      </c>
      <c r="AR15" s="113">
        <v>3426</v>
      </c>
      <c r="AS15" s="112">
        <v>7</v>
      </c>
      <c r="AT15" s="113">
        <v>4760.8</v>
      </c>
      <c r="AU15" s="112">
        <v>7</v>
      </c>
      <c r="AV15" s="113">
        <v>4075</v>
      </c>
      <c r="AW15" s="112">
        <v>12</v>
      </c>
      <c r="AX15" s="113">
        <v>6676.9</v>
      </c>
      <c r="AY15" s="112">
        <v>6</v>
      </c>
      <c r="AZ15" s="113">
        <v>2727.2</v>
      </c>
      <c r="BA15" s="112">
        <v>11</v>
      </c>
      <c r="BB15" s="113">
        <v>7387.8</v>
      </c>
      <c r="BC15" s="112">
        <v>12</v>
      </c>
      <c r="BD15" s="113">
        <v>6849</v>
      </c>
      <c r="BE15" s="112">
        <v>2</v>
      </c>
      <c r="BF15" s="113">
        <v>734</v>
      </c>
      <c r="BG15" s="112">
        <v>8</v>
      </c>
      <c r="BH15" s="113">
        <v>7205.7</v>
      </c>
      <c r="BI15" s="112">
        <v>9</v>
      </c>
      <c r="BJ15" s="113">
        <v>4169.7</v>
      </c>
      <c r="BK15" s="112">
        <v>19</v>
      </c>
      <c r="BL15" s="113">
        <v>8244.2000000000007</v>
      </c>
      <c r="BM15" s="114" cm="1">
        <f t="array" ref="BM15">SUMPRODUCT((MOD(COLUMN(C15:BL15)-COLUMN(C15),2)=0)*C15:BL15)</f>
        <v>302</v>
      </c>
      <c r="BN15" s="113" cm="1">
        <f t="array" ref="BN15">SUMPRODUCT((MOD(COLUMN(D15:BM15)-COLUMN(D15),2)=0)*D15:BM15)</f>
        <v>156474.80000000002</v>
      </c>
      <c r="BO15" s="99"/>
      <c r="BP15" s="99"/>
      <c r="BQ15" s="99"/>
      <c r="BR15" s="99"/>
      <c r="BS15" s="99"/>
      <c r="BT15" s="99"/>
      <c r="BU15" s="99"/>
      <c r="BV15" s="99"/>
      <c r="BW15" s="99"/>
      <c r="BX15" s="99"/>
      <c r="CA15" s="83"/>
      <c r="CB15" s="83"/>
      <c r="CC15" s="83"/>
      <c r="CD15" s="83"/>
      <c r="CE15" s="83"/>
      <c r="CF15" s="83"/>
      <c r="CG15" s="83"/>
      <c r="CH15" s="83"/>
      <c r="CI15" s="83"/>
      <c r="CJ15" s="83"/>
      <c r="CK15" s="83"/>
      <c r="CL15" s="83"/>
      <c r="CM15" s="83"/>
      <c r="CN15" s="83"/>
      <c r="CO15" s="83"/>
      <c r="CP15" s="83"/>
    </row>
    <row r="16" spans="1:94" x14ac:dyDescent="0.25">
      <c r="A16" s="79" t="s">
        <v>7</v>
      </c>
      <c r="B16" s="98" t="s">
        <v>9</v>
      </c>
      <c r="C16" s="112">
        <v>25</v>
      </c>
      <c r="D16" s="113">
        <v>11437.6</v>
      </c>
      <c r="E16" s="112">
        <v>16</v>
      </c>
      <c r="F16" s="113">
        <v>6086.7</v>
      </c>
      <c r="G16" s="112">
        <v>30</v>
      </c>
      <c r="H16" s="113">
        <v>10746.2</v>
      </c>
      <c r="I16" s="112">
        <v>26</v>
      </c>
      <c r="J16" s="113">
        <v>12167.7</v>
      </c>
      <c r="K16" s="112">
        <v>29</v>
      </c>
      <c r="L16" s="113">
        <v>10814.8</v>
      </c>
      <c r="M16" s="112">
        <v>23</v>
      </c>
      <c r="N16" s="113">
        <v>8960.1</v>
      </c>
      <c r="O16" s="112">
        <v>23</v>
      </c>
      <c r="P16" s="113">
        <v>9908.5</v>
      </c>
      <c r="Q16" s="112">
        <v>24</v>
      </c>
      <c r="R16" s="113">
        <v>8939.7999999999993</v>
      </c>
      <c r="S16" s="112">
        <v>22</v>
      </c>
      <c r="T16" s="113">
        <v>11602.1</v>
      </c>
      <c r="U16" s="112">
        <v>35</v>
      </c>
      <c r="V16" s="113">
        <v>17153.099999999999</v>
      </c>
      <c r="W16" s="112">
        <v>29</v>
      </c>
      <c r="X16" s="113">
        <v>13716.3</v>
      </c>
      <c r="Y16" s="112">
        <v>27</v>
      </c>
      <c r="Z16" s="113">
        <v>13894.5</v>
      </c>
      <c r="AA16" s="112">
        <v>21</v>
      </c>
      <c r="AB16" s="113">
        <v>9970.1</v>
      </c>
      <c r="AC16" s="112">
        <v>26</v>
      </c>
      <c r="AD16" s="113">
        <v>10989.4</v>
      </c>
      <c r="AE16" s="112">
        <v>29</v>
      </c>
      <c r="AF16" s="113">
        <v>12477.1</v>
      </c>
      <c r="AG16" s="112">
        <v>23</v>
      </c>
      <c r="AH16" s="113">
        <v>9684.4</v>
      </c>
      <c r="AI16" s="112">
        <v>29</v>
      </c>
      <c r="AJ16" s="113">
        <v>13370.6</v>
      </c>
      <c r="AK16" s="112">
        <v>27</v>
      </c>
      <c r="AL16" s="113">
        <v>11279.5</v>
      </c>
      <c r="AM16" s="112">
        <v>41</v>
      </c>
      <c r="AN16" s="113">
        <v>21022.5</v>
      </c>
      <c r="AO16" s="112">
        <v>0</v>
      </c>
      <c r="AP16" s="113">
        <v>0</v>
      </c>
      <c r="AQ16" s="112">
        <v>20</v>
      </c>
      <c r="AR16" s="113">
        <v>9264.7999999999993</v>
      </c>
      <c r="AS16" s="112">
        <v>15</v>
      </c>
      <c r="AT16" s="113">
        <v>9320.4</v>
      </c>
      <c r="AU16" s="112">
        <v>17</v>
      </c>
      <c r="AV16" s="113">
        <v>8390.4</v>
      </c>
      <c r="AW16" s="112">
        <v>39</v>
      </c>
      <c r="AX16" s="113">
        <v>17450.5</v>
      </c>
      <c r="AY16" s="112">
        <v>23</v>
      </c>
      <c r="AZ16" s="113">
        <v>13272.9</v>
      </c>
      <c r="BA16" s="112">
        <v>27</v>
      </c>
      <c r="BB16" s="113">
        <v>13334.7</v>
      </c>
      <c r="BC16" s="112">
        <v>28</v>
      </c>
      <c r="BD16" s="113">
        <v>11191.1</v>
      </c>
      <c r="BE16" s="112">
        <v>23</v>
      </c>
      <c r="BF16" s="113">
        <v>10777.2</v>
      </c>
      <c r="BG16" s="112">
        <v>16</v>
      </c>
      <c r="BH16" s="113">
        <v>10671.5</v>
      </c>
      <c r="BI16" s="112">
        <v>28</v>
      </c>
      <c r="BJ16" s="113">
        <v>10362.1</v>
      </c>
      <c r="BK16" s="112">
        <v>34</v>
      </c>
      <c r="BL16" s="113">
        <v>17325.3</v>
      </c>
      <c r="BM16" s="114" cm="1">
        <f t="array" ref="BM16">SUMPRODUCT((MOD(COLUMN(C16:BL16)-COLUMN(C16),2)=0)*C16:BL16)</f>
        <v>775</v>
      </c>
      <c r="BN16" s="113" cm="1">
        <f t="array" ref="BN16">SUMPRODUCT((MOD(COLUMN(D16:BM16)-COLUMN(D16),2)=0)*D16:BM16)</f>
        <v>355581.89999999997</v>
      </c>
      <c r="BO16" s="99"/>
      <c r="BP16" s="99"/>
      <c r="BQ16" s="99"/>
      <c r="BR16" s="99"/>
      <c r="BS16" s="99"/>
      <c r="BT16" s="99"/>
      <c r="BU16" s="99"/>
      <c r="BV16" s="99"/>
      <c r="BW16" s="99"/>
      <c r="BX16" s="99"/>
      <c r="CA16" s="83"/>
      <c r="CB16" s="83"/>
      <c r="CC16" s="83"/>
      <c r="CD16" s="83"/>
      <c r="CE16" s="83"/>
      <c r="CF16" s="83"/>
      <c r="CG16" s="83"/>
      <c r="CH16" s="83"/>
      <c r="CI16" s="83"/>
      <c r="CJ16" s="83"/>
      <c r="CK16" s="83"/>
      <c r="CL16" s="83"/>
      <c r="CM16" s="83"/>
      <c r="CN16" s="83"/>
      <c r="CO16" s="83"/>
      <c r="CP16" s="83"/>
    </row>
    <row r="17" spans="1:94" x14ac:dyDescent="0.25">
      <c r="A17" s="100" t="s">
        <v>15</v>
      </c>
      <c r="B17" s="101"/>
      <c r="C17" s="115">
        <f>SUM(C10:C16)</f>
        <v>51</v>
      </c>
      <c r="D17" s="116">
        <f>SUM(D10:D16)</f>
        <v>24548.2</v>
      </c>
      <c r="E17" s="115">
        <f t="shared" ref="E17:BN17" si="1">SUM(E10:E16)</f>
        <v>43</v>
      </c>
      <c r="F17" s="116">
        <f t="shared" si="1"/>
        <v>18009.400000000001</v>
      </c>
      <c r="G17" s="115">
        <f t="shared" si="1"/>
        <v>84</v>
      </c>
      <c r="H17" s="116">
        <f t="shared" si="1"/>
        <v>37153.600000000006</v>
      </c>
      <c r="I17" s="115">
        <f t="shared" si="1"/>
        <v>52</v>
      </c>
      <c r="J17" s="116">
        <f t="shared" si="1"/>
        <v>24313.100000000002</v>
      </c>
      <c r="K17" s="115">
        <f t="shared" si="1"/>
        <v>60</v>
      </c>
      <c r="L17" s="116">
        <f t="shared" si="1"/>
        <v>29180.899999999998</v>
      </c>
      <c r="M17" s="115">
        <f t="shared" si="1"/>
        <v>76</v>
      </c>
      <c r="N17" s="116">
        <f t="shared" si="1"/>
        <v>33336.299999999996</v>
      </c>
      <c r="O17" s="115">
        <f t="shared" si="1"/>
        <v>53</v>
      </c>
      <c r="P17" s="116">
        <f t="shared" si="1"/>
        <v>23350.9</v>
      </c>
      <c r="Q17" s="115">
        <f t="shared" si="1"/>
        <v>49</v>
      </c>
      <c r="R17" s="116">
        <f t="shared" si="1"/>
        <v>22120.699999999997</v>
      </c>
      <c r="S17" s="115">
        <f t="shared" si="1"/>
        <v>56</v>
      </c>
      <c r="T17" s="116">
        <f t="shared" si="1"/>
        <v>23869.1</v>
      </c>
      <c r="U17" s="115">
        <f t="shared" si="1"/>
        <v>66</v>
      </c>
      <c r="V17" s="116">
        <f t="shared" si="1"/>
        <v>31851.499999999996</v>
      </c>
      <c r="W17" s="115">
        <f t="shared" si="1"/>
        <v>52</v>
      </c>
      <c r="X17" s="116">
        <f t="shared" si="1"/>
        <v>24853.399999999998</v>
      </c>
      <c r="Y17" s="115">
        <f t="shared" si="1"/>
        <v>62</v>
      </c>
      <c r="Z17" s="116">
        <f t="shared" si="1"/>
        <v>32644.1</v>
      </c>
      <c r="AA17" s="115">
        <f t="shared" si="1"/>
        <v>61</v>
      </c>
      <c r="AB17" s="116">
        <f t="shared" si="1"/>
        <v>31947.5</v>
      </c>
      <c r="AC17" s="115">
        <f t="shared" si="1"/>
        <v>53</v>
      </c>
      <c r="AD17" s="116">
        <f t="shared" si="1"/>
        <v>23816.5</v>
      </c>
      <c r="AE17" s="115">
        <f t="shared" si="1"/>
        <v>60</v>
      </c>
      <c r="AF17" s="116">
        <f t="shared" si="1"/>
        <v>26498.800000000003</v>
      </c>
      <c r="AG17" s="115">
        <f t="shared" si="1"/>
        <v>37</v>
      </c>
      <c r="AH17" s="116">
        <f t="shared" si="1"/>
        <v>15583.3</v>
      </c>
      <c r="AI17" s="115">
        <f t="shared" si="1"/>
        <v>83</v>
      </c>
      <c r="AJ17" s="116">
        <f t="shared" si="1"/>
        <v>36895.5</v>
      </c>
      <c r="AK17" s="115">
        <f t="shared" si="1"/>
        <v>58</v>
      </c>
      <c r="AL17" s="116">
        <f t="shared" si="1"/>
        <v>26177.1</v>
      </c>
      <c r="AM17" s="115">
        <f t="shared" si="1"/>
        <v>84</v>
      </c>
      <c r="AN17" s="116">
        <f t="shared" si="1"/>
        <v>44556.7</v>
      </c>
      <c r="AO17" s="115">
        <f t="shared" si="1"/>
        <v>0</v>
      </c>
      <c r="AP17" s="116">
        <f t="shared" si="1"/>
        <v>0</v>
      </c>
      <c r="AQ17" s="115">
        <f t="shared" si="1"/>
        <v>45</v>
      </c>
      <c r="AR17" s="116">
        <f t="shared" si="1"/>
        <v>20614.3</v>
      </c>
      <c r="AS17" s="115">
        <f t="shared" si="1"/>
        <v>35</v>
      </c>
      <c r="AT17" s="116">
        <f t="shared" si="1"/>
        <v>20191.5</v>
      </c>
      <c r="AU17" s="115">
        <f t="shared" si="1"/>
        <v>46</v>
      </c>
      <c r="AV17" s="116">
        <f t="shared" si="1"/>
        <v>22343.800000000003</v>
      </c>
      <c r="AW17" s="115">
        <f t="shared" si="1"/>
        <v>83</v>
      </c>
      <c r="AX17" s="116">
        <f t="shared" si="1"/>
        <v>40585.699999999997</v>
      </c>
      <c r="AY17" s="115">
        <f t="shared" si="1"/>
        <v>52</v>
      </c>
      <c r="AZ17" s="116">
        <f t="shared" si="1"/>
        <v>27423.1</v>
      </c>
      <c r="BA17" s="115">
        <f t="shared" si="1"/>
        <v>64</v>
      </c>
      <c r="BB17" s="116">
        <f t="shared" si="1"/>
        <v>32795.699999999997</v>
      </c>
      <c r="BC17" s="115">
        <f t="shared" si="1"/>
        <v>79</v>
      </c>
      <c r="BD17" s="116">
        <f t="shared" si="1"/>
        <v>36258</v>
      </c>
      <c r="BE17" s="115">
        <f t="shared" si="1"/>
        <v>38</v>
      </c>
      <c r="BF17" s="116">
        <f t="shared" si="1"/>
        <v>16305.400000000001</v>
      </c>
      <c r="BG17" s="115">
        <f t="shared" si="1"/>
        <v>38</v>
      </c>
      <c r="BH17" s="116">
        <f t="shared" si="1"/>
        <v>24634.1</v>
      </c>
      <c r="BI17" s="115">
        <f t="shared" si="1"/>
        <v>52</v>
      </c>
      <c r="BJ17" s="116">
        <f t="shared" si="1"/>
        <v>20043.099999999999</v>
      </c>
      <c r="BK17" s="115">
        <f t="shared" si="1"/>
        <v>91</v>
      </c>
      <c r="BL17" s="116">
        <f t="shared" si="1"/>
        <v>43657.3</v>
      </c>
      <c r="BM17" s="117">
        <f t="shared" si="1"/>
        <v>1763</v>
      </c>
      <c r="BN17" s="116">
        <f t="shared" si="1"/>
        <v>835558.60000000009</v>
      </c>
      <c r="BO17" s="102"/>
      <c r="BP17" s="102"/>
      <c r="BQ17" s="102"/>
      <c r="BR17" s="102"/>
      <c r="BS17" s="102"/>
      <c r="BT17" s="102"/>
      <c r="BU17" s="102"/>
      <c r="BV17" s="102"/>
      <c r="BW17" s="102"/>
      <c r="BX17" s="102"/>
      <c r="CA17" s="83"/>
      <c r="CB17" s="83"/>
      <c r="CC17" s="83"/>
      <c r="CD17" s="83"/>
      <c r="CE17" s="83"/>
      <c r="CF17" s="83"/>
      <c r="CG17" s="83"/>
      <c r="CH17" s="83"/>
      <c r="CI17" s="83"/>
      <c r="CJ17" s="83"/>
      <c r="CK17" s="83"/>
      <c r="CL17" s="83"/>
      <c r="CM17" s="83"/>
      <c r="CN17" s="83"/>
      <c r="CO17" s="83"/>
      <c r="CP17" s="83"/>
    </row>
    <row r="18" spans="1:94" x14ac:dyDescent="0.25">
      <c r="C18" s="118"/>
      <c r="D18" s="119"/>
      <c r="E18" s="118"/>
      <c r="F18" s="119"/>
      <c r="G18" s="118"/>
      <c r="H18" s="119"/>
      <c r="I18" s="118"/>
      <c r="J18" s="119"/>
      <c r="K18" s="118"/>
      <c r="L18" s="119"/>
      <c r="M18" s="118"/>
      <c r="N18" s="119"/>
      <c r="O18" s="118"/>
      <c r="P18" s="119"/>
      <c r="Q18" s="118"/>
      <c r="R18" s="119"/>
      <c r="S18" s="118"/>
      <c r="T18" s="119"/>
      <c r="U18" s="118"/>
      <c r="V18" s="119"/>
      <c r="W18" s="118"/>
      <c r="X18" s="119"/>
      <c r="Y18" s="118"/>
      <c r="Z18" s="119"/>
      <c r="AA18" s="118"/>
      <c r="AB18" s="119"/>
      <c r="AC18" s="118"/>
      <c r="AD18" s="119"/>
      <c r="AE18" s="118"/>
      <c r="AF18" s="119"/>
      <c r="AG18" s="118"/>
      <c r="AH18" s="119"/>
      <c r="AI18" s="118"/>
      <c r="AJ18" s="119"/>
      <c r="AK18" s="118"/>
      <c r="AL18" s="119"/>
      <c r="AM18" s="118"/>
      <c r="AN18" s="119"/>
      <c r="AO18" s="118"/>
      <c r="AP18" s="119"/>
      <c r="AQ18" s="118"/>
      <c r="AR18" s="119"/>
      <c r="AS18" s="118"/>
      <c r="AT18" s="119"/>
      <c r="AU18" s="118"/>
      <c r="AV18" s="119"/>
      <c r="AW18" s="118"/>
      <c r="AX18" s="119"/>
      <c r="AY18" s="118"/>
      <c r="AZ18" s="119"/>
      <c r="BA18" s="118"/>
      <c r="BB18" s="119"/>
      <c r="BC18" s="118"/>
      <c r="BD18" s="119"/>
      <c r="BE18" s="118"/>
      <c r="BF18" s="119"/>
      <c r="BG18" s="118"/>
      <c r="BH18" s="119"/>
      <c r="BI18" s="118"/>
      <c r="BJ18" s="119"/>
      <c r="BK18" s="118"/>
      <c r="BL18" s="119"/>
      <c r="BM18" s="120"/>
      <c r="BN18" s="119"/>
      <c r="CA18" s="83"/>
      <c r="CB18" s="83"/>
      <c r="CC18" s="83"/>
      <c r="CD18" s="83"/>
      <c r="CE18" s="83"/>
      <c r="CF18" s="83"/>
      <c r="CG18" s="83"/>
      <c r="CH18" s="83"/>
      <c r="CI18" s="83"/>
      <c r="CJ18" s="83"/>
      <c r="CK18" s="83"/>
      <c r="CL18" s="83"/>
      <c r="CM18" s="83"/>
      <c r="CN18" s="83"/>
      <c r="CO18" s="83"/>
      <c r="CP18" s="83"/>
    </row>
    <row r="19" spans="1:94" x14ac:dyDescent="0.25">
      <c r="A19" s="92" t="s">
        <v>16</v>
      </c>
      <c r="B19" s="93"/>
      <c r="C19" s="121"/>
      <c r="D19" s="122"/>
      <c r="E19" s="121"/>
      <c r="F19" s="122"/>
      <c r="G19" s="121"/>
      <c r="H19" s="122"/>
      <c r="I19" s="121"/>
      <c r="J19" s="122"/>
      <c r="K19" s="121"/>
      <c r="L19" s="122"/>
      <c r="M19" s="121"/>
      <c r="N19" s="122"/>
      <c r="O19" s="121"/>
      <c r="P19" s="122"/>
      <c r="Q19" s="121"/>
      <c r="R19" s="122"/>
      <c r="S19" s="121"/>
      <c r="T19" s="122"/>
      <c r="U19" s="121"/>
      <c r="V19" s="122"/>
      <c r="W19" s="121"/>
      <c r="X19" s="122"/>
      <c r="Y19" s="121"/>
      <c r="Z19" s="122"/>
      <c r="AA19" s="121"/>
      <c r="AB19" s="122"/>
      <c r="AC19" s="121"/>
      <c r="AD19" s="122"/>
      <c r="AE19" s="121"/>
      <c r="AF19" s="122"/>
      <c r="AG19" s="121"/>
      <c r="AH19" s="122"/>
      <c r="AI19" s="121"/>
      <c r="AJ19" s="122"/>
      <c r="AK19" s="121"/>
      <c r="AL19" s="122"/>
      <c r="AM19" s="121"/>
      <c r="AN19" s="122"/>
      <c r="AO19" s="121"/>
      <c r="AP19" s="122"/>
      <c r="AQ19" s="121"/>
      <c r="AR19" s="122"/>
      <c r="AS19" s="121"/>
      <c r="AT19" s="122"/>
      <c r="AU19" s="121"/>
      <c r="AV19" s="122"/>
      <c r="AW19" s="121"/>
      <c r="AX19" s="122"/>
      <c r="AY19" s="121"/>
      <c r="AZ19" s="122"/>
      <c r="BA19" s="121"/>
      <c r="BB19" s="122"/>
      <c r="BC19" s="121"/>
      <c r="BD19" s="122"/>
      <c r="BE19" s="121"/>
      <c r="BF19" s="122"/>
      <c r="BG19" s="121"/>
      <c r="BH19" s="122"/>
      <c r="BI19" s="121"/>
      <c r="BJ19" s="122"/>
      <c r="BK19" s="121"/>
      <c r="BL19" s="122"/>
      <c r="BM19" s="123"/>
      <c r="BN19" s="122"/>
      <c r="CA19" s="83"/>
      <c r="CB19" s="83"/>
      <c r="CC19" s="83"/>
      <c r="CD19" s="83"/>
      <c r="CE19" s="83"/>
      <c r="CF19" s="83"/>
      <c r="CG19" s="83"/>
      <c r="CH19" s="83"/>
      <c r="CI19" s="83"/>
      <c r="CJ19" s="83"/>
      <c r="CK19" s="83"/>
      <c r="CL19" s="83"/>
      <c r="CM19" s="83"/>
      <c r="CN19" s="83"/>
      <c r="CO19" s="83"/>
      <c r="CP19" s="83"/>
    </row>
    <row r="20" spans="1:94" x14ac:dyDescent="0.25">
      <c r="A20" s="79" t="s">
        <v>17</v>
      </c>
      <c r="B20" s="98" t="s">
        <v>9</v>
      </c>
      <c r="C20" s="112">
        <v>3</v>
      </c>
      <c r="D20" s="113">
        <v>2047.1</v>
      </c>
      <c r="E20" s="112">
        <v>5</v>
      </c>
      <c r="F20" s="113">
        <v>1537.5</v>
      </c>
      <c r="G20" s="112">
        <v>6</v>
      </c>
      <c r="H20" s="113">
        <v>2908.2</v>
      </c>
      <c r="I20" s="112">
        <v>5</v>
      </c>
      <c r="J20" s="113">
        <v>3734</v>
      </c>
      <c r="K20" s="112">
        <v>2</v>
      </c>
      <c r="L20" s="113">
        <v>1000</v>
      </c>
      <c r="M20" s="112">
        <v>4</v>
      </c>
      <c r="N20" s="113">
        <v>975.1</v>
      </c>
      <c r="O20" s="112">
        <v>4</v>
      </c>
      <c r="P20" s="113">
        <v>2115.9</v>
      </c>
      <c r="Q20" s="112">
        <v>9</v>
      </c>
      <c r="R20" s="113">
        <v>3487.5</v>
      </c>
      <c r="S20" s="112">
        <v>5</v>
      </c>
      <c r="T20" s="113">
        <v>2476.3000000000002</v>
      </c>
      <c r="U20" s="112">
        <v>3</v>
      </c>
      <c r="V20" s="113">
        <v>1605.9</v>
      </c>
      <c r="W20" s="112">
        <v>4</v>
      </c>
      <c r="X20" s="113">
        <v>2167.9</v>
      </c>
      <c r="Y20" s="112">
        <v>7</v>
      </c>
      <c r="Z20" s="113">
        <v>3323.8</v>
      </c>
      <c r="AA20" s="112">
        <v>8</v>
      </c>
      <c r="AB20" s="113">
        <v>4000.8</v>
      </c>
      <c r="AC20" s="112">
        <v>2</v>
      </c>
      <c r="AD20" s="113">
        <v>1092</v>
      </c>
      <c r="AE20" s="112">
        <v>12</v>
      </c>
      <c r="AF20" s="113">
        <v>4983.8</v>
      </c>
      <c r="AG20" s="112">
        <v>4</v>
      </c>
      <c r="AH20" s="113">
        <v>2486.6</v>
      </c>
      <c r="AI20" s="112">
        <v>8</v>
      </c>
      <c r="AJ20" s="113">
        <v>3102.6</v>
      </c>
      <c r="AK20" s="112">
        <v>1</v>
      </c>
      <c r="AL20" s="113">
        <v>1000</v>
      </c>
      <c r="AM20" s="112">
        <v>4</v>
      </c>
      <c r="AN20" s="113">
        <v>2018.4</v>
      </c>
      <c r="AO20" s="112">
        <v>0</v>
      </c>
      <c r="AP20" s="113">
        <v>0</v>
      </c>
      <c r="AQ20" s="112">
        <v>2</v>
      </c>
      <c r="AR20" s="113">
        <v>896.2</v>
      </c>
      <c r="AS20" s="112">
        <v>5</v>
      </c>
      <c r="AT20" s="113">
        <v>1798</v>
      </c>
      <c r="AU20" s="112">
        <v>4</v>
      </c>
      <c r="AV20" s="113">
        <v>2540</v>
      </c>
      <c r="AW20" s="112">
        <v>5</v>
      </c>
      <c r="AX20" s="113">
        <v>1824.6</v>
      </c>
      <c r="AY20" s="112">
        <v>4</v>
      </c>
      <c r="AZ20" s="113">
        <v>3032.8</v>
      </c>
      <c r="BA20" s="112">
        <v>8</v>
      </c>
      <c r="BB20" s="113">
        <v>3347.3</v>
      </c>
      <c r="BC20" s="112">
        <v>7</v>
      </c>
      <c r="BD20" s="113">
        <v>3292.7</v>
      </c>
      <c r="BE20" s="112">
        <v>2</v>
      </c>
      <c r="BF20" s="113">
        <v>175.7</v>
      </c>
      <c r="BG20" s="112">
        <v>5</v>
      </c>
      <c r="BH20" s="113">
        <v>2618.6999999999998</v>
      </c>
      <c r="BI20" s="112">
        <v>6</v>
      </c>
      <c r="BJ20" s="113">
        <v>2340.3000000000002</v>
      </c>
      <c r="BK20" s="112">
        <v>4</v>
      </c>
      <c r="BL20" s="113">
        <v>1235.4000000000001</v>
      </c>
      <c r="BM20" s="114" cm="1">
        <f t="array" ref="BM20">SUMPRODUCT((MOD(COLUMN(C20:BL20)-COLUMN(C20),2)=0)*C20:BL20)</f>
        <v>148</v>
      </c>
      <c r="BN20" s="113" cm="1">
        <f t="array" ref="BN20">SUMPRODUCT((MOD(COLUMN(D20:BM20)-COLUMN(D20),2)=0)*D20:BM20)</f>
        <v>69165.099999999991</v>
      </c>
      <c r="CA20" s="83"/>
      <c r="CB20" s="83"/>
      <c r="CC20" s="83"/>
      <c r="CD20" s="83"/>
      <c r="CE20" s="83"/>
      <c r="CF20" s="83"/>
      <c r="CG20" s="83"/>
      <c r="CH20" s="83"/>
      <c r="CI20" s="83"/>
      <c r="CJ20" s="83"/>
      <c r="CK20" s="83"/>
      <c r="CL20" s="83"/>
      <c r="CM20" s="83"/>
      <c r="CN20" s="83"/>
      <c r="CO20" s="83"/>
      <c r="CP20" s="83"/>
    </row>
    <row r="21" spans="1:94" x14ac:dyDescent="0.25">
      <c r="A21" s="79" t="s">
        <v>18</v>
      </c>
      <c r="B21" s="98" t="s">
        <v>9</v>
      </c>
      <c r="C21" s="112">
        <v>0</v>
      </c>
      <c r="D21" s="113">
        <v>0</v>
      </c>
      <c r="E21" s="112">
        <v>2</v>
      </c>
      <c r="F21" s="113">
        <v>687.5</v>
      </c>
      <c r="G21" s="112">
        <v>1</v>
      </c>
      <c r="H21" s="113">
        <v>186.4</v>
      </c>
      <c r="I21" s="112">
        <v>1</v>
      </c>
      <c r="J21" s="113">
        <v>643.4</v>
      </c>
      <c r="K21" s="112">
        <v>3</v>
      </c>
      <c r="L21" s="113">
        <v>1643.6</v>
      </c>
      <c r="M21" s="112">
        <v>1</v>
      </c>
      <c r="N21" s="113">
        <v>224.5</v>
      </c>
      <c r="O21" s="112">
        <v>0</v>
      </c>
      <c r="P21" s="113">
        <v>0</v>
      </c>
      <c r="Q21" s="112">
        <v>1</v>
      </c>
      <c r="R21" s="113">
        <v>100</v>
      </c>
      <c r="S21" s="112">
        <v>0</v>
      </c>
      <c r="T21" s="113">
        <v>0</v>
      </c>
      <c r="U21" s="112">
        <v>2</v>
      </c>
      <c r="V21" s="113">
        <v>617</v>
      </c>
      <c r="W21" s="112">
        <v>1</v>
      </c>
      <c r="X21" s="113">
        <v>241.3</v>
      </c>
      <c r="Y21" s="112">
        <v>1</v>
      </c>
      <c r="Z21" s="113">
        <v>500</v>
      </c>
      <c r="AA21" s="112">
        <v>2</v>
      </c>
      <c r="AB21" s="113">
        <v>712.7</v>
      </c>
      <c r="AC21" s="112">
        <v>2</v>
      </c>
      <c r="AD21" s="113">
        <v>778.9</v>
      </c>
      <c r="AE21" s="112">
        <v>2</v>
      </c>
      <c r="AF21" s="113">
        <v>733.5</v>
      </c>
      <c r="AG21" s="112">
        <v>1</v>
      </c>
      <c r="AH21" s="113">
        <v>143.4</v>
      </c>
      <c r="AI21" s="112">
        <v>3</v>
      </c>
      <c r="AJ21" s="113">
        <v>1792</v>
      </c>
      <c r="AK21" s="112">
        <v>3</v>
      </c>
      <c r="AL21" s="113">
        <v>336.4</v>
      </c>
      <c r="AM21" s="112">
        <v>0</v>
      </c>
      <c r="AN21" s="113">
        <v>0</v>
      </c>
      <c r="AO21" s="112">
        <v>0</v>
      </c>
      <c r="AP21" s="113">
        <v>0</v>
      </c>
      <c r="AQ21" s="112">
        <v>0</v>
      </c>
      <c r="AR21" s="113">
        <v>0</v>
      </c>
      <c r="AS21" s="112">
        <v>0</v>
      </c>
      <c r="AT21" s="113">
        <v>0</v>
      </c>
      <c r="AU21" s="112">
        <v>3</v>
      </c>
      <c r="AV21" s="113">
        <v>1153.5</v>
      </c>
      <c r="AW21" s="112">
        <v>2</v>
      </c>
      <c r="AX21" s="113">
        <v>640</v>
      </c>
      <c r="AY21" s="112">
        <v>2</v>
      </c>
      <c r="AZ21" s="113">
        <v>225.2</v>
      </c>
      <c r="BA21" s="112">
        <v>1</v>
      </c>
      <c r="BB21" s="113">
        <v>367.2</v>
      </c>
      <c r="BC21" s="112">
        <v>4</v>
      </c>
      <c r="BD21" s="113">
        <v>1353.3</v>
      </c>
      <c r="BE21" s="112">
        <v>0</v>
      </c>
      <c r="BF21" s="113">
        <v>0</v>
      </c>
      <c r="BG21" s="112">
        <v>2</v>
      </c>
      <c r="BH21" s="113">
        <v>600</v>
      </c>
      <c r="BI21" s="112">
        <v>3</v>
      </c>
      <c r="BJ21" s="113">
        <v>818.3</v>
      </c>
      <c r="BK21" s="112">
        <v>3</v>
      </c>
      <c r="BL21" s="113">
        <v>788.4</v>
      </c>
      <c r="BM21" s="114" cm="1">
        <f t="array" ref="BM21">SUMPRODUCT((MOD(COLUMN(C21:BL21)-COLUMN(C21),2)=0)*C21:BL21)</f>
        <v>46</v>
      </c>
      <c r="BN21" s="113" cm="1">
        <f t="array" ref="BN21">SUMPRODUCT((MOD(COLUMN(D21:BM21)-COLUMN(D21),2)=0)*D21:BM21)</f>
        <v>15286.499999999998</v>
      </c>
      <c r="CA21" s="83"/>
      <c r="CB21" s="83"/>
      <c r="CC21" s="83"/>
      <c r="CD21" s="83"/>
      <c r="CE21" s="83"/>
      <c r="CF21" s="83"/>
      <c r="CG21" s="83"/>
      <c r="CH21" s="83"/>
      <c r="CI21" s="83"/>
      <c r="CJ21" s="83"/>
      <c r="CK21" s="83"/>
      <c r="CL21" s="83"/>
      <c r="CM21" s="83"/>
      <c r="CN21" s="83"/>
      <c r="CO21" s="83"/>
      <c r="CP21" s="83"/>
    </row>
    <row r="22" spans="1:94" x14ac:dyDescent="0.25">
      <c r="A22" s="79" t="s">
        <v>19</v>
      </c>
      <c r="B22" s="98" t="s">
        <v>9</v>
      </c>
      <c r="C22" s="112">
        <v>3</v>
      </c>
      <c r="D22" s="113">
        <v>2445.8000000000002</v>
      </c>
      <c r="E22" s="112">
        <v>1</v>
      </c>
      <c r="F22" s="113">
        <v>500</v>
      </c>
      <c r="G22" s="112">
        <v>4</v>
      </c>
      <c r="H22" s="113">
        <v>2083.3000000000002</v>
      </c>
      <c r="I22" s="112">
        <v>2</v>
      </c>
      <c r="J22" s="113">
        <v>1191.5999999999999</v>
      </c>
      <c r="K22" s="112">
        <v>2</v>
      </c>
      <c r="L22" s="113">
        <v>632</v>
      </c>
      <c r="M22" s="112">
        <v>3</v>
      </c>
      <c r="N22" s="113">
        <v>554.6</v>
      </c>
      <c r="O22" s="112">
        <v>2</v>
      </c>
      <c r="P22" s="113">
        <v>1000</v>
      </c>
      <c r="Q22" s="112">
        <v>3</v>
      </c>
      <c r="R22" s="113">
        <v>1245.0999999999999</v>
      </c>
      <c r="S22" s="112">
        <v>1</v>
      </c>
      <c r="T22" s="113">
        <v>527.20000000000005</v>
      </c>
      <c r="U22" s="112">
        <v>3</v>
      </c>
      <c r="V22" s="113">
        <v>1118.0999999999999</v>
      </c>
      <c r="W22" s="112">
        <v>3</v>
      </c>
      <c r="X22" s="113">
        <v>1287.0999999999999</v>
      </c>
      <c r="Y22" s="112">
        <v>1</v>
      </c>
      <c r="Z22" s="113">
        <v>500</v>
      </c>
      <c r="AA22" s="112">
        <v>1</v>
      </c>
      <c r="AB22" s="113">
        <v>500</v>
      </c>
      <c r="AC22" s="112">
        <v>0</v>
      </c>
      <c r="AD22" s="113">
        <v>0</v>
      </c>
      <c r="AE22" s="112">
        <v>2</v>
      </c>
      <c r="AF22" s="113">
        <v>966</v>
      </c>
      <c r="AG22" s="112">
        <v>0</v>
      </c>
      <c r="AH22" s="113">
        <v>0</v>
      </c>
      <c r="AI22" s="112">
        <v>2</v>
      </c>
      <c r="AJ22" s="113">
        <v>1000</v>
      </c>
      <c r="AK22" s="112">
        <v>1</v>
      </c>
      <c r="AL22" s="113">
        <v>203.2</v>
      </c>
      <c r="AM22" s="112">
        <v>2</v>
      </c>
      <c r="AN22" s="113">
        <v>1000</v>
      </c>
      <c r="AO22" s="112">
        <v>0</v>
      </c>
      <c r="AP22" s="113">
        <v>0</v>
      </c>
      <c r="AQ22" s="112">
        <v>2</v>
      </c>
      <c r="AR22" s="113">
        <v>1224.8</v>
      </c>
      <c r="AS22" s="112">
        <v>2</v>
      </c>
      <c r="AT22" s="113">
        <v>1201.9000000000001</v>
      </c>
      <c r="AU22" s="112">
        <v>0</v>
      </c>
      <c r="AV22" s="113">
        <v>0</v>
      </c>
      <c r="AW22" s="112">
        <v>2</v>
      </c>
      <c r="AX22" s="113">
        <v>616</v>
      </c>
      <c r="AY22" s="112">
        <v>0</v>
      </c>
      <c r="AZ22" s="113">
        <v>0</v>
      </c>
      <c r="BA22" s="112">
        <v>2</v>
      </c>
      <c r="BB22" s="113">
        <v>1440.1</v>
      </c>
      <c r="BC22" s="112">
        <v>0</v>
      </c>
      <c r="BD22" s="113">
        <v>0</v>
      </c>
      <c r="BE22" s="112">
        <v>1</v>
      </c>
      <c r="BF22" s="113">
        <v>500</v>
      </c>
      <c r="BG22" s="112">
        <v>3</v>
      </c>
      <c r="BH22" s="113">
        <v>2268.3000000000002</v>
      </c>
      <c r="BI22" s="112">
        <v>2</v>
      </c>
      <c r="BJ22" s="113">
        <v>1602.3</v>
      </c>
      <c r="BK22" s="112">
        <v>3</v>
      </c>
      <c r="BL22" s="113">
        <v>1218.3</v>
      </c>
      <c r="BM22" s="114" cm="1">
        <f t="array" ref="BM22">SUMPRODUCT((MOD(COLUMN(C22:BL22)-COLUMN(C22),2)=0)*C22:BL22)</f>
        <v>53</v>
      </c>
      <c r="BN22" s="113" cm="1">
        <f t="array" ref="BN22">SUMPRODUCT((MOD(COLUMN(D22:BM22)-COLUMN(D22),2)=0)*D22:BM22)</f>
        <v>26825.7</v>
      </c>
      <c r="CA22" s="83"/>
      <c r="CB22" s="83"/>
      <c r="CC22" s="83"/>
      <c r="CD22" s="83"/>
      <c r="CE22" s="83"/>
      <c r="CF22" s="83"/>
      <c r="CG22" s="83"/>
      <c r="CH22" s="83"/>
      <c r="CI22" s="83"/>
      <c r="CJ22" s="83"/>
      <c r="CK22" s="83"/>
      <c r="CL22" s="83"/>
      <c r="CM22" s="83"/>
      <c r="CN22" s="83"/>
      <c r="CO22" s="83"/>
      <c r="CP22" s="83"/>
    </row>
    <row r="23" spans="1:94" x14ac:dyDescent="0.25">
      <c r="A23" s="79" t="s">
        <v>20</v>
      </c>
      <c r="B23" s="98" t="s">
        <v>9</v>
      </c>
      <c r="C23" s="112">
        <v>15</v>
      </c>
      <c r="D23" s="113">
        <v>6312.6</v>
      </c>
      <c r="E23" s="112">
        <v>10</v>
      </c>
      <c r="F23" s="113">
        <v>3412.1</v>
      </c>
      <c r="G23" s="112">
        <v>19</v>
      </c>
      <c r="H23" s="113">
        <v>7589.1</v>
      </c>
      <c r="I23" s="112">
        <v>14</v>
      </c>
      <c r="J23" s="113">
        <v>7761.3</v>
      </c>
      <c r="K23" s="112">
        <v>11</v>
      </c>
      <c r="L23" s="113">
        <v>3557</v>
      </c>
      <c r="M23" s="112">
        <v>8</v>
      </c>
      <c r="N23" s="113">
        <v>3728.5</v>
      </c>
      <c r="O23" s="112">
        <v>11</v>
      </c>
      <c r="P23" s="113">
        <v>3888.1</v>
      </c>
      <c r="Q23" s="112">
        <v>14</v>
      </c>
      <c r="R23" s="113">
        <v>5934.5</v>
      </c>
      <c r="S23" s="112">
        <v>10</v>
      </c>
      <c r="T23" s="113">
        <v>4071.3</v>
      </c>
      <c r="U23" s="112">
        <v>20</v>
      </c>
      <c r="V23" s="113">
        <v>10187.5</v>
      </c>
      <c r="W23" s="112">
        <v>16</v>
      </c>
      <c r="X23" s="113">
        <v>7635.3</v>
      </c>
      <c r="Y23" s="112">
        <v>15</v>
      </c>
      <c r="Z23" s="113">
        <v>5724.5</v>
      </c>
      <c r="AA23" s="112">
        <v>13</v>
      </c>
      <c r="AB23" s="113">
        <v>7400.7</v>
      </c>
      <c r="AC23" s="112">
        <v>17</v>
      </c>
      <c r="AD23" s="113">
        <v>6933</v>
      </c>
      <c r="AE23" s="112">
        <v>11</v>
      </c>
      <c r="AF23" s="113">
        <v>4254.1000000000004</v>
      </c>
      <c r="AG23" s="112">
        <v>10</v>
      </c>
      <c r="AH23" s="113">
        <v>4533.3</v>
      </c>
      <c r="AI23" s="112">
        <v>25</v>
      </c>
      <c r="AJ23" s="113">
        <v>9834.6</v>
      </c>
      <c r="AK23" s="112">
        <v>14</v>
      </c>
      <c r="AL23" s="113">
        <v>8007.2</v>
      </c>
      <c r="AM23" s="112">
        <v>13</v>
      </c>
      <c r="AN23" s="113">
        <v>3986.9</v>
      </c>
      <c r="AO23" s="112">
        <v>0</v>
      </c>
      <c r="AP23" s="113">
        <v>0</v>
      </c>
      <c r="AQ23" s="112">
        <v>14</v>
      </c>
      <c r="AR23" s="113">
        <v>7313.8</v>
      </c>
      <c r="AS23" s="112">
        <v>10</v>
      </c>
      <c r="AT23" s="113">
        <v>3984.4</v>
      </c>
      <c r="AU23" s="112">
        <v>7</v>
      </c>
      <c r="AV23" s="113">
        <v>2272.6999999999998</v>
      </c>
      <c r="AW23" s="112">
        <v>15</v>
      </c>
      <c r="AX23" s="113">
        <v>6177.6</v>
      </c>
      <c r="AY23" s="112">
        <v>13</v>
      </c>
      <c r="AZ23" s="113">
        <v>6050.9</v>
      </c>
      <c r="BA23" s="112">
        <v>22</v>
      </c>
      <c r="BB23" s="113">
        <v>9258.7999999999993</v>
      </c>
      <c r="BC23" s="112">
        <v>17</v>
      </c>
      <c r="BD23" s="113">
        <v>5265.5</v>
      </c>
      <c r="BE23" s="112">
        <v>6</v>
      </c>
      <c r="BF23" s="113">
        <v>2803</v>
      </c>
      <c r="BG23" s="112">
        <v>14</v>
      </c>
      <c r="BH23" s="113">
        <v>6561.6</v>
      </c>
      <c r="BI23" s="112">
        <v>12</v>
      </c>
      <c r="BJ23" s="113">
        <v>5462.9</v>
      </c>
      <c r="BK23" s="112">
        <v>16</v>
      </c>
      <c r="BL23" s="113">
        <v>6964</v>
      </c>
      <c r="BM23" s="114" cm="1">
        <f t="array" ref="BM23">SUMPRODUCT((MOD(COLUMN(C23:BL23)-COLUMN(C23),2)=0)*C23:BL23)</f>
        <v>412</v>
      </c>
      <c r="BN23" s="113" cm="1">
        <f t="array" ref="BN23">SUMPRODUCT((MOD(COLUMN(D23:BM23)-COLUMN(D23),2)=0)*D23:BM23)</f>
        <v>176866.8</v>
      </c>
      <c r="CA23" s="83"/>
      <c r="CB23" s="83"/>
      <c r="CC23" s="83"/>
      <c r="CD23" s="83"/>
      <c r="CE23" s="83"/>
      <c r="CF23" s="83"/>
      <c r="CG23" s="83"/>
      <c r="CH23" s="83"/>
      <c r="CI23" s="83"/>
      <c r="CJ23" s="83"/>
      <c r="CK23" s="83"/>
      <c r="CL23" s="83"/>
      <c r="CM23" s="83"/>
      <c r="CN23" s="83"/>
      <c r="CO23" s="83"/>
      <c r="CP23" s="83"/>
    </row>
    <row r="24" spans="1:94" x14ac:dyDescent="0.25">
      <c r="A24" s="79" t="s">
        <v>21</v>
      </c>
      <c r="B24" s="98" t="s">
        <v>9</v>
      </c>
      <c r="C24" s="112">
        <v>5</v>
      </c>
      <c r="D24" s="113">
        <v>2346.8000000000002</v>
      </c>
      <c r="E24" s="112">
        <v>4</v>
      </c>
      <c r="F24" s="113">
        <v>1270.0999999999999</v>
      </c>
      <c r="G24" s="112">
        <v>2</v>
      </c>
      <c r="H24" s="113">
        <v>1185</v>
      </c>
      <c r="I24" s="112">
        <v>3</v>
      </c>
      <c r="J24" s="113">
        <v>1020.3</v>
      </c>
      <c r="K24" s="112">
        <v>3</v>
      </c>
      <c r="L24" s="113">
        <v>1342.1</v>
      </c>
      <c r="M24" s="112">
        <v>6</v>
      </c>
      <c r="N24" s="113">
        <v>2095.8000000000002</v>
      </c>
      <c r="O24" s="112">
        <v>4</v>
      </c>
      <c r="P24" s="113">
        <v>2208.4</v>
      </c>
      <c r="Q24" s="112">
        <v>3</v>
      </c>
      <c r="R24" s="113">
        <v>996.9</v>
      </c>
      <c r="S24" s="112">
        <v>6</v>
      </c>
      <c r="T24" s="113">
        <v>3158.1</v>
      </c>
      <c r="U24" s="112">
        <v>3</v>
      </c>
      <c r="V24" s="113">
        <v>1350.2</v>
      </c>
      <c r="W24" s="112">
        <v>2</v>
      </c>
      <c r="X24" s="113">
        <v>671.1</v>
      </c>
      <c r="Y24" s="112">
        <v>1</v>
      </c>
      <c r="Z24" s="113">
        <v>98.1</v>
      </c>
      <c r="AA24" s="112">
        <v>6</v>
      </c>
      <c r="AB24" s="113">
        <v>2043.4</v>
      </c>
      <c r="AC24" s="112">
        <v>4</v>
      </c>
      <c r="AD24" s="113">
        <v>2896.8</v>
      </c>
      <c r="AE24" s="112">
        <v>6</v>
      </c>
      <c r="AF24" s="113">
        <v>3587.9</v>
      </c>
      <c r="AG24" s="112">
        <v>4</v>
      </c>
      <c r="AH24" s="113">
        <v>2131</v>
      </c>
      <c r="AI24" s="112">
        <v>4</v>
      </c>
      <c r="AJ24" s="113">
        <v>1296.4000000000001</v>
      </c>
      <c r="AK24" s="112">
        <v>4</v>
      </c>
      <c r="AL24" s="113">
        <v>1766.5</v>
      </c>
      <c r="AM24" s="112">
        <v>4</v>
      </c>
      <c r="AN24" s="113">
        <v>2586</v>
      </c>
      <c r="AO24" s="112">
        <v>0</v>
      </c>
      <c r="AP24" s="113">
        <v>0</v>
      </c>
      <c r="AQ24" s="112">
        <v>1</v>
      </c>
      <c r="AR24" s="113">
        <v>461.4</v>
      </c>
      <c r="AS24" s="112">
        <v>1</v>
      </c>
      <c r="AT24" s="113">
        <v>57.6</v>
      </c>
      <c r="AU24" s="112">
        <v>0</v>
      </c>
      <c r="AV24" s="113">
        <v>0</v>
      </c>
      <c r="AW24" s="112">
        <v>3</v>
      </c>
      <c r="AX24" s="113">
        <v>1618.3</v>
      </c>
      <c r="AY24" s="112">
        <v>3</v>
      </c>
      <c r="AZ24" s="113">
        <v>1158.3</v>
      </c>
      <c r="BA24" s="112">
        <v>1</v>
      </c>
      <c r="BB24" s="113">
        <v>656</v>
      </c>
      <c r="BC24" s="112">
        <v>4</v>
      </c>
      <c r="BD24" s="113">
        <v>689.1</v>
      </c>
      <c r="BE24" s="112">
        <v>2</v>
      </c>
      <c r="BF24" s="113">
        <v>1730.1</v>
      </c>
      <c r="BG24" s="112">
        <v>1</v>
      </c>
      <c r="BH24" s="113">
        <v>174.4</v>
      </c>
      <c r="BI24" s="112">
        <v>2</v>
      </c>
      <c r="BJ24" s="113">
        <v>572.20000000000005</v>
      </c>
      <c r="BK24" s="112">
        <v>4</v>
      </c>
      <c r="BL24" s="113">
        <v>2174.4</v>
      </c>
      <c r="BM24" s="114" cm="1">
        <f t="array" ref="BM24">SUMPRODUCT((MOD(COLUMN(C24:BL24)-COLUMN(C24),2)=0)*C24:BL24)</f>
        <v>96</v>
      </c>
      <c r="BN24" s="113" cm="1">
        <f t="array" ref="BN24">SUMPRODUCT((MOD(COLUMN(D24:BM24)-COLUMN(D24),2)=0)*D24:BM24)</f>
        <v>43342.7</v>
      </c>
      <c r="CA24" s="83"/>
      <c r="CB24" s="83"/>
      <c r="CC24" s="83"/>
      <c r="CD24" s="83"/>
      <c r="CE24" s="83"/>
      <c r="CF24" s="83"/>
      <c r="CG24" s="83"/>
      <c r="CH24" s="83"/>
      <c r="CI24" s="83"/>
      <c r="CJ24" s="83"/>
      <c r="CK24" s="83"/>
      <c r="CL24" s="83"/>
      <c r="CM24" s="83"/>
      <c r="CN24" s="83"/>
      <c r="CO24" s="83"/>
      <c r="CP24" s="83"/>
    </row>
    <row r="25" spans="1:94" x14ac:dyDescent="0.25">
      <c r="A25" s="79" t="s">
        <v>16</v>
      </c>
      <c r="B25" s="98" t="s">
        <v>9</v>
      </c>
      <c r="C25" s="112">
        <v>19</v>
      </c>
      <c r="D25" s="113">
        <v>10684.1</v>
      </c>
      <c r="E25" s="112">
        <v>31</v>
      </c>
      <c r="F25" s="113">
        <v>11008.7</v>
      </c>
      <c r="G25" s="112">
        <v>38</v>
      </c>
      <c r="H25" s="113">
        <v>18130.5</v>
      </c>
      <c r="I25" s="112">
        <v>32</v>
      </c>
      <c r="J25" s="113">
        <v>17007.900000000001</v>
      </c>
      <c r="K25" s="112">
        <v>37</v>
      </c>
      <c r="L25" s="113">
        <v>17796.599999999999</v>
      </c>
      <c r="M25" s="112">
        <v>28</v>
      </c>
      <c r="N25" s="113">
        <v>10477.5</v>
      </c>
      <c r="O25" s="112">
        <v>23</v>
      </c>
      <c r="P25" s="113">
        <v>10712.4</v>
      </c>
      <c r="Q25" s="112">
        <v>23</v>
      </c>
      <c r="R25" s="113">
        <v>9483.9</v>
      </c>
      <c r="S25" s="112">
        <v>35</v>
      </c>
      <c r="T25" s="113">
        <v>13040.3</v>
      </c>
      <c r="U25" s="112">
        <v>37</v>
      </c>
      <c r="V25" s="113">
        <v>18642.400000000001</v>
      </c>
      <c r="W25" s="112">
        <v>25</v>
      </c>
      <c r="X25" s="113">
        <v>13784.8</v>
      </c>
      <c r="Y25" s="112">
        <v>39</v>
      </c>
      <c r="Z25" s="113">
        <v>18992.7</v>
      </c>
      <c r="AA25" s="112">
        <v>21</v>
      </c>
      <c r="AB25" s="113">
        <v>8916.2999999999993</v>
      </c>
      <c r="AC25" s="112">
        <v>18</v>
      </c>
      <c r="AD25" s="113">
        <v>8187.3</v>
      </c>
      <c r="AE25" s="112">
        <v>27</v>
      </c>
      <c r="AF25" s="113">
        <v>13528.2</v>
      </c>
      <c r="AG25" s="112">
        <v>43</v>
      </c>
      <c r="AH25" s="113">
        <v>20617.7</v>
      </c>
      <c r="AI25" s="112">
        <v>48</v>
      </c>
      <c r="AJ25" s="113">
        <v>23315.1</v>
      </c>
      <c r="AK25" s="112">
        <v>29</v>
      </c>
      <c r="AL25" s="113">
        <v>14342.9</v>
      </c>
      <c r="AM25" s="112">
        <v>32</v>
      </c>
      <c r="AN25" s="113">
        <v>18066.7</v>
      </c>
      <c r="AO25" s="112">
        <v>0</v>
      </c>
      <c r="AP25" s="113">
        <v>0</v>
      </c>
      <c r="AQ25" s="112">
        <v>23</v>
      </c>
      <c r="AR25" s="113">
        <v>10737.1</v>
      </c>
      <c r="AS25" s="112">
        <v>26</v>
      </c>
      <c r="AT25" s="113">
        <v>14584.3</v>
      </c>
      <c r="AU25" s="112">
        <v>31</v>
      </c>
      <c r="AV25" s="113">
        <v>15833.4</v>
      </c>
      <c r="AW25" s="112">
        <v>44</v>
      </c>
      <c r="AX25" s="113">
        <v>20223.5</v>
      </c>
      <c r="AY25" s="112">
        <v>31</v>
      </c>
      <c r="AZ25" s="113">
        <v>13204.1</v>
      </c>
      <c r="BA25" s="112">
        <v>43</v>
      </c>
      <c r="BB25" s="113">
        <v>21862.2</v>
      </c>
      <c r="BC25" s="112">
        <v>36</v>
      </c>
      <c r="BD25" s="113">
        <v>17266</v>
      </c>
      <c r="BE25" s="112">
        <v>23</v>
      </c>
      <c r="BF25" s="113">
        <v>11851.2</v>
      </c>
      <c r="BG25" s="112">
        <v>21</v>
      </c>
      <c r="BH25" s="113">
        <v>10433.1</v>
      </c>
      <c r="BI25" s="112">
        <v>18</v>
      </c>
      <c r="BJ25" s="113">
        <v>8071.5</v>
      </c>
      <c r="BK25" s="112">
        <v>46</v>
      </c>
      <c r="BL25" s="113">
        <v>25186.5</v>
      </c>
      <c r="BM25" s="114" cm="1">
        <f t="array" ref="BM25">SUMPRODUCT((MOD(COLUMN(C25:BL25)-COLUMN(C25),2)=0)*C25:BL25)</f>
        <v>927</v>
      </c>
      <c r="BN25" s="113" cm="1">
        <f t="array" ref="BN25">SUMPRODUCT((MOD(COLUMN(D25:BM25)-COLUMN(D25),2)=0)*D25:BM25)</f>
        <v>445988.89999999997</v>
      </c>
      <c r="CA25" s="83"/>
      <c r="CB25" s="83"/>
      <c r="CC25" s="83"/>
      <c r="CD25" s="83"/>
      <c r="CE25" s="83"/>
      <c r="CF25" s="83"/>
      <c r="CG25" s="83"/>
      <c r="CH25" s="83"/>
      <c r="CI25" s="83"/>
      <c r="CJ25" s="83"/>
      <c r="CK25" s="83"/>
      <c r="CL25" s="83"/>
      <c r="CM25" s="83"/>
      <c r="CN25" s="83"/>
      <c r="CO25" s="83"/>
      <c r="CP25" s="83"/>
    </row>
    <row r="26" spans="1:94" x14ac:dyDescent="0.25">
      <c r="A26" s="100" t="s">
        <v>22</v>
      </c>
      <c r="B26" s="101"/>
      <c r="C26" s="115">
        <f>SUM(C20:C25)</f>
        <v>45</v>
      </c>
      <c r="D26" s="116">
        <f>SUM(D20:D25)</f>
        <v>23836.400000000001</v>
      </c>
      <c r="E26" s="115">
        <f t="shared" ref="E26:BN26" si="2">SUM(E20:E25)</f>
        <v>53</v>
      </c>
      <c r="F26" s="116">
        <f t="shared" si="2"/>
        <v>18415.900000000001</v>
      </c>
      <c r="G26" s="115">
        <f t="shared" si="2"/>
        <v>70</v>
      </c>
      <c r="H26" s="116">
        <f t="shared" si="2"/>
        <v>32082.5</v>
      </c>
      <c r="I26" s="115">
        <f t="shared" si="2"/>
        <v>57</v>
      </c>
      <c r="J26" s="116">
        <f t="shared" si="2"/>
        <v>31358.5</v>
      </c>
      <c r="K26" s="115">
        <f t="shared" si="2"/>
        <v>58</v>
      </c>
      <c r="L26" s="116">
        <f t="shared" si="2"/>
        <v>25971.3</v>
      </c>
      <c r="M26" s="115">
        <f t="shared" si="2"/>
        <v>50</v>
      </c>
      <c r="N26" s="116">
        <f t="shared" si="2"/>
        <v>18056</v>
      </c>
      <c r="O26" s="115">
        <f t="shared" si="2"/>
        <v>44</v>
      </c>
      <c r="P26" s="116">
        <f t="shared" si="2"/>
        <v>19924.8</v>
      </c>
      <c r="Q26" s="115">
        <f t="shared" si="2"/>
        <v>53</v>
      </c>
      <c r="R26" s="116">
        <f t="shared" si="2"/>
        <v>21247.9</v>
      </c>
      <c r="S26" s="115">
        <f t="shared" si="2"/>
        <v>57</v>
      </c>
      <c r="T26" s="116">
        <f t="shared" si="2"/>
        <v>23273.199999999997</v>
      </c>
      <c r="U26" s="115">
        <f t="shared" si="2"/>
        <v>68</v>
      </c>
      <c r="V26" s="116">
        <f t="shared" si="2"/>
        <v>33521.100000000006</v>
      </c>
      <c r="W26" s="115">
        <f t="shared" si="2"/>
        <v>51</v>
      </c>
      <c r="X26" s="116">
        <f t="shared" si="2"/>
        <v>25787.5</v>
      </c>
      <c r="Y26" s="115">
        <f t="shared" si="2"/>
        <v>64</v>
      </c>
      <c r="Z26" s="116">
        <f t="shared" si="2"/>
        <v>29139.1</v>
      </c>
      <c r="AA26" s="115">
        <f t="shared" si="2"/>
        <v>51</v>
      </c>
      <c r="AB26" s="116">
        <f t="shared" si="2"/>
        <v>23573.9</v>
      </c>
      <c r="AC26" s="115">
        <f t="shared" si="2"/>
        <v>43</v>
      </c>
      <c r="AD26" s="116">
        <f t="shared" si="2"/>
        <v>19888</v>
      </c>
      <c r="AE26" s="115">
        <f t="shared" si="2"/>
        <v>60</v>
      </c>
      <c r="AF26" s="116">
        <f t="shared" si="2"/>
        <v>28053.5</v>
      </c>
      <c r="AG26" s="115">
        <f t="shared" si="2"/>
        <v>62</v>
      </c>
      <c r="AH26" s="116">
        <f t="shared" si="2"/>
        <v>29912</v>
      </c>
      <c r="AI26" s="115">
        <f t="shared" si="2"/>
        <v>90</v>
      </c>
      <c r="AJ26" s="116">
        <f t="shared" si="2"/>
        <v>40340.699999999997</v>
      </c>
      <c r="AK26" s="115">
        <f t="shared" si="2"/>
        <v>52</v>
      </c>
      <c r="AL26" s="116">
        <f t="shared" si="2"/>
        <v>25656.199999999997</v>
      </c>
      <c r="AM26" s="115">
        <f t="shared" si="2"/>
        <v>55</v>
      </c>
      <c r="AN26" s="116">
        <f t="shared" si="2"/>
        <v>27658</v>
      </c>
      <c r="AO26" s="115">
        <f t="shared" si="2"/>
        <v>0</v>
      </c>
      <c r="AP26" s="116">
        <f t="shared" si="2"/>
        <v>0</v>
      </c>
      <c r="AQ26" s="115">
        <f t="shared" si="2"/>
        <v>42</v>
      </c>
      <c r="AR26" s="116">
        <f t="shared" si="2"/>
        <v>20633.3</v>
      </c>
      <c r="AS26" s="115">
        <f t="shared" si="2"/>
        <v>44</v>
      </c>
      <c r="AT26" s="116">
        <f t="shared" si="2"/>
        <v>21626.2</v>
      </c>
      <c r="AU26" s="115">
        <f t="shared" si="2"/>
        <v>45</v>
      </c>
      <c r="AV26" s="116">
        <f t="shared" si="2"/>
        <v>21799.599999999999</v>
      </c>
      <c r="AW26" s="115">
        <f t="shared" si="2"/>
        <v>71</v>
      </c>
      <c r="AX26" s="116">
        <f t="shared" si="2"/>
        <v>31100</v>
      </c>
      <c r="AY26" s="115">
        <f t="shared" si="2"/>
        <v>53</v>
      </c>
      <c r="AZ26" s="116">
        <f t="shared" si="2"/>
        <v>23671.3</v>
      </c>
      <c r="BA26" s="115">
        <f t="shared" si="2"/>
        <v>77</v>
      </c>
      <c r="BB26" s="116">
        <f t="shared" si="2"/>
        <v>36931.599999999999</v>
      </c>
      <c r="BC26" s="115">
        <f t="shared" si="2"/>
        <v>68</v>
      </c>
      <c r="BD26" s="116">
        <f t="shared" si="2"/>
        <v>27866.6</v>
      </c>
      <c r="BE26" s="115">
        <f t="shared" si="2"/>
        <v>34</v>
      </c>
      <c r="BF26" s="116">
        <f t="shared" si="2"/>
        <v>17060</v>
      </c>
      <c r="BG26" s="115">
        <f t="shared" si="2"/>
        <v>46</v>
      </c>
      <c r="BH26" s="116">
        <f t="shared" si="2"/>
        <v>22656.1</v>
      </c>
      <c r="BI26" s="115">
        <f t="shared" si="2"/>
        <v>43</v>
      </c>
      <c r="BJ26" s="116">
        <f t="shared" si="2"/>
        <v>18867.5</v>
      </c>
      <c r="BK26" s="115">
        <f t="shared" si="2"/>
        <v>76</v>
      </c>
      <c r="BL26" s="116">
        <f t="shared" si="2"/>
        <v>37567</v>
      </c>
      <c r="BM26" s="117">
        <f t="shared" si="2"/>
        <v>1682</v>
      </c>
      <c r="BN26" s="116">
        <f t="shared" si="2"/>
        <v>777475.7</v>
      </c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CA26" s="83"/>
      <c r="CB26" s="83"/>
      <c r="CC26" s="83"/>
      <c r="CD26" s="83"/>
      <c r="CE26" s="83"/>
      <c r="CF26" s="83"/>
      <c r="CG26" s="83"/>
      <c r="CH26" s="83"/>
      <c r="CI26" s="83"/>
      <c r="CJ26" s="83"/>
      <c r="CK26" s="83"/>
      <c r="CL26" s="83"/>
      <c r="CM26" s="83"/>
      <c r="CN26" s="83"/>
      <c r="CO26" s="83"/>
      <c r="CP26" s="83"/>
    </row>
    <row r="27" spans="1:94" x14ac:dyDescent="0.25">
      <c r="C27" s="118"/>
      <c r="D27" s="119"/>
      <c r="E27" s="118"/>
      <c r="F27" s="119"/>
      <c r="G27" s="118"/>
      <c r="H27" s="119"/>
      <c r="I27" s="118"/>
      <c r="J27" s="119"/>
      <c r="K27" s="118"/>
      <c r="L27" s="119"/>
      <c r="M27" s="118"/>
      <c r="N27" s="119"/>
      <c r="O27" s="118"/>
      <c r="P27" s="119"/>
      <c r="Q27" s="118"/>
      <c r="R27" s="119"/>
      <c r="S27" s="118"/>
      <c r="T27" s="119"/>
      <c r="U27" s="118"/>
      <c r="V27" s="119"/>
      <c r="W27" s="118"/>
      <c r="X27" s="119"/>
      <c r="Y27" s="118"/>
      <c r="Z27" s="119"/>
      <c r="AA27" s="118"/>
      <c r="AB27" s="119"/>
      <c r="AC27" s="118"/>
      <c r="AD27" s="119"/>
      <c r="AE27" s="118"/>
      <c r="AF27" s="119"/>
      <c r="AG27" s="118"/>
      <c r="AH27" s="119"/>
      <c r="AI27" s="118"/>
      <c r="AJ27" s="119"/>
      <c r="AK27" s="118"/>
      <c r="AL27" s="119"/>
      <c r="AM27" s="118"/>
      <c r="AN27" s="119"/>
      <c r="AO27" s="118"/>
      <c r="AP27" s="119"/>
      <c r="AQ27" s="118"/>
      <c r="AR27" s="119"/>
      <c r="AS27" s="118"/>
      <c r="AT27" s="119"/>
      <c r="AU27" s="118"/>
      <c r="AV27" s="119"/>
      <c r="AW27" s="118"/>
      <c r="AX27" s="119"/>
      <c r="AY27" s="118"/>
      <c r="AZ27" s="119"/>
      <c r="BA27" s="118"/>
      <c r="BB27" s="119"/>
      <c r="BC27" s="118"/>
      <c r="BD27" s="119"/>
      <c r="BE27" s="118"/>
      <c r="BF27" s="119"/>
      <c r="BG27" s="118"/>
      <c r="BH27" s="119"/>
      <c r="BI27" s="118"/>
      <c r="BJ27" s="119"/>
      <c r="BK27" s="118"/>
      <c r="BL27" s="119"/>
      <c r="BM27" s="120"/>
      <c r="BN27" s="119"/>
      <c r="CA27" s="83"/>
      <c r="CB27" s="83"/>
      <c r="CC27" s="83"/>
      <c r="CD27" s="83"/>
      <c r="CE27" s="83"/>
      <c r="CF27" s="83"/>
      <c r="CG27" s="83"/>
      <c r="CH27" s="83"/>
      <c r="CI27" s="83"/>
      <c r="CJ27" s="83"/>
      <c r="CK27" s="83"/>
      <c r="CL27" s="83"/>
      <c r="CM27" s="83"/>
      <c r="CN27" s="83"/>
      <c r="CO27" s="83"/>
      <c r="CP27" s="83"/>
    </row>
    <row r="28" spans="1:94" x14ac:dyDescent="0.25">
      <c r="A28" s="92" t="s">
        <v>23</v>
      </c>
      <c r="B28" s="93"/>
      <c r="C28" s="121"/>
      <c r="D28" s="122"/>
      <c r="E28" s="121"/>
      <c r="F28" s="122"/>
      <c r="G28" s="121"/>
      <c r="H28" s="122"/>
      <c r="I28" s="121"/>
      <c r="J28" s="122"/>
      <c r="K28" s="121"/>
      <c r="L28" s="122"/>
      <c r="M28" s="121"/>
      <c r="N28" s="122"/>
      <c r="O28" s="121"/>
      <c r="P28" s="122"/>
      <c r="Q28" s="121"/>
      <c r="R28" s="122"/>
      <c r="S28" s="121"/>
      <c r="T28" s="122"/>
      <c r="U28" s="121"/>
      <c r="V28" s="122"/>
      <c r="W28" s="121"/>
      <c r="X28" s="122"/>
      <c r="Y28" s="121"/>
      <c r="Z28" s="122"/>
      <c r="AA28" s="121"/>
      <c r="AB28" s="122"/>
      <c r="AC28" s="121"/>
      <c r="AD28" s="122"/>
      <c r="AE28" s="121"/>
      <c r="AF28" s="122"/>
      <c r="AG28" s="121"/>
      <c r="AH28" s="122"/>
      <c r="AI28" s="121"/>
      <c r="AJ28" s="122"/>
      <c r="AK28" s="121"/>
      <c r="AL28" s="122"/>
      <c r="AM28" s="121"/>
      <c r="AN28" s="122"/>
      <c r="AO28" s="121"/>
      <c r="AP28" s="122"/>
      <c r="AQ28" s="121"/>
      <c r="AR28" s="122"/>
      <c r="AS28" s="121"/>
      <c r="AT28" s="122"/>
      <c r="AU28" s="121"/>
      <c r="AV28" s="122"/>
      <c r="AW28" s="121"/>
      <c r="AX28" s="122"/>
      <c r="AY28" s="121"/>
      <c r="AZ28" s="122"/>
      <c r="BA28" s="121"/>
      <c r="BB28" s="122"/>
      <c r="BC28" s="121"/>
      <c r="BD28" s="122"/>
      <c r="BE28" s="121"/>
      <c r="BF28" s="122"/>
      <c r="BG28" s="121"/>
      <c r="BH28" s="122"/>
      <c r="BI28" s="121"/>
      <c r="BJ28" s="122"/>
      <c r="BK28" s="121"/>
      <c r="BL28" s="122"/>
      <c r="BM28" s="123"/>
      <c r="BN28" s="122"/>
      <c r="CA28" s="83"/>
      <c r="CB28" s="83"/>
      <c r="CC28" s="83"/>
      <c r="CD28" s="83"/>
      <c r="CE28" s="83"/>
      <c r="CF28" s="83"/>
      <c r="CG28" s="83"/>
      <c r="CH28" s="83"/>
      <c r="CI28" s="83"/>
      <c r="CJ28" s="83"/>
      <c r="CK28" s="83"/>
      <c r="CL28" s="83"/>
      <c r="CM28" s="83"/>
      <c r="CN28" s="83"/>
      <c r="CO28" s="83"/>
      <c r="CP28" s="83"/>
    </row>
    <row r="29" spans="1:94" x14ac:dyDescent="0.25">
      <c r="A29" s="79" t="s">
        <v>24</v>
      </c>
      <c r="B29" s="98" t="s">
        <v>9</v>
      </c>
      <c r="C29" s="112">
        <v>1</v>
      </c>
      <c r="D29" s="113">
        <v>120.5</v>
      </c>
      <c r="E29" s="112">
        <v>1</v>
      </c>
      <c r="F29" s="113">
        <v>110.4</v>
      </c>
      <c r="G29" s="112">
        <v>5</v>
      </c>
      <c r="H29" s="113">
        <v>3229.1</v>
      </c>
      <c r="I29" s="112">
        <v>2</v>
      </c>
      <c r="J29" s="113">
        <v>988.4</v>
      </c>
      <c r="K29" s="112">
        <v>1</v>
      </c>
      <c r="L29" s="113">
        <v>116</v>
      </c>
      <c r="M29" s="112">
        <v>1</v>
      </c>
      <c r="N29" s="113">
        <v>116.6</v>
      </c>
      <c r="O29" s="112">
        <v>1</v>
      </c>
      <c r="P29" s="113">
        <v>98.5</v>
      </c>
      <c r="Q29" s="112">
        <v>1</v>
      </c>
      <c r="R29" s="113">
        <v>106.5</v>
      </c>
      <c r="S29" s="112">
        <v>3</v>
      </c>
      <c r="T29" s="113">
        <v>1621.3</v>
      </c>
      <c r="U29" s="112">
        <v>1</v>
      </c>
      <c r="V29" s="113">
        <v>126.6</v>
      </c>
      <c r="W29" s="112">
        <v>1</v>
      </c>
      <c r="X29" s="113">
        <v>124.6</v>
      </c>
      <c r="Y29" s="112">
        <v>2</v>
      </c>
      <c r="Z29" s="113">
        <v>1107.5999999999999</v>
      </c>
      <c r="AA29" s="112">
        <v>1</v>
      </c>
      <c r="AB29" s="113">
        <v>109.6</v>
      </c>
      <c r="AC29" s="112">
        <v>1</v>
      </c>
      <c r="AD29" s="113">
        <v>99</v>
      </c>
      <c r="AE29" s="112">
        <v>1</v>
      </c>
      <c r="AF29" s="113">
        <v>99.4</v>
      </c>
      <c r="AG29" s="112">
        <v>1</v>
      </c>
      <c r="AH29" s="113">
        <v>111.3</v>
      </c>
      <c r="AI29" s="112">
        <v>2</v>
      </c>
      <c r="AJ29" s="113">
        <v>218.3</v>
      </c>
      <c r="AK29" s="112">
        <v>4</v>
      </c>
      <c r="AL29" s="113">
        <v>2299.5</v>
      </c>
      <c r="AM29" s="112">
        <v>2</v>
      </c>
      <c r="AN29" s="113">
        <v>143.30000000000001</v>
      </c>
      <c r="AO29" s="112">
        <v>0</v>
      </c>
      <c r="AP29" s="113">
        <v>0</v>
      </c>
      <c r="AQ29" s="112">
        <v>1</v>
      </c>
      <c r="AR29" s="113">
        <v>77.400000000000006</v>
      </c>
      <c r="AS29" s="112">
        <v>1</v>
      </c>
      <c r="AT29" s="113">
        <v>100.3</v>
      </c>
      <c r="AU29" s="112">
        <v>1</v>
      </c>
      <c r="AV29" s="113">
        <v>110.5</v>
      </c>
      <c r="AW29" s="112">
        <v>1</v>
      </c>
      <c r="AX29" s="113">
        <v>107.2</v>
      </c>
      <c r="AY29" s="112">
        <v>1</v>
      </c>
      <c r="AZ29" s="113">
        <v>116.4</v>
      </c>
      <c r="BA29" s="112">
        <v>2</v>
      </c>
      <c r="BB29" s="113">
        <v>617.6</v>
      </c>
      <c r="BC29" s="112">
        <v>1</v>
      </c>
      <c r="BD29" s="113">
        <v>116.4</v>
      </c>
      <c r="BE29" s="112">
        <v>2</v>
      </c>
      <c r="BF29" s="113">
        <v>631.1</v>
      </c>
      <c r="BG29" s="112">
        <v>1</v>
      </c>
      <c r="BH29" s="113">
        <v>91.9</v>
      </c>
      <c r="BI29" s="112">
        <v>2</v>
      </c>
      <c r="BJ29" s="113">
        <v>1090.5</v>
      </c>
      <c r="BK29" s="112">
        <v>1</v>
      </c>
      <c r="BL29" s="113">
        <v>80.400000000000006</v>
      </c>
      <c r="BM29" s="114" cm="1">
        <f t="array" ref="BM29">SUMPRODUCT((MOD(COLUMN(C29:BL29)-COLUMN(C29),2)=0)*C29:BL29)</f>
        <v>46</v>
      </c>
      <c r="BN29" s="113" cm="1">
        <f t="array" ref="BN29">SUMPRODUCT((MOD(COLUMN(D29:BM29)-COLUMN(D29),2)=0)*D29:BM29)</f>
        <v>14086.199999999997</v>
      </c>
      <c r="CA29" s="83"/>
      <c r="CB29" s="83"/>
      <c r="CC29" s="83"/>
      <c r="CD29" s="83"/>
      <c r="CE29" s="83"/>
      <c r="CF29" s="83"/>
      <c r="CG29" s="83"/>
      <c r="CH29" s="83"/>
      <c r="CI29" s="83"/>
      <c r="CJ29" s="83"/>
      <c r="CK29" s="83"/>
      <c r="CL29" s="83"/>
      <c r="CM29" s="83"/>
      <c r="CN29" s="83"/>
      <c r="CO29" s="83"/>
      <c r="CP29" s="83"/>
    </row>
    <row r="30" spans="1:94" x14ac:dyDescent="0.25">
      <c r="A30" s="79" t="s">
        <v>25</v>
      </c>
      <c r="B30" s="98" t="s">
        <v>9</v>
      </c>
      <c r="C30" s="112">
        <v>0</v>
      </c>
      <c r="D30" s="113">
        <v>0</v>
      </c>
      <c r="E30" s="112">
        <v>0</v>
      </c>
      <c r="F30" s="113">
        <v>0</v>
      </c>
      <c r="G30" s="112">
        <v>0</v>
      </c>
      <c r="H30" s="113">
        <v>0</v>
      </c>
      <c r="I30" s="112">
        <v>0</v>
      </c>
      <c r="J30" s="113">
        <v>0</v>
      </c>
      <c r="K30" s="112">
        <v>0</v>
      </c>
      <c r="L30" s="113">
        <v>0</v>
      </c>
      <c r="M30" s="112">
        <v>0</v>
      </c>
      <c r="N30" s="113">
        <v>0</v>
      </c>
      <c r="O30" s="112">
        <v>0</v>
      </c>
      <c r="P30" s="113">
        <v>0</v>
      </c>
      <c r="Q30" s="112">
        <v>0</v>
      </c>
      <c r="R30" s="113">
        <v>0</v>
      </c>
      <c r="S30" s="112">
        <v>0</v>
      </c>
      <c r="T30" s="113">
        <v>0</v>
      </c>
      <c r="U30" s="112">
        <v>0</v>
      </c>
      <c r="V30" s="113">
        <v>0</v>
      </c>
      <c r="W30" s="112">
        <v>0</v>
      </c>
      <c r="X30" s="113">
        <v>0</v>
      </c>
      <c r="Y30" s="112">
        <v>0</v>
      </c>
      <c r="Z30" s="113">
        <v>0</v>
      </c>
      <c r="AA30" s="112">
        <v>0</v>
      </c>
      <c r="AB30" s="113">
        <v>0</v>
      </c>
      <c r="AC30" s="112">
        <v>0</v>
      </c>
      <c r="AD30" s="113">
        <v>0</v>
      </c>
      <c r="AE30" s="112">
        <v>0</v>
      </c>
      <c r="AF30" s="113">
        <v>0</v>
      </c>
      <c r="AG30" s="112">
        <v>0</v>
      </c>
      <c r="AH30" s="113">
        <v>0</v>
      </c>
      <c r="AI30" s="112">
        <v>0</v>
      </c>
      <c r="AJ30" s="113">
        <v>0</v>
      </c>
      <c r="AK30" s="112">
        <v>0</v>
      </c>
      <c r="AL30" s="113">
        <v>0</v>
      </c>
      <c r="AM30" s="112">
        <v>0</v>
      </c>
      <c r="AN30" s="113">
        <v>0</v>
      </c>
      <c r="AO30" s="112">
        <v>0</v>
      </c>
      <c r="AP30" s="113">
        <v>0</v>
      </c>
      <c r="AQ30" s="112">
        <v>0</v>
      </c>
      <c r="AR30" s="113">
        <v>0</v>
      </c>
      <c r="AS30" s="112">
        <v>0</v>
      </c>
      <c r="AT30" s="113">
        <v>0</v>
      </c>
      <c r="AU30" s="112">
        <v>0</v>
      </c>
      <c r="AV30" s="113">
        <v>0</v>
      </c>
      <c r="AW30" s="112">
        <v>0</v>
      </c>
      <c r="AX30" s="113">
        <v>0</v>
      </c>
      <c r="AY30" s="112">
        <v>0</v>
      </c>
      <c r="AZ30" s="113">
        <v>0</v>
      </c>
      <c r="BA30" s="112">
        <v>0</v>
      </c>
      <c r="BB30" s="113">
        <v>0</v>
      </c>
      <c r="BC30" s="112">
        <v>0</v>
      </c>
      <c r="BD30" s="113">
        <v>0</v>
      </c>
      <c r="BE30" s="112">
        <v>0</v>
      </c>
      <c r="BF30" s="113">
        <v>0</v>
      </c>
      <c r="BG30" s="112">
        <v>0</v>
      </c>
      <c r="BH30" s="113">
        <v>0</v>
      </c>
      <c r="BI30" s="112">
        <v>0</v>
      </c>
      <c r="BJ30" s="113">
        <v>0</v>
      </c>
      <c r="BK30" s="112">
        <v>0</v>
      </c>
      <c r="BL30" s="113">
        <v>0</v>
      </c>
      <c r="BM30" s="114" cm="1">
        <f t="array" ref="BM30">SUMPRODUCT((MOD(COLUMN(C30:BL30)-COLUMN(C30),2)=0)*C30:BL30)</f>
        <v>0</v>
      </c>
      <c r="BN30" s="113" cm="1">
        <f t="array" ref="BN30">SUMPRODUCT((MOD(COLUMN(D30:BM30)-COLUMN(D30),2)=0)*D30:BM30)</f>
        <v>0</v>
      </c>
      <c r="CA30" s="83"/>
      <c r="CB30" s="83"/>
      <c r="CC30" s="83"/>
      <c r="CD30" s="83"/>
      <c r="CE30" s="83"/>
      <c r="CF30" s="83"/>
      <c r="CG30" s="83"/>
      <c r="CH30" s="83"/>
      <c r="CI30" s="83"/>
      <c r="CJ30" s="83"/>
      <c r="CK30" s="83"/>
      <c r="CL30" s="83"/>
      <c r="CM30" s="83"/>
      <c r="CN30" s="83"/>
      <c r="CO30" s="83"/>
      <c r="CP30" s="83"/>
    </row>
    <row r="31" spans="1:94" x14ac:dyDescent="0.25">
      <c r="A31" s="79" t="s">
        <v>23</v>
      </c>
      <c r="B31" s="98" t="s">
        <v>9</v>
      </c>
      <c r="C31" s="112">
        <v>0</v>
      </c>
      <c r="D31" s="113">
        <v>0</v>
      </c>
      <c r="E31" s="112">
        <v>1</v>
      </c>
      <c r="F31" s="113">
        <v>500</v>
      </c>
      <c r="G31" s="112">
        <v>2</v>
      </c>
      <c r="H31" s="113">
        <v>1000</v>
      </c>
      <c r="I31" s="112">
        <v>2</v>
      </c>
      <c r="J31" s="113">
        <v>1571.5</v>
      </c>
      <c r="K31" s="112">
        <v>2</v>
      </c>
      <c r="L31" s="113">
        <v>580.70000000000005</v>
      </c>
      <c r="M31" s="112">
        <v>2</v>
      </c>
      <c r="N31" s="113">
        <v>670.1</v>
      </c>
      <c r="O31" s="112">
        <v>0</v>
      </c>
      <c r="P31" s="113">
        <v>0</v>
      </c>
      <c r="Q31" s="112">
        <v>1</v>
      </c>
      <c r="R31" s="113">
        <v>150</v>
      </c>
      <c r="S31" s="112">
        <v>0</v>
      </c>
      <c r="T31" s="113">
        <v>0</v>
      </c>
      <c r="U31" s="112">
        <v>0</v>
      </c>
      <c r="V31" s="113">
        <v>0</v>
      </c>
      <c r="W31" s="112">
        <v>2</v>
      </c>
      <c r="X31" s="113">
        <v>746.9</v>
      </c>
      <c r="Y31" s="112">
        <v>2</v>
      </c>
      <c r="Z31" s="113">
        <v>1473.5</v>
      </c>
      <c r="AA31" s="112">
        <v>1</v>
      </c>
      <c r="AB31" s="113">
        <v>186</v>
      </c>
      <c r="AC31" s="112">
        <v>2</v>
      </c>
      <c r="AD31" s="113">
        <v>572.20000000000005</v>
      </c>
      <c r="AE31" s="112">
        <v>1</v>
      </c>
      <c r="AF31" s="113">
        <v>111.9</v>
      </c>
      <c r="AG31" s="112">
        <v>0</v>
      </c>
      <c r="AH31" s="113">
        <v>0</v>
      </c>
      <c r="AI31" s="112">
        <v>2</v>
      </c>
      <c r="AJ31" s="113">
        <v>662.4</v>
      </c>
      <c r="AK31" s="112">
        <v>0</v>
      </c>
      <c r="AL31" s="113">
        <v>0</v>
      </c>
      <c r="AM31" s="112">
        <v>2</v>
      </c>
      <c r="AN31" s="113">
        <v>1337.9</v>
      </c>
      <c r="AO31" s="112">
        <v>0</v>
      </c>
      <c r="AP31" s="113">
        <v>0</v>
      </c>
      <c r="AQ31" s="112">
        <v>0</v>
      </c>
      <c r="AR31" s="113">
        <v>0</v>
      </c>
      <c r="AS31" s="112">
        <v>1</v>
      </c>
      <c r="AT31" s="113">
        <v>200</v>
      </c>
      <c r="AU31" s="112">
        <v>3</v>
      </c>
      <c r="AV31" s="113">
        <v>1526.2</v>
      </c>
      <c r="AW31" s="112">
        <v>3</v>
      </c>
      <c r="AX31" s="113">
        <v>1553.6</v>
      </c>
      <c r="AY31" s="112">
        <v>2</v>
      </c>
      <c r="AZ31" s="113">
        <v>1334.5</v>
      </c>
      <c r="BA31" s="112">
        <v>0</v>
      </c>
      <c r="BB31" s="113">
        <v>0</v>
      </c>
      <c r="BC31" s="112">
        <v>0</v>
      </c>
      <c r="BD31" s="113">
        <v>0</v>
      </c>
      <c r="BE31" s="112">
        <v>0</v>
      </c>
      <c r="BF31" s="113">
        <v>0</v>
      </c>
      <c r="BG31" s="112">
        <v>1</v>
      </c>
      <c r="BH31" s="113">
        <v>500</v>
      </c>
      <c r="BI31" s="112">
        <v>1</v>
      </c>
      <c r="BJ31" s="113">
        <v>300</v>
      </c>
      <c r="BK31" s="112">
        <v>3</v>
      </c>
      <c r="BL31" s="113">
        <v>1169.0999999999999</v>
      </c>
      <c r="BM31" s="114" cm="1">
        <f t="array" ref="BM31">SUMPRODUCT((MOD(COLUMN(C31:BL31)-COLUMN(C31),2)=0)*C31:BL31)</f>
        <v>36</v>
      </c>
      <c r="BN31" s="113" cm="1">
        <f t="array" ref="BN31">SUMPRODUCT((MOD(COLUMN(D31:BM31)-COLUMN(D31),2)=0)*D31:BM31)</f>
        <v>16146.5</v>
      </c>
      <c r="CA31" s="83"/>
      <c r="CB31" s="83"/>
      <c r="CC31" s="83"/>
      <c r="CD31" s="83"/>
      <c r="CE31" s="83"/>
      <c r="CF31" s="83"/>
      <c r="CG31" s="83"/>
      <c r="CH31" s="83"/>
      <c r="CI31" s="83"/>
      <c r="CJ31" s="83"/>
      <c r="CK31" s="83"/>
      <c r="CL31" s="83"/>
      <c r="CM31" s="83"/>
      <c r="CN31" s="83"/>
      <c r="CO31" s="83"/>
      <c r="CP31" s="83"/>
    </row>
    <row r="32" spans="1:94" x14ac:dyDescent="0.25">
      <c r="A32" s="100" t="s">
        <v>26</v>
      </c>
      <c r="B32" s="101"/>
      <c r="C32" s="115">
        <f t="shared" ref="C32:BL32" si="3">SUM(C29:C31)</f>
        <v>1</v>
      </c>
      <c r="D32" s="116">
        <f t="shared" si="3"/>
        <v>120.5</v>
      </c>
      <c r="E32" s="115">
        <f t="shared" si="3"/>
        <v>2</v>
      </c>
      <c r="F32" s="116">
        <f t="shared" si="3"/>
        <v>610.4</v>
      </c>
      <c r="G32" s="115">
        <f t="shared" si="3"/>
        <v>7</v>
      </c>
      <c r="H32" s="116">
        <f t="shared" si="3"/>
        <v>4229.1000000000004</v>
      </c>
      <c r="I32" s="115">
        <f t="shared" si="3"/>
        <v>4</v>
      </c>
      <c r="J32" s="116">
        <f t="shared" si="3"/>
        <v>2559.9</v>
      </c>
      <c r="K32" s="115">
        <f t="shared" si="3"/>
        <v>3</v>
      </c>
      <c r="L32" s="116">
        <f t="shared" si="3"/>
        <v>696.7</v>
      </c>
      <c r="M32" s="115">
        <f t="shared" si="3"/>
        <v>3</v>
      </c>
      <c r="N32" s="116">
        <f t="shared" si="3"/>
        <v>786.7</v>
      </c>
      <c r="O32" s="115">
        <f t="shared" si="3"/>
        <v>1</v>
      </c>
      <c r="P32" s="116">
        <f t="shared" si="3"/>
        <v>98.5</v>
      </c>
      <c r="Q32" s="115">
        <f t="shared" si="3"/>
        <v>2</v>
      </c>
      <c r="R32" s="116">
        <f t="shared" si="3"/>
        <v>256.5</v>
      </c>
      <c r="S32" s="115">
        <f t="shared" si="3"/>
        <v>3</v>
      </c>
      <c r="T32" s="116">
        <f t="shared" si="3"/>
        <v>1621.3</v>
      </c>
      <c r="U32" s="115">
        <f t="shared" si="3"/>
        <v>1</v>
      </c>
      <c r="V32" s="116">
        <f t="shared" si="3"/>
        <v>126.6</v>
      </c>
      <c r="W32" s="115">
        <f t="shared" si="3"/>
        <v>3</v>
      </c>
      <c r="X32" s="116">
        <f t="shared" si="3"/>
        <v>871.5</v>
      </c>
      <c r="Y32" s="115">
        <f t="shared" si="3"/>
        <v>4</v>
      </c>
      <c r="Z32" s="116">
        <f t="shared" si="3"/>
        <v>2581.1</v>
      </c>
      <c r="AA32" s="115">
        <f t="shared" si="3"/>
        <v>2</v>
      </c>
      <c r="AB32" s="116">
        <f t="shared" si="3"/>
        <v>295.60000000000002</v>
      </c>
      <c r="AC32" s="115">
        <f t="shared" si="3"/>
        <v>3</v>
      </c>
      <c r="AD32" s="116">
        <f t="shared" si="3"/>
        <v>671.2</v>
      </c>
      <c r="AE32" s="115">
        <f t="shared" si="3"/>
        <v>2</v>
      </c>
      <c r="AF32" s="116">
        <f t="shared" si="3"/>
        <v>211.3</v>
      </c>
      <c r="AG32" s="115">
        <f t="shared" si="3"/>
        <v>1</v>
      </c>
      <c r="AH32" s="116">
        <f t="shared" si="3"/>
        <v>111.3</v>
      </c>
      <c r="AI32" s="115">
        <f t="shared" si="3"/>
        <v>4</v>
      </c>
      <c r="AJ32" s="116">
        <f t="shared" si="3"/>
        <v>880.7</v>
      </c>
      <c r="AK32" s="115">
        <f t="shared" si="3"/>
        <v>4</v>
      </c>
      <c r="AL32" s="116">
        <f t="shared" si="3"/>
        <v>2299.5</v>
      </c>
      <c r="AM32" s="115">
        <f t="shared" si="3"/>
        <v>4</v>
      </c>
      <c r="AN32" s="116">
        <f t="shared" si="3"/>
        <v>1481.2</v>
      </c>
      <c r="AO32" s="115">
        <f t="shared" si="3"/>
        <v>0</v>
      </c>
      <c r="AP32" s="116">
        <f t="shared" si="3"/>
        <v>0</v>
      </c>
      <c r="AQ32" s="115">
        <f t="shared" si="3"/>
        <v>1</v>
      </c>
      <c r="AR32" s="116">
        <f t="shared" si="3"/>
        <v>77.400000000000006</v>
      </c>
      <c r="AS32" s="115">
        <f t="shared" si="3"/>
        <v>2</v>
      </c>
      <c r="AT32" s="116">
        <f t="shared" si="3"/>
        <v>300.3</v>
      </c>
      <c r="AU32" s="115">
        <f t="shared" si="3"/>
        <v>4</v>
      </c>
      <c r="AV32" s="116">
        <f t="shared" si="3"/>
        <v>1636.7</v>
      </c>
      <c r="AW32" s="115">
        <f t="shared" si="3"/>
        <v>4</v>
      </c>
      <c r="AX32" s="116">
        <f t="shared" si="3"/>
        <v>1660.8</v>
      </c>
      <c r="AY32" s="115">
        <f t="shared" si="3"/>
        <v>3</v>
      </c>
      <c r="AZ32" s="116">
        <f t="shared" si="3"/>
        <v>1450.9</v>
      </c>
      <c r="BA32" s="115">
        <f t="shared" si="3"/>
        <v>2</v>
      </c>
      <c r="BB32" s="116">
        <f t="shared" si="3"/>
        <v>617.6</v>
      </c>
      <c r="BC32" s="115">
        <f t="shared" si="3"/>
        <v>1</v>
      </c>
      <c r="BD32" s="116">
        <f t="shared" si="3"/>
        <v>116.4</v>
      </c>
      <c r="BE32" s="115">
        <f t="shared" si="3"/>
        <v>2</v>
      </c>
      <c r="BF32" s="116">
        <f t="shared" si="3"/>
        <v>631.1</v>
      </c>
      <c r="BG32" s="115">
        <f t="shared" si="3"/>
        <v>2</v>
      </c>
      <c r="BH32" s="116">
        <f t="shared" si="3"/>
        <v>591.9</v>
      </c>
      <c r="BI32" s="115">
        <f t="shared" si="3"/>
        <v>3</v>
      </c>
      <c r="BJ32" s="116">
        <f t="shared" si="3"/>
        <v>1390.5</v>
      </c>
      <c r="BK32" s="115">
        <f t="shared" si="3"/>
        <v>4</v>
      </c>
      <c r="BL32" s="116">
        <f t="shared" si="3"/>
        <v>1249.5</v>
      </c>
      <c r="BM32" s="117">
        <f t="shared" ref="BM32:BN32" si="4">SUM(BM29:BM31)</f>
        <v>82</v>
      </c>
      <c r="BN32" s="116">
        <f t="shared" si="4"/>
        <v>30232.699999999997</v>
      </c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</row>
    <row r="33" spans="1:94" x14ac:dyDescent="0.25">
      <c r="A33" s="103"/>
      <c r="C33" s="124"/>
      <c r="D33" s="125"/>
      <c r="E33" s="124"/>
      <c r="F33" s="125"/>
      <c r="G33" s="124"/>
      <c r="H33" s="125"/>
      <c r="I33" s="124"/>
      <c r="J33" s="125"/>
      <c r="K33" s="124"/>
      <c r="L33" s="125"/>
      <c r="M33" s="124"/>
      <c r="N33" s="125"/>
      <c r="O33" s="124"/>
      <c r="P33" s="125"/>
      <c r="Q33" s="124"/>
      <c r="R33" s="125"/>
      <c r="S33" s="124"/>
      <c r="T33" s="125"/>
      <c r="U33" s="124"/>
      <c r="V33" s="125"/>
      <c r="W33" s="124"/>
      <c r="X33" s="125"/>
      <c r="Y33" s="124"/>
      <c r="Z33" s="125"/>
      <c r="AA33" s="124"/>
      <c r="AB33" s="125"/>
      <c r="AC33" s="124"/>
      <c r="AD33" s="125"/>
      <c r="AE33" s="124"/>
      <c r="AF33" s="125"/>
      <c r="AG33" s="124"/>
      <c r="AH33" s="125"/>
      <c r="AI33" s="124"/>
      <c r="AJ33" s="125"/>
      <c r="AK33" s="124"/>
      <c r="AL33" s="125"/>
      <c r="AM33" s="124"/>
      <c r="AN33" s="125"/>
      <c r="AO33" s="124"/>
      <c r="AP33" s="125"/>
      <c r="AQ33" s="124"/>
      <c r="AR33" s="125"/>
      <c r="AS33" s="124"/>
      <c r="AT33" s="125"/>
      <c r="AU33" s="124"/>
      <c r="AV33" s="125"/>
      <c r="AW33" s="124"/>
      <c r="AX33" s="125"/>
      <c r="AY33" s="124"/>
      <c r="AZ33" s="125"/>
      <c r="BA33" s="124"/>
      <c r="BB33" s="125"/>
      <c r="BC33" s="124"/>
      <c r="BD33" s="125"/>
      <c r="BE33" s="124"/>
      <c r="BF33" s="125"/>
      <c r="BG33" s="124"/>
      <c r="BH33" s="125"/>
      <c r="BI33" s="124"/>
      <c r="BJ33" s="125"/>
      <c r="BK33" s="124"/>
      <c r="BL33" s="125"/>
      <c r="BM33" s="126"/>
      <c r="BN33" s="125"/>
      <c r="CA33" s="83"/>
      <c r="CB33" s="83"/>
      <c r="CC33" s="83"/>
      <c r="CD33" s="83"/>
      <c r="CE33" s="83"/>
      <c r="CF33" s="83"/>
      <c r="CG33" s="83"/>
      <c r="CH33" s="83"/>
      <c r="CI33" s="83"/>
      <c r="CJ33" s="83"/>
      <c r="CK33" s="83"/>
      <c r="CL33" s="83"/>
      <c r="CM33" s="83"/>
      <c r="CN33" s="83"/>
      <c r="CO33" s="83"/>
      <c r="CP33" s="83"/>
    </row>
    <row r="34" spans="1:94" x14ac:dyDescent="0.25">
      <c r="A34" s="92" t="s">
        <v>27</v>
      </c>
      <c r="B34" s="93"/>
      <c r="C34" s="121"/>
      <c r="D34" s="122"/>
      <c r="E34" s="121"/>
      <c r="F34" s="122"/>
      <c r="G34" s="121"/>
      <c r="H34" s="122"/>
      <c r="I34" s="121"/>
      <c r="J34" s="122"/>
      <c r="K34" s="121"/>
      <c r="L34" s="122"/>
      <c r="M34" s="121"/>
      <c r="N34" s="122"/>
      <c r="O34" s="121"/>
      <c r="P34" s="122"/>
      <c r="Q34" s="121"/>
      <c r="R34" s="122"/>
      <c r="S34" s="121"/>
      <c r="T34" s="122"/>
      <c r="U34" s="121"/>
      <c r="V34" s="122"/>
      <c r="W34" s="121"/>
      <c r="X34" s="122"/>
      <c r="Y34" s="121"/>
      <c r="Z34" s="122"/>
      <c r="AA34" s="121"/>
      <c r="AB34" s="122"/>
      <c r="AC34" s="121"/>
      <c r="AD34" s="122"/>
      <c r="AE34" s="121"/>
      <c r="AF34" s="122"/>
      <c r="AG34" s="121"/>
      <c r="AH34" s="122"/>
      <c r="AI34" s="121"/>
      <c r="AJ34" s="122"/>
      <c r="AK34" s="121"/>
      <c r="AL34" s="122"/>
      <c r="AM34" s="121"/>
      <c r="AN34" s="122"/>
      <c r="AO34" s="121"/>
      <c r="AP34" s="122"/>
      <c r="AQ34" s="121"/>
      <c r="AR34" s="122"/>
      <c r="AS34" s="121"/>
      <c r="AT34" s="122"/>
      <c r="AU34" s="121"/>
      <c r="AV34" s="122"/>
      <c r="AW34" s="121"/>
      <c r="AX34" s="122"/>
      <c r="AY34" s="121"/>
      <c r="AZ34" s="122"/>
      <c r="BA34" s="121"/>
      <c r="BB34" s="122"/>
      <c r="BC34" s="121"/>
      <c r="BD34" s="122"/>
      <c r="BE34" s="121"/>
      <c r="BF34" s="122"/>
      <c r="BG34" s="121"/>
      <c r="BH34" s="122"/>
      <c r="BI34" s="121"/>
      <c r="BJ34" s="122"/>
      <c r="BK34" s="121"/>
      <c r="BL34" s="122"/>
      <c r="BM34" s="123"/>
      <c r="BN34" s="122"/>
      <c r="CA34" s="83"/>
      <c r="CB34" s="83"/>
      <c r="CC34" s="83"/>
      <c r="CD34" s="83"/>
      <c r="CE34" s="83"/>
      <c r="CF34" s="83"/>
      <c r="CG34" s="83"/>
      <c r="CH34" s="83"/>
      <c r="CI34" s="83"/>
      <c r="CJ34" s="83"/>
      <c r="CK34" s="83"/>
      <c r="CL34" s="83"/>
      <c r="CM34" s="83"/>
      <c r="CN34" s="83"/>
      <c r="CO34" s="83"/>
      <c r="CP34" s="83"/>
    </row>
    <row r="35" spans="1:94" x14ac:dyDescent="0.25">
      <c r="A35" s="79" t="s">
        <v>28</v>
      </c>
      <c r="B35" s="98" t="s">
        <v>29</v>
      </c>
      <c r="C35" s="112">
        <v>31</v>
      </c>
      <c r="D35" s="113">
        <v>5297.9</v>
      </c>
      <c r="E35" s="112">
        <v>33</v>
      </c>
      <c r="F35" s="113">
        <v>5682.2</v>
      </c>
      <c r="G35" s="112">
        <v>37</v>
      </c>
      <c r="H35" s="113">
        <v>4539</v>
      </c>
      <c r="I35" s="112">
        <v>37</v>
      </c>
      <c r="J35" s="113">
        <v>5026.3</v>
      </c>
      <c r="K35" s="112">
        <v>28</v>
      </c>
      <c r="L35" s="113">
        <v>4974.6000000000004</v>
      </c>
      <c r="M35" s="112">
        <v>32</v>
      </c>
      <c r="N35" s="113">
        <v>4412.8999999999996</v>
      </c>
      <c r="O35" s="112">
        <v>30</v>
      </c>
      <c r="P35" s="113">
        <v>4032.3</v>
      </c>
      <c r="Q35" s="112">
        <v>35</v>
      </c>
      <c r="R35" s="113">
        <v>5675.8</v>
      </c>
      <c r="S35" s="112">
        <v>30</v>
      </c>
      <c r="T35" s="113">
        <v>4420.6000000000004</v>
      </c>
      <c r="U35" s="112">
        <v>30</v>
      </c>
      <c r="V35" s="113">
        <v>4868.6000000000004</v>
      </c>
      <c r="W35" s="112">
        <v>34</v>
      </c>
      <c r="X35" s="113">
        <v>4290.5</v>
      </c>
      <c r="Y35" s="112">
        <v>32</v>
      </c>
      <c r="Z35" s="113">
        <v>3672.4</v>
      </c>
      <c r="AA35" s="112">
        <v>30</v>
      </c>
      <c r="AB35" s="113">
        <v>5053.7</v>
      </c>
      <c r="AC35" s="112">
        <v>33</v>
      </c>
      <c r="AD35" s="113">
        <v>5759.3</v>
      </c>
      <c r="AE35" s="112">
        <v>34</v>
      </c>
      <c r="AF35" s="113">
        <v>6810.2</v>
      </c>
      <c r="AG35" s="112">
        <v>34</v>
      </c>
      <c r="AH35" s="113">
        <v>4430.3</v>
      </c>
      <c r="AI35" s="112">
        <v>37</v>
      </c>
      <c r="AJ35" s="113">
        <v>4599.6000000000004</v>
      </c>
      <c r="AK35" s="112">
        <v>38</v>
      </c>
      <c r="AL35" s="113">
        <v>6815.5</v>
      </c>
      <c r="AM35" s="112">
        <v>34</v>
      </c>
      <c r="AN35" s="113">
        <v>4635.3999999999996</v>
      </c>
      <c r="AO35" s="112">
        <v>0</v>
      </c>
      <c r="AP35" s="113">
        <v>0</v>
      </c>
      <c r="AQ35" s="112">
        <v>42</v>
      </c>
      <c r="AR35" s="113">
        <v>5541.7</v>
      </c>
      <c r="AS35" s="112">
        <v>31</v>
      </c>
      <c r="AT35" s="113">
        <v>3562.8</v>
      </c>
      <c r="AU35" s="112">
        <v>35</v>
      </c>
      <c r="AV35" s="113">
        <v>4128.6000000000004</v>
      </c>
      <c r="AW35" s="112">
        <v>39</v>
      </c>
      <c r="AX35" s="113">
        <v>4974.5</v>
      </c>
      <c r="AY35" s="112">
        <v>35</v>
      </c>
      <c r="AZ35" s="113">
        <v>5302</v>
      </c>
      <c r="BA35" s="112">
        <v>35</v>
      </c>
      <c r="BB35" s="113">
        <v>5514.1</v>
      </c>
      <c r="BC35" s="112">
        <v>30</v>
      </c>
      <c r="BD35" s="113">
        <v>4274</v>
      </c>
      <c r="BE35" s="112">
        <v>36</v>
      </c>
      <c r="BF35" s="113">
        <v>4384</v>
      </c>
      <c r="BG35" s="112">
        <v>29</v>
      </c>
      <c r="BH35" s="113">
        <v>3407</v>
      </c>
      <c r="BI35" s="112">
        <v>35</v>
      </c>
      <c r="BJ35" s="113">
        <v>4473.1000000000004</v>
      </c>
      <c r="BK35" s="112">
        <v>34</v>
      </c>
      <c r="BL35" s="113">
        <v>5325.2</v>
      </c>
      <c r="BM35" s="114" cm="1">
        <f t="array" ref="BM35">SUMPRODUCT((MOD(COLUMN(C35:BL35)-COLUMN(C35),2)=0)*C35:BL35)</f>
        <v>1010</v>
      </c>
      <c r="BN35" s="113" cm="1">
        <f t="array" ref="BN35">SUMPRODUCT((MOD(COLUMN(D35:BM35)-COLUMN(D35),2)=0)*D35:BM35)</f>
        <v>145884.10000000003</v>
      </c>
      <c r="CA35" s="83"/>
      <c r="CB35" s="83"/>
      <c r="CC35" s="83"/>
      <c r="CD35" s="83"/>
      <c r="CE35" s="83"/>
      <c r="CF35" s="83"/>
      <c r="CG35" s="83"/>
      <c r="CH35" s="83"/>
      <c r="CI35" s="83"/>
      <c r="CJ35" s="83"/>
      <c r="CK35" s="83"/>
      <c r="CL35" s="83"/>
      <c r="CM35" s="83"/>
      <c r="CN35" s="83"/>
      <c r="CO35" s="83"/>
      <c r="CP35" s="83"/>
    </row>
    <row r="36" spans="1:94" x14ac:dyDescent="0.25">
      <c r="A36" s="79" t="s">
        <v>30</v>
      </c>
      <c r="B36" s="98" t="s">
        <v>29</v>
      </c>
      <c r="C36" s="112">
        <v>29</v>
      </c>
      <c r="D36" s="113">
        <v>3994.5</v>
      </c>
      <c r="E36" s="112">
        <v>25</v>
      </c>
      <c r="F36" s="113">
        <v>4777.1000000000004</v>
      </c>
      <c r="G36" s="112">
        <v>22</v>
      </c>
      <c r="H36" s="113">
        <v>3540.8</v>
      </c>
      <c r="I36" s="112">
        <v>29</v>
      </c>
      <c r="J36" s="113">
        <v>4243.2</v>
      </c>
      <c r="K36" s="112">
        <v>44</v>
      </c>
      <c r="L36" s="113">
        <v>13025.2</v>
      </c>
      <c r="M36" s="112">
        <v>35</v>
      </c>
      <c r="N36" s="113">
        <v>9735.2000000000007</v>
      </c>
      <c r="O36" s="112">
        <v>27</v>
      </c>
      <c r="P36" s="113">
        <v>3140.3</v>
      </c>
      <c r="Q36" s="112">
        <v>26</v>
      </c>
      <c r="R36" s="113">
        <v>3115.9</v>
      </c>
      <c r="S36" s="112">
        <v>32</v>
      </c>
      <c r="T36" s="113">
        <v>4173.2</v>
      </c>
      <c r="U36" s="112">
        <v>32</v>
      </c>
      <c r="V36" s="113">
        <v>4914.8</v>
      </c>
      <c r="W36" s="112">
        <v>31</v>
      </c>
      <c r="X36" s="113">
        <v>6490</v>
      </c>
      <c r="Y36" s="112">
        <v>30</v>
      </c>
      <c r="Z36" s="113">
        <v>7297.5</v>
      </c>
      <c r="AA36" s="112">
        <v>35</v>
      </c>
      <c r="AB36" s="113">
        <v>11752.6</v>
      </c>
      <c r="AC36" s="112">
        <v>25</v>
      </c>
      <c r="AD36" s="113">
        <v>4122.1000000000004</v>
      </c>
      <c r="AE36" s="112">
        <v>27</v>
      </c>
      <c r="AF36" s="113">
        <v>3229.1</v>
      </c>
      <c r="AG36" s="112">
        <v>25</v>
      </c>
      <c r="AH36" s="113">
        <v>2744.9</v>
      </c>
      <c r="AI36" s="112">
        <v>31</v>
      </c>
      <c r="AJ36" s="113">
        <v>8158.6</v>
      </c>
      <c r="AK36" s="112">
        <v>25</v>
      </c>
      <c r="AL36" s="113">
        <v>5476.2</v>
      </c>
      <c r="AM36" s="112">
        <v>29</v>
      </c>
      <c r="AN36" s="113">
        <v>8262.2000000000007</v>
      </c>
      <c r="AO36" s="112">
        <v>0</v>
      </c>
      <c r="AP36" s="113">
        <v>0</v>
      </c>
      <c r="AQ36" s="112">
        <v>27</v>
      </c>
      <c r="AR36" s="113">
        <v>4313.5</v>
      </c>
      <c r="AS36" s="112">
        <v>24</v>
      </c>
      <c r="AT36" s="113">
        <v>2852.4</v>
      </c>
      <c r="AU36" s="112">
        <v>22</v>
      </c>
      <c r="AV36" s="113">
        <v>2638.9</v>
      </c>
      <c r="AW36" s="112">
        <v>30</v>
      </c>
      <c r="AX36" s="113">
        <v>4652.7</v>
      </c>
      <c r="AY36" s="112">
        <v>24</v>
      </c>
      <c r="AZ36" s="113">
        <v>4244.6000000000004</v>
      </c>
      <c r="BA36" s="112">
        <v>39</v>
      </c>
      <c r="BB36" s="113">
        <v>12478.7</v>
      </c>
      <c r="BC36" s="112">
        <v>27</v>
      </c>
      <c r="BD36" s="113">
        <v>5816.5</v>
      </c>
      <c r="BE36" s="112">
        <v>25</v>
      </c>
      <c r="BF36" s="113">
        <v>3877.9</v>
      </c>
      <c r="BG36" s="112">
        <v>28</v>
      </c>
      <c r="BH36" s="113">
        <v>4145.3</v>
      </c>
      <c r="BI36" s="112">
        <v>24</v>
      </c>
      <c r="BJ36" s="113">
        <v>3059.2</v>
      </c>
      <c r="BK36" s="112">
        <v>25</v>
      </c>
      <c r="BL36" s="113">
        <v>3605.2</v>
      </c>
      <c r="BM36" s="114" cm="1">
        <f t="array" ref="BM36">SUMPRODUCT((MOD(COLUMN(C36:BL36)-COLUMN(C36),2)=0)*C36:BL36)</f>
        <v>854</v>
      </c>
      <c r="BN36" s="113" cm="1">
        <f t="array" ref="BN36">SUMPRODUCT((MOD(COLUMN(D36:BM36)-COLUMN(D36),2)=0)*D36:BM36)</f>
        <v>163878.30000000002</v>
      </c>
      <c r="CA36" s="83"/>
      <c r="CB36" s="83"/>
      <c r="CC36" s="83"/>
      <c r="CD36" s="83"/>
      <c r="CE36" s="83"/>
      <c r="CF36" s="83"/>
      <c r="CG36" s="83"/>
      <c r="CH36" s="83"/>
      <c r="CI36" s="83"/>
      <c r="CJ36" s="83"/>
      <c r="CK36" s="83"/>
      <c r="CL36" s="83"/>
      <c r="CM36" s="83"/>
      <c r="CN36" s="83"/>
      <c r="CO36" s="83"/>
      <c r="CP36" s="83"/>
    </row>
    <row r="37" spans="1:94" x14ac:dyDescent="0.25">
      <c r="A37" s="79" t="s">
        <v>31</v>
      </c>
      <c r="B37" s="98" t="s">
        <v>29</v>
      </c>
      <c r="C37" s="112">
        <v>1</v>
      </c>
      <c r="D37" s="113">
        <v>135.19999999999999</v>
      </c>
      <c r="E37" s="112">
        <v>4</v>
      </c>
      <c r="F37" s="113">
        <v>1240.3</v>
      </c>
      <c r="G37" s="112">
        <v>2</v>
      </c>
      <c r="H37" s="113">
        <v>236.1</v>
      </c>
      <c r="I37" s="112">
        <v>3</v>
      </c>
      <c r="J37" s="113">
        <v>1805.9</v>
      </c>
      <c r="K37" s="112">
        <v>3</v>
      </c>
      <c r="L37" s="113">
        <v>378.8</v>
      </c>
      <c r="M37" s="112">
        <v>4</v>
      </c>
      <c r="N37" s="113">
        <v>502.1</v>
      </c>
      <c r="O37" s="112">
        <v>3</v>
      </c>
      <c r="P37" s="113">
        <v>417.9</v>
      </c>
      <c r="Q37" s="112">
        <v>3</v>
      </c>
      <c r="R37" s="113">
        <v>271.89999999999998</v>
      </c>
      <c r="S37" s="112">
        <v>7</v>
      </c>
      <c r="T37" s="113">
        <v>2626.6</v>
      </c>
      <c r="U37" s="112">
        <v>3</v>
      </c>
      <c r="V37" s="113">
        <v>354.5</v>
      </c>
      <c r="W37" s="112">
        <v>2</v>
      </c>
      <c r="X37" s="113">
        <v>238.3</v>
      </c>
      <c r="Y37" s="112">
        <v>4</v>
      </c>
      <c r="Z37" s="113">
        <v>435.9</v>
      </c>
      <c r="AA37" s="112">
        <v>2</v>
      </c>
      <c r="AB37" s="113">
        <v>200.1</v>
      </c>
      <c r="AC37" s="112">
        <v>1</v>
      </c>
      <c r="AD37" s="113">
        <v>125</v>
      </c>
      <c r="AE37" s="112">
        <v>4</v>
      </c>
      <c r="AF37" s="113">
        <v>349.3</v>
      </c>
      <c r="AG37" s="112">
        <v>2</v>
      </c>
      <c r="AH37" s="113">
        <v>264.60000000000002</v>
      </c>
      <c r="AI37" s="112">
        <v>3</v>
      </c>
      <c r="AJ37" s="113">
        <v>629.20000000000005</v>
      </c>
      <c r="AK37" s="112">
        <v>1</v>
      </c>
      <c r="AL37" s="113">
        <v>120.2</v>
      </c>
      <c r="AM37" s="112">
        <v>1</v>
      </c>
      <c r="AN37" s="113">
        <v>101.5</v>
      </c>
      <c r="AO37" s="112">
        <v>1</v>
      </c>
      <c r="AP37" s="113">
        <v>196.6</v>
      </c>
      <c r="AQ37" s="112">
        <v>4</v>
      </c>
      <c r="AR37" s="113">
        <v>889</v>
      </c>
      <c r="AS37" s="112">
        <v>3</v>
      </c>
      <c r="AT37" s="113">
        <v>345.2</v>
      </c>
      <c r="AU37" s="112">
        <v>5</v>
      </c>
      <c r="AV37" s="113">
        <v>593</v>
      </c>
      <c r="AW37" s="112">
        <v>2</v>
      </c>
      <c r="AX37" s="113">
        <v>248</v>
      </c>
      <c r="AY37" s="112">
        <v>3</v>
      </c>
      <c r="AZ37" s="113">
        <v>277.60000000000002</v>
      </c>
      <c r="BA37" s="112">
        <v>4</v>
      </c>
      <c r="BB37" s="113">
        <v>938.2</v>
      </c>
      <c r="BC37" s="112">
        <v>3</v>
      </c>
      <c r="BD37" s="113">
        <v>313.2</v>
      </c>
      <c r="BE37" s="112">
        <v>4</v>
      </c>
      <c r="BF37" s="113">
        <v>393.5</v>
      </c>
      <c r="BG37" s="112">
        <v>3</v>
      </c>
      <c r="BH37" s="113">
        <v>202.8</v>
      </c>
      <c r="BI37" s="112">
        <v>6</v>
      </c>
      <c r="BJ37" s="113">
        <v>1472</v>
      </c>
      <c r="BK37" s="112">
        <v>3</v>
      </c>
      <c r="BL37" s="113">
        <v>273.5</v>
      </c>
      <c r="BM37" s="114" cm="1">
        <f t="array" ref="BM37">SUMPRODUCT((MOD(COLUMN(C37:BL37)-COLUMN(C37),2)=0)*C37:BL37)</f>
        <v>94</v>
      </c>
      <c r="BN37" s="113" cm="1">
        <f t="array" ref="BN37">SUMPRODUCT((MOD(COLUMN(D37:BM37)-COLUMN(D37),2)=0)*D37:BM37)</f>
        <v>16576</v>
      </c>
      <c r="CA37" s="83"/>
      <c r="CB37" s="83"/>
      <c r="CC37" s="83"/>
      <c r="CD37" s="83"/>
      <c r="CE37" s="83"/>
      <c r="CF37" s="83"/>
      <c r="CG37" s="83"/>
      <c r="CH37" s="83"/>
      <c r="CI37" s="83"/>
      <c r="CJ37" s="83"/>
      <c r="CK37" s="83"/>
      <c r="CL37" s="83"/>
      <c r="CM37" s="83"/>
      <c r="CN37" s="83"/>
      <c r="CO37" s="83"/>
      <c r="CP37" s="83"/>
    </row>
    <row r="38" spans="1:94" x14ac:dyDescent="0.25">
      <c r="A38" s="79" t="s">
        <v>32</v>
      </c>
      <c r="B38" s="98" t="s">
        <v>29</v>
      </c>
      <c r="C38" s="112">
        <v>2</v>
      </c>
      <c r="D38" s="113">
        <v>207.6</v>
      </c>
      <c r="E38" s="112">
        <v>0</v>
      </c>
      <c r="F38" s="113">
        <v>0</v>
      </c>
      <c r="G38" s="112">
        <v>4</v>
      </c>
      <c r="H38" s="113">
        <v>550.1</v>
      </c>
      <c r="I38" s="112">
        <v>5</v>
      </c>
      <c r="J38" s="113">
        <v>653.1</v>
      </c>
      <c r="K38" s="112">
        <v>5</v>
      </c>
      <c r="L38" s="113">
        <v>719.3</v>
      </c>
      <c r="M38" s="112">
        <v>4</v>
      </c>
      <c r="N38" s="113">
        <v>504.9</v>
      </c>
      <c r="O38" s="112">
        <v>4</v>
      </c>
      <c r="P38" s="113">
        <v>549.9</v>
      </c>
      <c r="Q38" s="112">
        <v>3</v>
      </c>
      <c r="R38" s="113">
        <v>336.5</v>
      </c>
      <c r="S38" s="112">
        <v>3</v>
      </c>
      <c r="T38" s="113">
        <v>384.4</v>
      </c>
      <c r="U38" s="112">
        <v>5</v>
      </c>
      <c r="V38" s="113">
        <v>606.29999999999995</v>
      </c>
      <c r="W38" s="112">
        <v>4</v>
      </c>
      <c r="X38" s="113">
        <v>555.4</v>
      </c>
      <c r="Y38" s="112">
        <v>3</v>
      </c>
      <c r="Z38" s="113">
        <v>496.9</v>
      </c>
      <c r="AA38" s="112">
        <v>2</v>
      </c>
      <c r="AB38" s="113">
        <v>261.3</v>
      </c>
      <c r="AC38" s="112">
        <v>2</v>
      </c>
      <c r="AD38" s="113">
        <v>231.2</v>
      </c>
      <c r="AE38" s="112">
        <v>4</v>
      </c>
      <c r="AF38" s="113">
        <v>624.79999999999995</v>
      </c>
      <c r="AG38" s="112">
        <v>3</v>
      </c>
      <c r="AH38" s="113">
        <v>372.3</v>
      </c>
      <c r="AI38" s="112">
        <v>4</v>
      </c>
      <c r="AJ38" s="113">
        <v>554.9</v>
      </c>
      <c r="AK38" s="112">
        <v>5</v>
      </c>
      <c r="AL38" s="113">
        <v>705.2</v>
      </c>
      <c r="AM38" s="112">
        <v>1</v>
      </c>
      <c r="AN38" s="113">
        <v>140</v>
      </c>
      <c r="AO38" s="112">
        <v>2</v>
      </c>
      <c r="AP38" s="113">
        <v>186.2</v>
      </c>
      <c r="AQ38" s="112">
        <v>3</v>
      </c>
      <c r="AR38" s="113">
        <v>393.1</v>
      </c>
      <c r="AS38" s="112">
        <v>3</v>
      </c>
      <c r="AT38" s="113">
        <v>505.8</v>
      </c>
      <c r="AU38" s="112">
        <v>3</v>
      </c>
      <c r="AV38" s="113">
        <v>353.6</v>
      </c>
      <c r="AW38" s="112">
        <v>0</v>
      </c>
      <c r="AX38" s="113">
        <v>0</v>
      </c>
      <c r="AY38" s="112">
        <v>4</v>
      </c>
      <c r="AZ38" s="113">
        <v>406.3</v>
      </c>
      <c r="BA38" s="112">
        <v>4</v>
      </c>
      <c r="BB38" s="113">
        <v>571.9</v>
      </c>
      <c r="BC38" s="112">
        <v>5</v>
      </c>
      <c r="BD38" s="113">
        <v>558.6</v>
      </c>
      <c r="BE38" s="112">
        <v>3</v>
      </c>
      <c r="BF38" s="113">
        <v>441.9</v>
      </c>
      <c r="BG38" s="112">
        <v>3</v>
      </c>
      <c r="BH38" s="113">
        <v>355</v>
      </c>
      <c r="BI38" s="112">
        <v>3</v>
      </c>
      <c r="BJ38" s="113">
        <v>337.5</v>
      </c>
      <c r="BK38" s="112">
        <v>7</v>
      </c>
      <c r="BL38" s="113">
        <v>853.9</v>
      </c>
      <c r="BM38" s="114" cm="1">
        <f t="array" ref="BM38">SUMPRODUCT((MOD(COLUMN(C38:BL38)-COLUMN(C38),2)=0)*C38:BL38)</f>
        <v>103</v>
      </c>
      <c r="BN38" s="113" cm="1">
        <f t="array" ref="BN38">SUMPRODUCT((MOD(COLUMN(D38:BM38)-COLUMN(D38),2)=0)*D38:BM38)</f>
        <v>13417.9</v>
      </c>
      <c r="CA38" s="83"/>
      <c r="CB38" s="83"/>
      <c r="CC38" s="83"/>
      <c r="CD38" s="83"/>
      <c r="CE38" s="83"/>
      <c r="CF38" s="83"/>
      <c r="CG38" s="83"/>
      <c r="CH38" s="83"/>
      <c r="CI38" s="83"/>
      <c r="CJ38" s="83"/>
      <c r="CK38" s="83"/>
      <c r="CL38" s="83"/>
      <c r="CM38" s="83"/>
      <c r="CN38" s="83"/>
      <c r="CO38" s="83"/>
      <c r="CP38" s="83"/>
    </row>
    <row r="39" spans="1:94" x14ac:dyDescent="0.25">
      <c r="A39" s="100" t="s">
        <v>33</v>
      </c>
      <c r="B39" s="101"/>
      <c r="C39" s="115">
        <f t="shared" ref="C39:BL39" si="5">SUM(C35:C38)</f>
        <v>63</v>
      </c>
      <c r="D39" s="116">
        <f t="shared" si="5"/>
        <v>9635.2000000000007</v>
      </c>
      <c r="E39" s="115">
        <f t="shared" si="5"/>
        <v>62</v>
      </c>
      <c r="F39" s="116">
        <f t="shared" si="5"/>
        <v>11699.599999999999</v>
      </c>
      <c r="G39" s="115">
        <f t="shared" si="5"/>
        <v>65</v>
      </c>
      <c r="H39" s="116">
        <f t="shared" si="5"/>
        <v>8866</v>
      </c>
      <c r="I39" s="115">
        <f t="shared" si="5"/>
        <v>74</v>
      </c>
      <c r="J39" s="116">
        <f t="shared" si="5"/>
        <v>11728.5</v>
      </c>
      <c r="K39" s="115">
        <f t="shared" si="5"/>
        <v>80</v>
      </c>
      <c r="L39" s="116">
        <f t="shared" si="5"/>
        <v>19097.900000000001</v>
      </c>
      <c r="M39" s="115">
        <f t="shared" si="5"/>
        <v>75</v>
      </c>
      <c r="N39" s="116">
        <f t="shared" si="5"/>
        <v>15155.1</v>
      </c>
      <c r="O39" s="115">
        <f t="shared" si="5"/>
        <v>64</v>
      </c>
      <c r="P39" s="116">
        <f t="shared" si="5"/>
        <v>8140.4</v>
      </c>
      <c r="Q39" s="115">
        <f t="shared" si="5"/>
        <v>67</v>
      </c>
      <c r="R39" s="116">
        <f t="shared" si="5"/>
        <v>9400.1</v>
      </c>
      <c r="S39" s="115">
        <f t="shared" si="5"/>
        <v>72</v>
      </c>
      <c r="T39" s="116">
        <f t="shared" si="5"/>
        <v>11604.8</v>
      </c>
      <c r="U39" s="115">
        <f t="shared" si="5"/>
        <v>70</v>
      </c>
      <c r="V39" s="116">
        <f t="shared" si="5"/>
        <v>10744.2</v>
      </c>
      <c r="W39" s="115">
        <f t="shared" si="5"/>
        <v>71</v>
      </c>
      <c r="X39" s="116">
        <f t="shared" si="5"/>
        <v>11574.199999999999</v>
      </c>
      <c r="Y39" s="115">
        <f t="shared" si="5"/>
        <v>69</v>
      </c>
      <c r="Z39" s="116">
        <f t="shared" si="5"/>
        <v>11902.699999999999</v>
      </c>
      <c r="AA39" s="115">
        <f t="shared" si="5"/>
        <v>69</v>
      </c>
      <c r="AB39" s="116">
        <f t="shared" si="5"/>
        <v>17267.699999999997</v>
      </c>
      <c r="AC39" s="115">
        <f t="shared" si="5"/>
        <v>61</v>
      </c>
      <c r="AD39" s="116">
        <f t="shared" si="5"/>
        <v>10237.600000000002</v>
      </c>
      <c r="AE39" s="115">
        <f t="shared" si="5"/>
        <v>69</v>
      </c>
      <c r="AF39" s="116">
        <f t="shared" si="5"/>
        <v>11013.399999999998</v>
      </c>
      <c r="AG39" s="115">
        <f t="shared" si="5"/>
        <v>64</v>
      </c>
      <c r="AH39" s="116">
        <f t="shared" si="5"/>
        <v>7812.1000000000013</v>
      </c>
      <c r="AI39" s="115">
        <f t="shared" si="5"/>
        <v>75</v>
      </c>
      <c r="AJ39" s="116">
        <f t="shared" si="5"/>
        <v>13942.300000000001</v>
      </c>
      <c r="AK39" s="115">
        <f t="shared" si="5"/>
        <v>69</v>
      </c>
      <c r="AL39" s="116">
        <f t="shared" si="5"/>
        <v>13117.100000000002</v>
      </c>
      <c r="AM39" s="115">
        <f t="shared" si="5"/>
        <v>65</v>
      </c>
      <c r="AN39" s="116">
        <f t="shared" si="5"/>
        <v>13139.1</v>
      </c>
      <c r="AO39" s="115">
        <f t="shared" si="5"/>
        <v>3</v>
      </c>
      <c r="AP39" s="116">
        <f t="shared" si="5"/>
        <v>382.79999999999995</v>
      </c>
      <c r="AQ39" s="115">
        <f t="shared" si="5"/>
        <v>76</v>
      </c>
      <c r="AR39" s="116">
        <f t="shared" si="5"/>
        <v>11137.300000000001</v>
      </c>
      <c r="AS39" s="115">
        <f t="shared" si="5"/>
        <v>61</v>
      </c>
      <c r="AT39" s="116">
        <f t="shared" si="5"/>
        <v>7266.2000000000007</v>
      </c>
      <c r="AU39" s="115">
        <f t="shared" si="5"/>
        <v>65</v>
      </c>
      <c r="AV39" s="116">
        <f t="shared" si="5"/>
        <v>7714.1</v>
      </c>
      <c r="AW39" s="115">
        <f t="shared" si="5"/>
        <v>71</v>
      </c>
      <c r="AX39" s="116">
        <f t="shared" si="5"/>
        <v>9875.2000000000007</v>
      </c>
      <c r="AY39" s="115">
        <f t="shared" si="5"/>
        <v>66</v>
      </c>
      <c r="AZ39" s="116">
        <f t="shared" si="5"/>
        <v>10230.5</v>
      </c>
      <c r="BA39" s="115">
        <f t="shared" si="5"/>
        <v>82</v>
      </c>
      <c r="BB39" s="116">
        <f t="shared" si="5"/>
        <v>19502.900000000005</v>
      </c>
      <c r="BC39" s="115">
        <f t="shared" si="5"/>
        <v>65</v>
      </c>
      <c r="BD39" s="116">
        <f t="shared" si="5"/>
        <v>10962.300000000001</v>
      </c>
      <c r="BE39" s="115">
        <f t="shared" si="5"/>
        <v>68</v>
      </c>
      <c r="BF39" s="116">
        <f t="shared" si="5"/>
        <v>9097.2999999999993</v>
      </c>
      <c r="BG39" s="115">
        <f t="shared" si="5"/>
        <v>63</v>
      </c>
      <c r="BH39" s="116">
        <f t="shared" si="5"/>
        <v>8110.1</v>
      </c>
      <c r="BI39" s="115">
        <f t="shared" si="5"/>
        <v>68</v>
      </c>
      <c r="BJ39" s="116">
        <f t="shared" si="5"/>
        <v>9341.7999999999993</v>
      </c>
      <c r="BK39" s="115">
        <f t="shared" si="5"/>
        <v>69</v>
      </c>
      <c r="BL39" s="116">
        <f t="shared" si="5"/>
        <v>10057.799999999999</v>
      </c>
      <c r="BM39" s="117">
        <f t="shared" ref="BM39:BN39" si="6">SUM(BM35:BM38)</f>
        <v>2061</v>
      </c>
      <c r="BN39" s="116">
        <f t="shared" si="6"/>
        <v>339756.30000000005</v>
      </c>
      <c r="BO39" s="102"/>
      <c r="BP39" s="102"/>
      <c r="BQ39" s="102"/>
      <c r="BR39" s="102"/>
      <c r="BS39" s="102"/>
      <c r="BT39" s="102"/>
      <c r="BU39" s="102"/>
      <c r="BV39" s="102"/>
      <c r="BW39" s="102"/>
      <c r="BX39" s="102"/>
      <c r="CA39" s="83"/>
      <c r="CB39" s="83"/>
      <c r="CC39" s="83"/>
      <c r="CD39" s="83"/>
      <c r="CE39" s="83"/>
      <c r="CF39" s="83"/>
      <c r="CG39" s="83"/>
      <c r="CH39" s="83"/>
      <c r="CI39" s="83"/>
      <c r="CJ39" s="83"/>
      <c r="CK39" s="83"/>
      <c r="CL39" s="83"/>
      <c r="CM39" s="83"/>
      <c r="CN39" s="83"/>
      <c r="CO39" s="83"/>
      <c r="CP39" s="83"/>
    </row>
    <row r="40" spans="1:94" x14ac:dyDescent="0.25">
      <c r="C40" s="118"/>
      <c r="D40" s="119"/>
      <c r="E40" s="118"/>
      <c r="F40" s="119"/>
      <c r="G40" s="118"/>
      <c r="H40" s="119"/>
      <c r="I40" s="118"/>
      <c r="J40" s="119"/>
      <c r="K40" s="118"/>
      <c r="L40" s="119"/>
      <c r="M40" s="118"/>
      <c r="N40" s="119"/>
      <c r="O40" s="118"/>
      <c r="P40" s="119"/>
      <c r="Q40" s="118"/>
      <c r="R40" s="119"/>
      <c r="S40" s="118"/>
      <c r="T40" s="119"/>
      <c r="U40" s="118"/>
      <c r="V40" s="119"/>
      <c r="W40" s="118"/>
      <c r="X40" s="119"/>
      <c r="Y40" s="118"/>
      <c r="Z40" s="119"/>
      <c r="AA40" s="118"/>
      <c r="AB40" s="119"/>
      <c r="AC40" s="118"/>
      <c r="AD40" s="119"/>
      <c r="AE40" s="118"/>
      <c r="AF40" s="119"/>
      <c r="AG40" s="118"/>
      <c r="AH40" s="119"/>
      <c r="AI40" s="118"/>
      <c r="AJ40" s="119"/>
      <c r="AK40" s="118"/>
      <c r="AL40" s="119"/>
      <c r="AM40" s="118"/>
      <c r="AN40" s="119"/>
      <c r="AO40" s="118"/>
      <c r="AP40" s="119"/>
      <c r="AQ40" s="118"/>
      <c r="AR40" s="119"/>
      <c r="AS40" s="118"/>
      <c r="AT40" s="119"/>
      <c r="AU40" s="118"/>
      <c r="AV40" s="119"/>
      <c r="AW40" s="118"/>
      <c r="AX40" s="119"/>
      <c r="AY40" s="118"/>
      <c r="AZ40" s="119"/>
      <c r="BA40" s="118"/>
      <c r="BB40" s="119"/>
      <c r="BC40" s="118"/>
      <c r="BD40" s="119"/>
      <c r="BE40" s="118"/>
      <c r="BF40" s="119"/>
      <c r="BG40" s="118"/>
      <c r="BH40" s="119"/>
      <c r="BI40" s="118"/>
      <c r="BJ40" s="119"/>
      <c r="BK40" s="118"/>
      <c r="BL40" s="119"/>
      <c r="BM40" s="120"/>
      <c r="BN40" s="119"/>
      <c r="CA40" s="83"/>
      <c r="CB40" s="83"/>
      <c r="CC40" s="83"/>
      <c r="CD40" s="83"/>
      <c r="CE40" s="83"/>
      <c r="CF40" s="83"/>
      <c r="CG40" s="83"/>
      <c r="CH40" s="83"/>
      <c r="CI40" s="83"/>
      <c r="CJ40" s="83"/>
      <c r="CK40" s="83"/>
      <c r="CL40" s="83"/>
      <c r="CM40" s="83"/>
      <c r="CN40" s="83"/>
      <c r="CO40" s="83"/>
      <c r="CP40" s="83"/>
    </row>
    <row r="41" spans="1:94" x14ac:dyDescent="0.25">
      <c r="A41" s="92" t="s">
        <v>34</v>
      </c>
      <c r="B41" s="93"/>
      <c r="C41" s="121"/>
      <c r="D41" s="122"/>
      <c r="E41" s="121"/>
      <c r="F41" s="122"/>
      <c r="G41" s="121"/>
      <c r="H41" s="122"/>
      <c r="I41" s="121"/>
      <c r="J41" s="122"/>
      <c r="K41" s="121"/>
      <c r="L41" s="122"/>
      <c r="M41" s="121"/>
      <c r="N41" s="122"/>
      <c r="O41" s="121"/>
      <c r="P41" s="122"/>
      <c r="Q41" s="121"/>
      <c r="R41" s="122"/>
      <c r="S41" s="121"/>
      <c r="T41" s="122"/>
      <c r="U41" s="121"/>
      <c r="V41" s="122"/>
      <c r="W41" s="121"/>
      <c r="X41" s="122"/>
      <c r="Y41" s="121"/>
      <c r="Z41" s="122"/>
      <c r="AA41" s="121"/>
      <c r="AB41" s="122"/>
      <c r="AC41" s="121"/>
      <c r="AD41" s="122"/>
      <c r="AE41" s="121"/>
      <c r="AF41" s="122"/>
      <c r="AG41" s="121"/>
      <c r="AH41" s="122"/>
      <c r="AI41" s="121"/>
      <c r="AJ41" s="122"/>
      <c r="AK41" s="121"/>
      <c r="AL41" s="122"/>
      <c r="AM41" s="121"/>
      <c r="AN41" s="122"/>
      <c r="AO41" s="121"/>
      <c r="AP41" s="122"/>
      <c r="AQ41" s="121"/>
      <c r="AR41" s="122"/>
      <c r="AS41" s="121"/>
      <c r="AT41" s="122"/>
      <c r="AU41" s="121"/>
      <c r="AV41" s="122"/>
      <c r="AW41" s="121"/>
      <c r="AX41" s="122"/>
      <c r="AY41" s="121"/>
      <c r="AZ41" s="122"/>
      <c r="BA41" s="121"/>
      <c r="BB41" s="122"/>
      <c r="BC41" s="121"/>
      <c r="BD41" s="122"/>
      <c r="BE41" s="121"/>
      <c r="BF41" s="122"/>
      <c r="BG41" s="121"/>
      <c r="BH41" s="122"/>
      <c r="BI41" s="121"/>
      <c r="BJ41" s="122"/>
      <c r="BK41" s="121"/>
      <c r="BL41" s="122"/>
      <c r="BM41" s="123"/>
      <c r="BN41" s="122"/>
      <c r="CA41" s="83"/>
      <c r="CB41" s="83"/>
      <c r="CC41" s="83"/>
      <c r="CD41" s="83"/>
      <c r="CE41" s="83"/>
      <c r="CF41" s="83"/>
      <c r="CG41" s="83"/>
      <c r="CH41" s="83"/>
      <c r="CI41" s="83"/>
      <c r="CJ41" s="83"/>
      <c r="CK41" s="83"/>
      <c r="CL41" s="83"/>
      <c r="CM41" s="83"/>
      <c r="CN41" s="83"/>
      <c r="CO41" s="83"/>
      <c r="CP41" s="83"/>
    </row>
    <row r="42" spans="1:94" x14ac:dyDescent="0.25">
      <c r="A42" s="79" t="s">
        <v>35</v>
      </c>
      <c r="B42" s="98" t="s">
        <v>9</v>
      </c>
      <c r="C42" s="112">
        <v>0</v>
      </c>
      <c r="D42" s="113">
        <v>0</v>
      </c>
      <c r="E42" s="112">
        <v>3</v>
      </c>
      <c r="F42" s="113">
        <v>360.9</v>
      </c>
      <c r="G42" s="112">
        <v>0</v>
      </c>
      <c r="H42" s="113">
        <v>0</v>
      </c>
      <c r="I42" s="112">
        <v>0</v>
      </c>
      <c r="J42" s="113">
        <v>0</v>
      </c>
      <c r="K42" s="112">
        <v>0</v>
      </c>
      <c r="L42" s="113">
        <v>0</v>
      </c>
      <c r="M42" s="112">
        <v>0</v>
      </c>
      <c r="N42" s="113">
        <v>0</v>
      </c>
      <c r="O42" s="112">
        <v>0</v>
      </c>
      <c r="P42" s="113">
        <v>0</v>
      </c>
      <c r="Q42" s="112">
        <v>0</v>
      </c>
      <c r="R42" s="113">
        <v>0</v>
      </c>
      <c r="S42" s="112">
        <v>0</v>
      </c>
      <c r="T42" s="113">
        <v>0</v>
      </c>
      <c r="U42" s="112">
        <v>0</v>
      </c>
      <c r="V42" s="113">
        <v>0</v>
      </c>
      <c r="W42" s="112">
        <v>0</v>
      </c>
      <c r="X42" s="113">
        <v>0</v>
      </c>
      <c r="Y42" s="112">
        <v>0</v>
      </c>
      <c r="Z42" s="113">
        <v>0</v>
      </c>
      <c r="AA42" s="112">
        <v>1</v>
      </c>
      <c r="AB42" s="113">
        <v>500</v>
      </c>
      <c r="AC42" s="112">
        <v>0</v>
      </c>
      <c r="AD42" s="113">
        <v>0</v>
      </c>
      <c r="AE42" s="112">
        <v>0</v>
      </c>
      <c r="AF42" s="113">
        <v>0</v>
      </c>
      <c r="AG42" s="112">
        <v>0</v>
      </c>
      <c r="AH42" s="113">
        <v>0</v>
      </c>
      <c r="AI42" s="112">
        <v>0</v>
      </c>
      <c r="AJ42" s="113">
        <v>0</v>
      </c>
      <c r="AK42" s="112">
        <v>0</v>
      </c>
      <c r="AL42" s="113">
        <v>0</v>
      </c>
      <c r="AM42" s="112">
        <v>0</v>
      </c>
      <c r="AN42" s="113">
        <v>0</v>
      </c>
      <c r="AO42" s="112">
        <v>0</v>
      </c>
      <c r="AP42" s="113">
        <v>0</v>
      </c>
      <c r="AQ42" s="112">
        <v>0</v>
      </c>
      <c r="AR42" s="113">
        <v>0</v>
      </c>
      <c r="AS42" s="112">
        <v>0</v>
      </c>
      <c r="AT42" s="113">
        <v>0</v>
      </c>
      <c r="AU42" s="112">
        <v>0</v>
      </c>
      <c r="AV42" s="113">
        <v>0</v>
      </c>
      <c r="AW42" s="112">
        <v>4</v>
      </c>
      <c r="AX42" s="113">
        <v>528.6</v>
      </c>
      <c r="AY42" s="112">
        <v>0</v>
      </c>
      <c r="AZ42" s="113">
        <v>0</v>
      </c>
      <c r="BA42" s="112">
        <v>0</v>
      </c>
      <c r="BB42" s="113">
        <v>0</v>
      </c>
      <c r="BC42" s="112">
        <v>0</v>
      </c>
      <c r="BD42" s="113">
        <v>0</v>
      </c>
      <c r="BE42" s="112">
        <v>0</v>
      </c>
      <c r="BF42" s="113">
        <v>0</v>
      </c>
      <c r="BG42" s="112">
        <v>0</v>
      </c>
      <c r="BH42" s="113">
        <v>0</v>
      </c>
      <c r="BI42" s="112">
        <v>0</v>
      </c>
      <c r="BJ42" s="113">
        <v>0</v>
      </c>
      <c r="BK42" s="112">
        <v>0</v>
      </c>
      <c r="BL42" s="113">
        <v>0</v>
      </c>
      <c r="BM42" s="114" cm="1">
        <f t="array" ref="BM42">SUMPRODUCT((MOD(COLUMN(C42:BL42)-COLUMN(C42),2)=0)*C42:BL42)</f>
        <v>8</v>
      </c>
      <c r="BN42" s="113" cm="1">
        <f t="array" ref="BN42">SUMPRODUCT((MOD(COLUMN(D42:BM42)-COLUMN(D42),2)=0)*D42:BM42)</f>
        <v>1389.5</v>
      </c>
      <c r="CA42" s="83"/>
      <c r="CB42" s="83"/>
      <c r="CC42" s="83"/>
      <c r="CD42" s="83"/>
      <c r="CE42" s="83"/>
      <c r="CF42" s="83"/>
      <c r="CG42" s="83"/>
      <c r="CH42" s="83"/>
      <c r="CI42" s="83"/>
      <c r="CJ42" s="83"/>
      <c r="CK42" s="83"/>
      <c r="CL42" s="83"/>
      <c r="CM42" s="83"/>
      <c r="CN42" s="83"/>
      <c r="CO42" s="83"/>
      <c r="CP42" s="83"/>
    </row>
    <row r="43" spans="1:94" x14ac:dyDescent="0.25">
      <c r="A43" s="79" t="s">
        <v>34</v>
      </c>
      <c r="B43" s="98" t="s">
        <v>9</v>
      </c>
      <c r="C43" s="112">
        <v>7</v>
      </c>
      <c r="D43" s="113">
        <v>3361.7</v>
      </c>
      <c r="E43" s="112">
        <v>6</v>
      </c>
      <c r="F43" s="113">
        <v>4309</v>
      </c>
      <c r="G43" s="112">
        <v>8</v>
      </c>
      <c r="H43" s="113">
        <v>4127.6000000000004</v>
      </c>
      <c r="I43" s="112">
        <v>8</v>
      </c>
      <c r="J43" s="113">
        <v>5621.7</v>
      </c>
      <c r="K43" s="112">
        <v>4</v>
      </c>
      <c r="L43" s="113">
        <v>1783</v>
      </c>
      <c r="M43" s="112">
        <v>6</v>
      </c>
      <c r="N43" s="113">
        <v>2980</v>
      </c>
      <c r="O43" s="112">
        <v>5</v>
      </c>
      <c r="P43" s="113">
        <v>2416.4</v>
      </c>
      <c r="Q43" s="112">
        <v>4</v>
      </c>
      <c r="R43" s="113">
        <v>2439.8000000000002</v>
      </c>
      <c r="S43" s="112">
        <v>3</v>
      </c>
      <c r="T43" s="113">
        <v>1051.3</v>
      </c>
      <c r="U43" s="112">
        <v>6</v>
      </c>
      <c r="V43" s="113">
        <v>2581.5</v>
      </c>
      <c r="W43" s="112">
        <v>4</v>
      </c>
      <c r="X43" s="113">
        <v>1006.9</v>
      </c>
      <c r="Y43" s="112">
        <v>4</v>
      </c>
      <c r="Z43" s="113">
        <v>2561.9</v>
      </c>
      <c r="AA43" s="112">
        <v>6</v>
      </c>
      <c r="AB43" s="113">
        <v>2541.4</v>
      </c>
      <c r="AC43" s="112">
        <v>5</v>
      </c>
      <c r="AD43" s="113">
        <v>1859.9</v>
      </c>
      <c r="AE43" s="112">
        <v>4</v>
      </c>
      <c r="AF43" s="113">
        <v>2812.7</v>
      </c>
      <c r="AG43" s="112">
        <v>7</v>
      </c>
      <c r="AH43" s="113">
        <v>3327</v>
      </c>
      <c r="AI43" s="112">
        <v>7</v>
      </c>
      <c r="AJ43" s="113">
        <v>3676.1</v>
      </c>
      <c r="AK43" s="112">
        <v>3</v>
      </c>
      <c r="AL43" s="113">
        <v>1577</v>
      </c>
      <c r="AM43" s="112">
        <v>10</v>
      </c>
      <c r="AN43" s="113">
        <v>6310.5</v>
      </c>
      <c r="AO43" s="112">
        <v>0</v>
      </c>
      <c r="AP43" s="113">
        <v>0</v>
      </c>
      <c r="AQ43" s="112">
        <v>4</v>
      </c>
      <c r="AR43" s="113">
        <v>1968.1</v>
      </c>
      <c r="AS43" s="112">
        <v>1</v>
      </c>
      <c r="AT43" s="113">
        <v>612</v>
      </c>
      <c r="AU43" s="112">
        <v>4</v>
      </c>
      <c r="AV43" s="113">
        <v>2080</v>
      </c>
      <c r="AW43" s="112">
        <v>3</v>
      </c>
      <c r="AX43" s="113">
        <v>1745.7</v>
      </c>
      <c r="AY43" s="112">
        <v>5</v>
      </c>
      <c r="AZ43" s="113">
        <v>3548.4</v>
      </c>
      <c r="BA43" s="112">
        <v>6</v>
      </c>
      <c r="BB43" s="113">
        <v>3445</v>
      </c>
      <c r="BC43" s="112">
        <v>6</v>
      </c>
      <c r="BD43" s="113">
        <v>3261.3</v>
      </c>
      <c r="BE43" s="112">
        <v>2</v>
      </c>
      <c r="BF43" s="113">
        <v>900</v>
      </c>
      <c r="BG43" s="112">
        <v>4</v>
      </c>
      <c r="BH43" s="113">
        <v>3150.8</v>
      </c>
      <c r="BI43" s="112">
        <v>5</v>
      </c>
      <c r="BJ43" s="113">
        <v>1997.1</v>
      </c>
      <c r="BK43" s="112">
        <v>7</v>
      </c>
      <c r="BL43" s="113">
        <v>4196.6000000000004</v>
      </c>
      <c r="BM43" s="114" cm="1">
        <f t="array" ref="BM43">SUMPRODUCT((MOD(COLUMN(C43:BL43)-COLUMN(C43),2)=0)*C43:BL43)</f>
        <v>154</v>
      </c>
      <c r="BN43" s="113" cm="1">
        <f t="array" ref="BN43">SUMPRODUCT((MOD(COLUMN(D43:BM43)-COLUMN(D43),2)=0)*D43:BM43)</f>
        <v>83250.400000000009</v>
      </c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</row>
    <row r="44" spans="1:94" x14ac:dyDescent="0.25">
      <c r="A44" s="100" t="s">
        <v>36</v>
      </c>
      <c r="B44" s="101"/>
      <c r="C44" s="115">
        <f t="shared" ref="C44:BL44" si="7">SUM(C42:C43)</f>
        <v>7</v>
      </c>
      <c r="D44" s="116">
        <f t="shared" si="7"/>
        <v>3361.7</v>
      </c>
      <c r="E44" s="115">
        <f t="shared" si="7"/>
        <v>9</v>
      </c>
      <c r="F44" s="116">
        <f t="shared" si="7"/>
        <v>4669.8999999999996</v>
      </c>
      <c r="G44" s="115">
        <f t="shared" si="7"/>
        <v>8</v>
      </c>
      <c r="H44" s="116">
        <f t="shared" si="7"/>
        <v>4127.6000000000004</v>
      </c>
      <c r="I44" s="115">
        <f t="shared" si="7"/>
        <v>8</v>
      </c>
      <c r="J44" s="116">
        <f t="shared" si="7"/>
        <v>5621.7</v>
      </c>
      <c r="K44" s="115">
        <f t="shared" si="7"/>
        <v>4</v>
      </c>
      <c r="L44" s="116">
        <f t="shared" si="7"/>
        <v>1783</v>
      </c>
      <c r="M44" s="115">
        <f t="shared" si="7"/>
        <v>6</v>
      </c>
      <c r="N44" s="116">
        <f t="shared" si="7"/>
        <v>2980</v>
      </c>
      <c r="O44" s="115">
        <f t="shared" si="7"/>
        <v>5</v>
      </c>
      <c r="P44" s="116">
        <f t="shared" si="7"/>
        <v>2416.4</v>
      </c>
      <c r="Q44" s="115">
        <f t="shared" si="7"/>
        <v>4</v>
      </c>
      <c r="R44" s="116">
        <f t="shared" si="7"/>
        <v>2439.8000000000002</v>
      </c>
      <c r="S44" s="115">
        <f t="shared" si="7"/>
        <v>3</v>
      </c>
      <c r="T44" s="116">
        <f t="shared" si="7"/>
        <v>1051.3</v>
      </c>
      <c r="U44" s="115">
        <f t="shared" si="7"/>
        <v>6</v>
      </c>
      <c r="V44" s="116">
        <f t="shared" si="7"/>
        <v>2581.5</v>
      </c>
      <c r="W44" s="115">
        <f t="shared" si="7"/>
        <v>4</v>
      </c>
      <c r="X44" s="116">
        <f t="shared" si="7"/>
        <v>1006.9</v>
      </c>
      <c r="Y44" s="115">
        <f t="shared" si="7"/>
        <v>4</v>
      </c>
      <c r="Z44" s="116">
        <f t="shared" si="7"/>
        <v>2561.9</v>
      </c>
      <c r="AA44" s="115">
        <f t="shared" si="7"/>
        <v>7</v>
      </c>
      <c r="AB44" s="116">
        <f t="shared" si="7"/>
        <v>3041.4</v>
      </c>
      <c r="AC44" s="115">
        <f t="shared" si="7"/>
        <v>5</v>
      </c>
      <c r="AD44" s="116">
        <f t="shared" si="7"/>
        <v>1859.9</v>
      </c>
      <c r="AE44" s="115">
        <f t="shared" si="7"/>
        <v>4</v>
      </c>
      <c r="AF44" s="116">
        <f t="shared" si="7"/>
        <v>2812.7</v>
      </c>
      <c r="AG44" s="115">
        <f t="shared" si="7"/>
        <v>7</v>
      </c>
      <c r="AH44" s="116">
        <f t="shared" si="7"/>
        <v>3327</v>
      </c>
      <c r="AI44" s="115">
        <f t="shared" si="7"/>
        <v>7</v>
      </c>
      <c r="AJ44" s="116">
        <f t="shared" si="7"/>
        <v>3676.1</v>
      </c>
      <c r="AK44" s="115">
        <f t="shared" si="7"/>
        <v>3</v>
      </c>
      <c r="AL44" s="116">
        <f t="shared" si="7"/>
        <v>1577</v>
      </c>
      <c r="AM44" s="115">
        <f t="shared" si="7"/>
        <v>10</v>
      </c>
      <c r="AN44" s="116">
        <f t="shared" si="7"/>
        <v>6310.5</v>
      </c>
      <c r="AO44" s="115">
        <f t="shared" si="7"/>
        <v>0</v>
      </c>
      <c r="AP44" s="116">
        <f t="shared" si="7"/>
        <v>0</v>
      </c>
      <c r="AQ44" s="115">
        <f t="shared" si="7"/>
        <v>4</v>
      </c>
      <c r="AR44" s="116">
        <f t="shared" si="7"/>
        <v>1968.1</v>
      </c>
      <c r="AS44" s="115">
        <f t="shared" si="7"/>
        <v>1</v>
      </c>
      <c r="AT44" s="116">
        <f t="shared" si="7"/>
        <v>612</v>
      </c>
      <c r="AU44" s="115">
        <f t="shared" si="7"/>
        <v>4</v>
      </c>
      <c r="AV44" s="116">
        <f t="shared" si="7"/>
        <v>2080</v>
      </c>
      <c r="AW44" s="115">
        <f t="shared" si="7"/>
        <v>7</v>
      </c>
      <c r="AX44" s="116">
        <f t="shared" si="7"/>
        <v>2274.3000000000002</v>
      </c>
      <c r="AY44" s="115">
        <f t="shared" si="7"/>
        <v>5</v>
      </c>
      <c r="AZ44" s="116">
        <f t="shared" si="7"/>
        <v>3548.4</v>
      </c>
      <c r="BA44" s="115">
        <f t="shared" si="7"/>
        <v>6</v>
      </c>
      <c r="BB44" s="116">
        <f t="shared" si="7"/>
        <v>3445</v>
      </c>
      <c r="BC44" s="115">
        <f t="shared" si="7"/>
        <v>6</v>
      </c>
      <c r="BD44" s="116">
        <f t="shared" si="7"/>
        <v>3261.3</v>
      </c>
      <c r="BE44" s="115">
        <f t="shared" si="7"/>
        <v>2</v>
      </c>
      <c r="BF44" s="116">
        <f t="shared" si="7"/>
        <v>900</v>
      </c>
      <c r="BG44" s="115">
        <f t="shared" si="7"/>
        <v>4</v>
      </c>
      <c r="BH44" s="116">
        <f t="shared" si="7"/>
        <v>3150.8</v>
      </c>
      <c r="BI44" s="115">
        <f t="shared" si="7"/>
        <v>5</v>
      </c>
      <c r="BJ44" s="116">
        <f t="shared" si="7"/>
        <v>1997.1</v>
      </c>
      <c r="BK44" s="115">
        <f t="shared" si="7"/>
        <v>7</v>
      </c>
      <c r="BL44" s="116">
        <f t="shared" si="7"/>
        <v>4196.6000000000004</v>
      </c>
      <c r="BM44" s="117">
        <f t="shared" ref="BM44:BN44" si="8">SUM(BM42:BM43)</f>
        <v>162</v>
      </c>
      <c r="BN44" s="116">
        <f t="shared" si="8"/>
        <v>84639.900000000009</v>
      </c>
      <c r="BO44" s="102"/>
      <c r="BP44" s="102"/>
      <c r="BQ44" s="102"/>
      <c r="BR44" s="102"/>
      <c r="BS44" s="102"/>
      <c r="BT44" s="102"/>
      <c r="BU44" s="102"/>
      <c r="BV44" s="102"/>
      <c r="BW44" s="102"/>
      <c r="BX44" s="102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</row>
    <row r="45" spans="1:94" x14ac:dyDescent="0.25">
      <c r="C45" s="118"/>
      <c r="D45" s="119"/>
      <c r="E45" s="118"/>
      <c r="F45" s="119"/>
      <c r="G45" s="118"/>
      <c r="H45" s="119"/>
      <c r="I45" s="118"/>
      <c r="J45" s="119"/>
      <c r="K45" s="118"/>
      <c r="L45" s="119"/>
      <c r="M45" s="118"/>
      <c r="N45" s="119"/>
      <c r="O45" s="118"/>
      <c r="P45" s="119"/>
      <c r="Q45" s="118"/>
      <c r="R45" s="119"/>
      <c r="S45" s="118"/>
      <c r="T45" s="119"/>
      <c r="U45" s="118"/>
      <c r="V45" s="119"/>
      <c r="W45" s="118"/>
      <c r="X45" s="119"/>
      <c r="Y45" s="118"/>
      <c r="Z45" s="119"/>
      <c r="AA45" s="118"/>
      <c r="AB45" s="119"/>
      <c r="AC45" s="118"/>
      <c r="AD45" s="119"/>
      <c r="AE45" s="118"/>
      <c r="AF45" s="119"/>
      <c r="AG45" s="118"/>
      <c r="AH45" s="119"/>
      <c r="AI45" s="118"/>
      <c r="AJ45" s="119"/>
      <c r="AK45" s="118"/>
      <c r="AL45" s="119"/>
      <c r="AM45" s="118"/>
      <c r="AN45" s="119"/>
      <c r="AO45" s="118"/>
      <c r="AP45" s="119"/>
      <c r="AQ45" s="118"/>
      <c r="AR45" s="119"/>
      <c r="AS45" s="118"/>
      <c r="AT45" s="119"/>
      <c r="AU45" s="118"/>
      <c r="AV45" s="119"/>
      <c r="AW45" s="118"/>
      <c r="AX45" s="119"/>
      <c r="AY45" s="118"/>
      <c r="AZ45" s="119"/>
      <c r="BA45" s="118"/>
      <c r="BB45" s="119"/>
      <c r="BC45" s="118"/>
      <c r="BD45" s="119"/>
      <c r="BE45" s="118"/>
      <c r="BF45" s="119"/>
      <c r="BG45" s="118"/>
      <c r="BH45" s="119"/>
      <c r="BI45" s="118"/>
      <c r="BJ45" s="119"/>
      <c r="BK45" s="118"/>
      <c r="BL45" s="119"/>
      <c r="BM45" s="120"/>
      <c r="BN45" s="119"/>
      <c r="CA45" s="83"/>
      <c r="CB45" s="83"/>
      <c r="CC45" s="83"/>
      <c r="CD45" s="83"/>
      <c r="CE45" s="83"/>
      <c r="CF45" s="83"/>
      <c r="CG45" s="83"/>
      <c r="CH45" s="83"/>
      <c r="CI45" s="83"/>
      <c r="CJ45" s="83"/>
      <c r="CK45" s="83"/>
      <c r="CL45" s="83"/>
      <c r="CM45" s="83"/>
      <c r="CN45" s="83"/>
      <c r="CO45" s="83"/>
      <c r="CP45" s="83"/>
    </row>
    <row r="46" spans="1:94" x14ac:dyDescent="0.25">
      <c r="A46" s="92" t="s">
        <v>37</v>
      </c>
      <c r="B46" s="93"/>
      <c r="C46" s="121"/>
      <c r="D46" s="122"/>
      <c r="E46" s="121"/>
      <c r="F46" s="122"/>
      <c r="G46" s="121"/>
      <c r="H46" s="122"/>
      <c r="I46" s="121"/>
      <c r="J46" s="122"/>
      <c r="K46" s="121"/>
      <c r="L46" s="122"/>
      <c r="M46" s="121"/>
      <c r="N46" s="122"/>
      <c r="O46" s="121"/>
      <c r="P46" s="122"/>
      <c r="Q46" s="121"/>
      <c r="R46" s="122"/>
      <c r="S46" s="121"/>
      <c r="T46" s="122"/>
      <c r="U46" s="121"/>
      <c r="V46" s="122"/>
      <c r="W46" s="121"/>
      <c r="X46" s="122"/>
      <c r="Y46" s="121"/>
      <c r="Z46" s="122"/>
      <c r="AA46" s="121"/>
      <c r="AB46" s="122"/>
      <c r="AC46" s="121"/>
      <c r="AD46" s="122"/>
      <c r="AE46" s="121"/>
      <c r="AF46" s="122"/>
      <c r="AG46" s="121"/>
      <c r="AH46" s="122"/>
      <c r="AI46" s="121"/>
      <c r="AJ46" s="122"/>
      <c r="AK46" s="121"/>
      <c r="AL46" s="122"/>
      <c r="AM46" s="121"/>
      <c r="AN46" s="122"/>
      <c r="AO46" s="121"/>
      <c r="AP46" s="122"/>
      <c r="AQ46" s="121"/>
      <c r="AR46" s="122"/>
      <c r="AS46" s="121"/>
      <c r="AT46" s="122"/>
      <c r="AU46" s="121"/>
      <c r="AV46" s="122"/>
      <c r="AW46" s="121"/>
      <c r="AX46" s="122"/>
      <c r="AY46" s="121"/>
      <c r="AZ46" s="122"/>
      <c r="BA46" s="121"/>
      <c r="BB46" s="122"/>
      <c r="BC46" s="121"/>
      <c r="BD46" s="122"/>
      <c r="BE46" s="121"/>
      <c r="BF46" s="122"/>
      <c r="BG46" s="121"/>
      <c r="BH46" s="122"/>
      <c r="BI46" s="121"/>
      <c r="BJ46" s="122"/>
      <c r="BK46" s="121"/>
      <c r="BL46" s="122"/>
      <c r="BM46" s="123"/>
      <c r="BN46" s="122"/>
      <c r="CA46" s="83"/>
      <c r="CB46" s="83"/>
      <c r="CC46" s="83"/>
      <c r="CD46" s="83"/>
      <c r="CE46" s="83"/>
      <c r="CF46" s="83"/>
      <c r="CG46" s="83"/>
      <c r="CH46" s="83"/>
      <c r="CI46" s="83"/>
      <c r="CJ46" s="83"/>
      <c r="CK46" s="83"/>
      <c r="CL46" s="83"/>
      <c r="CM46" s="83"/>
      <c r="CN46" s="83"/>
      <c r="CO46" s="83"/>
      <c r="CP46" s="83"/>
    </row>
    <row r="47" spans="1:94" x14ac:dyDescent="0.25">
      <c r="A47" s="79" t="s">
        <v>38</v>
      </c>
      <c r="B47" s="98" t="s">
        <v>9</v>
      </c>
      <c r="C47" s="112">
        <v>15</v>
      </c>
      <c r="D47" s="113">
        <v>2101.8000000000002</v>
      </c>
      <c r="E47" s="112">
        <v>24</v>
      </c>
      <c r="F47" s="113">
        <v>2563.1999999999998</v>
      </c>
      <c r="G47" s="112">
        <v>18</v>
      </c>
      <c r="H47" s="113">
        <v>2717.3</v>
      </c>
      <c r="I47" s="112">
        <v>18</v>
      </c>
      <c r="J47" s="113">
        <v>2021.8</v>
      </c>
      <c r="K47" s="112">
        <v>19</v>
      </c>
      <c r="L47" s="113">
        <v>2080.1999999999998</v>
      </c>
      <c r="M47" s="112">
        <v>18</v>
      </c>
      <c r="N47" s="113">
        <v>2266.1999999999998</v>
      </c>
      <c r="O47" s="112">
        <v>22</v>
      </c>
      <c r="P47" s="113">
        <v>2421</v>
      </c>
      <c r="Q47" s="112">
        <v>17</v>
      </c>
      <c r="R47" s="113">
        <v>1396.6</v>
      </c>
      <c r="S47" s="112">
        <v>19</v>
      </c>
      <c r="T47" s="113">
        <v>2355.4</v>
      </c>
      <c r="U47" s="112">
        <v>16</v>
      </c>
      <c r="V47" s="113">
        <v>2148</v>
      </c>
      <c r="W47" s="112">
        <v>22</v>
      </c>
      <c r="X47" s="113">
        <v>2933.3</v>
      </c>
      <c r="Y47" s="112">
        <v>18</v>
      </c>
      <c r="Z47" s="113">
        <v>1782.2</v>
      </c>
      <c r="AA47" s="112">
        <v>18</v>
      </c>
      <c r="AB47" s="113">
        <v>3368.8</v>
      </c>
      <c r="AC47" s="112">
        <v>17</v>
      </c>
      <c r="AD47" s="113">
        <v>2445.1999999999998</v>
      </c>
      <c r="AE47" s="112">
        <v>20</v>
      </c>
      <c r="AF47" s="113">
        <v>2354.1</v>
      </c>
      <c r="AG47" s="112">
        <v>22</v>
      </c>
      <c r="AH47" s="113">
        <v>1564.5</v>
      </c>
      <c r="AI47" s="112">
        <v>27</v>
      </c>
      <c r="AJ47" s="113">
        <v>3661.9</v>
      </c>
      <c r="AK47" s="112">
        <v>19</v>
      </c>
      <c r="AL47" s="113">
        <v>1584.9</v>
      </c>
      <c r="AM47" s="112">
        <v>13</v>
      </c>
      <c r="AN47" s="113">
        <v>1869.3</v>
      </c>
      <c r="AO47" s="112">
        <v>2</v>
      </c>
      <c r="AP47" s="113">
        <v>258</v>
      </c>
      <c r="AQ47" s="112">
        <v>15</v>
      </c>
      <c r="AR47" s="113">
        <v>1563.8</v>
      </c>
      <c r="AS47" s="112">
        <v>12</v>
      </c>
      <c r="AT47" s="113">
        <v>1133.2</v>
      </c>
      <c r="AU47" s="112">
        <v>20</v>
      </c>
      <c r="AV47" s="113">
        <v>1766.4</v>
      </c>
      <c r="AW47" s="112">
        <v>21</v>
      </c>
      <c r="AX47" s="113">
        <v>2541.1999999999998</v>
      </c>
      <c r="AY47" s="112">
        <v>21</v>
      </c>
      <c r="AZ47" s="113">
        <v>1627.3</v>
      </c>
      <c r="BA47" s="112">
        <v>14</v>
      </c>
      <c r="BB47" s="113">
        <v>1299</v>
      </c>
      <c r="BC47" s="112">
        <v>20</v>
      </c>
      <c r="BD47" s="113">
        <v>3053.1</v>
      </c>
      <c r="BE47" s="112">
        <v>19</v>
      </c>
      <c r="BF47" s="113">
        <v>1436.1</v>
      </c>
      <c r="BG47" s="112">
        <v>11</v>
      </c>
      <c r="BH47" s="113">
        <v>1586.5</v>
      </c>
      <c r="BI47" s="112">
        <v>13</v>
      </c>
      <c r="BJ47" s="113">
        <v>891.1</v>
      </c>
      <c r="BK47" s="112">
        <v>23</v>
      </c>
      <c r="BL47" s="113">
        <v>2684.8</v>
      </c>
      <c r="BM47" s="114" cm="1">
        <f t="array" ref="BM47">SUMPRODUCT((MOD(COLUMN(C47:BL47)-COLUMN(C47),2)=0)*C47:BL47)</f>
        <v>553</v>
      </c>
      <c r="BN47" s="113" cm="1">
        <f t="array" ref="BN47">SUMPRODUCT((MOD(COLUMN(D47:BM47)-COLUMN(D47),2)=0)*D47:BM47)</f>
        <v>63476.200000000004</v>
      </c>
      <c r="CA47" s="83"/>
      <c r="CB47" s="83"/>
      <c r="CC47" s="83"/>
      <c r="CD47" s="83"/>
      <c r="CE47" s="83"/>
      <c r="CF47" s="83"/>
      <c r="CG47" s="83"/>
      <c r="CH47" s="83"/>
      <c r="CI47" s="83"/>
      <c r="CJ47" s="83"/>
      <c r="CK47" s="83"/>
      <c r="CL47" s="83"/>
      <c r="CM47" s="83"/>
      <c r="CN47" s="83"/>
      <c r="CO47" s="83"/>
      <c r="CP47" s="83"/>
    </row>
    <row r="48" spans="1:94" x14ac:dyDescent="0.25">
      <c r="A48" s="79" t="s">
        <v>39</v>
      </c>
      <c r="B48" s="98" t="s">
        <v>9</v>
      </c>
      <c r="C48" s="112">
        <v>3</v>
      </c>
      <c r="D48" s="113">
        <v>315</v>
      </c>
      <c r="E48" s="112">
        <v>1</v>
      </c>
      <c r="F48" s="113">
        <v>170.1</v>
      </c>
      <c r="G48" s="112">
        <v>2</v>
      </c>
      <c r="H48" s="113">
        <v>228.4</v>
      </c>
      <c r="I48" s="112">
        <v>2</v>
      </c>
      <c r="J48" s="113">
        <v>292.2</v>
      </c>
      <c r="K48" s="112">
        <v>3</v>
      </c>
      <c r="L48" s="113">
        <v>233.9</v>
      </c>
      <c r="M48" s="112">
        <v>4</v>
      </c>
      <c r="N48" s="113">
        <v>493.8</v>
      </c>
      <c r="O48" s="112">
        <v>3</v>
      </c>
      <c r="P48" s="113">
        <v>315.3</v>
      </c>
      <c r="Q48" s="112">
        <v>7</v>
      </c>
      <c r="R48" s="113">
        <v>309.10000000000002</v>
      </c>
      <c r="S48" s="112">
        <v>4</v>
      </c>
      <c r="T48" s="113">
        <v>340.7</v>
      </c>
      <c r="U48" s="112">
        <v>3</v>
      </c>
      <c r="V48" s="113">
        <v>292.60000000000002</v>
      </c>
      <c r="W48" s="112">
        <v>3</v>
      </c>
      <c r="X48" s="113">
        <v>431.2</v>
      </c>
      <c r="Y48" s="112">
        <v>3</v>
      </c>
      <c r="Z48" s="113">
        <v>287.10000000000002</v>
      </c>
      <c r="AA48" s="112">
        <v>2</v>
      </c>
      <c r="AB48" s="113">
        <v>171.1</v>
      </c>
      <c r="AC48" s="112">
        <v>5</v>
      </c>
      <c r="AD48" s="113">
        <v>273.39999999999998</v>
      </c>
      <c r="AE48" s="112">
        <v>4</v>
      </c>
      <c r="AF48" s="113">
        <v>472.9</v>
      </c>
      <c r="AG48" s="112">
        <v>2</v>
      </c>
      <c r="AH48" s="113">
        <v>243.4</v>
      </c>
      <c r="AI48" s="112">
        <v>4</v>
      </c>
      <c r="AJ48" s="113">
        <v>175.6</v>
      </c>
      <c r="AK48" s="112">
        <v>1</v>
      </c>
      <c r="AL48" s="113">
        <v>148.1</v>
      </c>
      <c r="AM48" s="112">
        <v>1</v>
      </c>
      <c r="AN48" s="113">
        <v>95.6</v>
      </c>
      <c r="AO48" s="112">
        <v>0</v>
      </c>
      <c r="AP48" s="113">
        <v>0</v>
      </c>
      <c r="AQ48" s="112">
        <v>1</v>
      </c>
      <c r="AR48" s="113">
        <v>131.69999999999999</v>
      </c>
      <c r="AS48" s="112">
        <v>1</v>
      </c>
      <c r="AT48" s="113">
        <v>155.1</v>
      </c>
      <c r="AU48" s="112">
        <v>2</v>
      </c>
      <c r="AV48" s="113">
        <v>95.7</v>
      </c>
      <c r="AW48" s="112">
        <v>2</v>
      </c>
      <c r="AX48" s="113">
        <v>221</v>
      </c>
      <c r="AY48" s="112">
        <v>1</v>
      </c>
      <c r="AZ48" s="113">
        <v>10</v>
      </c>
      <c r="BA48" s="112">
        <v>1</v>
      </c>
      <c r="BB48" s="113">
        <v>59.2</v>
      </c>
      <c r="BC48" s="112">
        <v>2</v>
      </c>
      <c r="BD48" s="113">
        <v>161.69999999999999</v>
      </c>
      <c r="BE48" s="112">
        <v>1</v>
      </c>
      <c r="BF48" s="113">
        <v>84.9</v>
      </c>
      <c r="BG48" s="112">
        <v>3</v>
      </c>
      <c r="BH48" s="113">
        <v>921.8</v>
      </c>
      <c r="BI48" s="112">
        <v>3</v>
      </c>
      <c r="BJ48" s="113">
        <v>744.4</v>
      </c>
      <c r="BK48" s="112">
        <v>3</v>
      </c>
      <c r="BL48" s="113">
        <v>324</v>
      </c>
      <c r="BM48" s="114" cm="1">
        <f t="array" ref="BM48">SUMPRODUCT((MOD(COLUMN(C48:BL48)-COLUMN(C48),2)=0)*C48:BL48)</f>
        <v>77</v>
      </c>
      <c r="BN48" s="113" cm="1">
        <f t="array" ref="BN48">SUMPRODUCT((MOD(COLUMN(D48:BM48)-COLUMN(D48),2)=0)*D48:BM48)</f>
        <v>8199</v>
      </c>
      <c r="CA48" s="83"/>
      <c r="CB48" s="83"/>
      <c r="CC48" s="83"/>
      <c r="CD48" s="83"/>
      <c r="CE48" s="83"/>
      <c r="CF48" s="83"/>
      <c r="CG48" s="83"/>
      <c r="CH48" s="83"/>
      <c r="CI48" s="83"/>
      <c r="CJ48" s="83"/>
      <c r="CK48" s="83"/>
      <c r="CL48" s="83"/>
      <c r="CM48" s="83"/>
      <c r="CN48" s="83"/>
      <c r="CO48" s="83"/>
      <c r="CP48" s="83"/>
    </row>
    <row r="49" spans="1:94" x14ac:dyDescent="0.25">
      <c r="A49" s="100" t="s">
        <v>40</v>
      </c>
      <c r="B49" s="104"/>
      <c r="C49" s="115">
        <f t="shared" ref="C49:BL49" si="9">SUM(C47:C48)</f>
        <v>18</v>
      </c>
      <c r="D49" s="116">
        <f t="shared" si="9"/>
        <v>2416.8000000000002</v>
      </c>
      <c r="E49" s="115">
        <f t="shared" si="9"/>
        <v>25</v>
      </c>
      <c r="F49" s="116">
        <f t="shared" si="9"/>
        <v>2733.2999999999997</v>
      </c>
      <c r="G49" s="115">
        <f t="shared" si="9"/>
        <v>20</v>
      </c>
      <c r="H49" s="116">
        <f t="shared" si="9"/>
        <v>2945.7000000000003</v>
      </c>
      <c r="I49" s="115">
        <f t="shared" si="9"/>
        <v>20</v>
      </c>
      <c r="J49" s="116">
        <f t="shared" si="9"/>
        <v>2314</v>
      </c>
      <c r="K49" s="115">
        <f t="shared" si="9"/>
        <v>22</v>
      </c>
      <c r="L49" s="116">
        <f t="shared" si="9"/>
        <v>2314.1</v>
      </c>
      <c r="M49" s="115">
        <f t="shared" si="9"/>
        <v>22</v>
      </c>
      <c r="N49" s="116">
        <f t="shared" si="9"/>
        <v>2760</v>
      </c>
      <c r="O49" s="115">
        <f t="shared" si="9"/>
        <v>25</v>
      </c>
      <c r="P49" s="116">
        <f t="shared" si="9"/>
        <v>2736.3</v>
      </c>
      <c r="Q49" s="115">
        <f t="shared" si="9"/>
        <v>24</v>
      </c>
      <c r="R49" s="116">
        <f t="shared" si="9"/>
        <v>1705.6999999999998</v>
      </c>
      <c r="S49" s="115">
        <f t="shared" si="9"/>
        <v>23</v>
      </c>
      <c r="T49" s="116">
        <f t="shared" si="9"/>
        <v>2696.1</v>
      </c>
      <c r="U49" s="115">
        <f t="shared" si="9"/>
        <v>19</v>
      </c>
      <c r="V49" s="116">
        <f t="shared" si="9"/>
        <v>2440.6</v>
      </c>
      <c r="W49" s="115">
        <f t="shared" si="9"/>
        <v>25</v>
      </c>
      <c r="X49" s="116">
        <f t="shared" si="9"/>
        <v>3364.5</v>
      </c>
      <c r="Y49" s="115">
        <f t="shared" si="9"/>
        <v>21</v>
      </c>
      <c r="Z49" s="116">
        <f t="shared" si="9"/>
        <v>2069.3000000000002</v>
      </c>
      <c r="AA49" s="115">
        <f t="shared" si="9"/>
        <v>20</v>
      </c>
      <c r="AB49" s="116">
        <f t="shared" si="9"/>
        <v>3539.9</v>
      </c>
      <c r="AC49" s="115">
        <f t="shared" si="9"/>
        <v>22</v>
      </c>
      <c r="AD49" s="116">
        <f t="shared" si="9"/>
        <v>2718.6</v>
      </c>
      <c r="AE49" s="115">
        <f t="shared" si="9"/>
        <v>24</v>
      </c>
      <c r="AF49" s="116">
        <f t="shared" si="9"/>
        <v>2827</v>
      </c>
      <c r="AG49" s="115">
        <f t="shared" si="9"/>
        <v>24</v>
      </c>
      <c r="AH49" s="116">
        <f t="shared" si="9"/>
        <v>1807.9</v>
      </c>
      <c r="AI49" s="115">
        <f t="shared" si="9"/>
        <v>31</v>
      </c>
      <c r="AJ49" s="116">
        <f t="shared" si="9"/>
        <v>3837.5</v>
      </c>
      <c r="AK49" s="115">
        <f t="shared" si="9"/>
        <v>20</v>
      </c>
      <c r="AL49" s="116">
        <f t="shared" si="9"/>
        <v>1733</v>
      </c>
      <c r="AM49" s="115">
        <f t="shared" si="9"/>
        <v>14</v>
      </c>
      <c r="AN49" s="116">
        <f t="shared" si="9"/>
        <v>1964.8999999999999</v>
      </c>
      <c r="AO49" s="115">
        <f t="shared" si="9"/>
        <v>2</v>
      </c>
      <c r="AP49" s="116">
        <f t="shared" si="9"/>
        <v>258</v>
      </c>
      <c r="AQ49" s="115">
        <f t="shared" si="9"/>
        <v>16</v>
      </c>
      <c r="AR49" s="116">
        <f t="shared" si="9"/>
        <v>1695.5</v>
      </c>
      <c r="AS49" s="115">
        <f t="shared" si="9"/>
        <v>13</v>
      </c>
      <c r="AT49" s="116">
        <f t="shared" si="9"/>
        <v>1288.3</v>
      </c>
      <c r="AU49" s="115">
        <f t="shared" si="9"/>
        <v>22</v>
      </c>
      <c r="AV49" s="116">
        <f t="shared" si="9"/>
        <v>1862.1000000000001</v>
      </c>
      <c r="AW49" s="115">
        <f t="shared" si="9"/>
        <v>23</v>
      </c>
      <c r="AX49" s="116">
        <f t="shared" si="9"/>
        <v>2762.2</v>
      </c>
      <c r="AY49" s="115">
        <f t="shared" si="9"/>
        <v>22</v>
      </c>
      <c r="AZ49" s="116">
        <f t="shared" si="9"/>
        <v>1637.3</v>
      </c>
      <c r="BA49" s="115">
        <f t="shared" si="9"/>
        <v>15</v>
      </c>
      <c r="BB49" s="116">
        <f t="shared" si="9"/>
        <v>1358.2</v>
      </c>
      <c r="BC49" s="115">
        <f t="shared" si="9"/>
        <v>22</v>
      </c>
      <c r="BD49" s="116">
        <f t="shared" si="9"/>
        <v>3214.7999999999997</v>
      </c>
      <c r="BE49" s="115">
        <f t="shared" si="9"/>
        <v>20</v>
      </c>
      <c r="BF49" s="116">
        <f t="shared" si="9"/>
        <v>1521</v>
      </c>
      <c r="BG49" s="115">
        <f t="shared" si="9"/>
        <v>14</v>
      </c>
      <c r="BH49" s="116">
        <f t="shared" si="9"/>
        <v>2508.3000000000002</v>
      </c>
      <c r="BI49" s="115">
        <f t="shared" si="9"/>
        <v>16</v>
      </c>
      <c r="BJ49" s="116">
        <f t="shared" si="9"/>
        <v>1635.5</v>
      </c>
      <c r="BK49" s="115">
        <f t="shared" si="9"/>
        <v>26</v>
      </c>
      <c r="BL49" s="116">
        <f t="shared" si="9"/>
        <v>3008.8</v>
      </c>
      <c r="BM49" s="117">
        <f t="shared" ref="BM49:BN49" si="10">SUM(BM47:BM48)</f>
        <v>630</v>
      </c>
      <c r="BN49" s="116">
        <f t="shared" si="10"/>
        <v>71675.200000000012</v>
      </c>
      <c r="CA49" s="83"/>
      <c r="CB49" s="83"/>
      <c r="CC49" s="83"/>
      <c r="CD49" s="83"/>
      <c r="CE49" s="83"/>
      <c r="CF49" s="83"/>
      <c r="CG49" s="83"/>
      <c r="CH49" s="83"/>
      <c r="CI49" s="83"/>
      <c r="CJ49" s="83"/>
      <c r="CK49" s="83"/>
      <c r="CL49" s="83"/>
      <c r="CM49" s="83"/>
      <c r="CN49" s="83"/>
      <c r="CO49" s="83"/>
      <c r="CP49" s="83"/>
    </row>
    <row r="50" spans="1:94" x14ac:dyDescent="0.25">
      <c r="C50" s="118"/>
      <c r="D50" s="119"/>
      <c r="E50" s="118"/>
      <c r="F50" s="119"/>
      <c r="G50" s="118"/>
      <c r="H50" s="119"/>
      <c r="I50" s="118"/>
      <c r="J50" s="119"/>
      <c r="K50" s="118"/>
      <c r="L50" s="119"/>
      <c r="M50" s="118"/>
      <c r="N50" s="119"/>
      <c r="O50" s="118"/>
      <c r="P50" s="119"/>
      <c r="Q50" s="118"/>
      <c r="R50" s="119"/>
      <c r="S50" s="118"/>
      <c r="T50" s="119"/>
      <c r="U50" s="118"/>
      <c r="V50" s="119"/>
      <c r="W50" s="118"/>
      <c r="X50" s="119"/>
      <c r="Y50" s="118"/>
      <c r="Z50" s="119"/>
      <c r="AA50" s="118"/>
      <c r="AB50" s="119"/>
      <c r="AC50" s="118"/>
      <c r="AD50" s="119"/>
      <c r="AE50" s="118"/>
      <c r="AF50" s="119"/>
      <c r="AG50" s="118"/>
      <c r="AH50" s="119"/>
      <c r="AI50" s="118"/>
      <c r="AJ50" s="119"/>
      <c r="AK50" s="118"/>
      <c r="AL50" s="119"/>
      <c r="AM50" s="118"/>
      <c r="AN50" s="119"/>
      <c r="AO50" s="118"/>
      <c r="AP50" s="119"/>
      <c r="AQ50" s="118"/>
      <c r="AR50" s="119"/>
      <c r="AS50" s="118"/>
      <c r="AT50" s="119"/>
      <c r="AU50" s="118"/>
      <c r="AV50" s="119"/>
      <c r="AW50" s="118"/>
      <c r="AX50" s="119"/>
      <c r="AY50" s="118"/>
      <c r="AZ50" s="119"/>
      <c r="BA50" s="118"/>
      <c r="BB50" s="119"/>
      <c r="BC50" s="118"/>
      <c r="BD50" s="119"/>
      <c r="BE50" s="118"/>
      <c r="BF50" s="119"/>
      <c r="BG50" s="118"/>
      <c r="BH50" s="119"/>
      <c r="BI50" s="118"/>
      <c r="BJ50" s="119"/>
      <c r="BK50" s="118"/>
      <c r="BL50" s="119"/>
      <c r="BM50" s="120"/>
      <c r="BN50" s="119"/>
      <c r="CA50" s="83"/>
      <c r="CB50" s="83"/>
      <c r="CC50" s="83"/>
      <c r="CD50" s="83"/>
      <c r="CE50" s="83"/>
      <c r="CF50" s="83"/>
      <c r="CG50" s="83"/>
      <c r="CH50" s="83"/>
      <c r="CI50" s="83"/>
      <c r="CJ50" s="83"/>
      <c r="CK50" s="83"/>
      <c r="CL50" s="83"/>
      <c r="CM50" s="83"/>
      <c r="CN50" s="83"/>
      <c r="CO50" s="83"/>
      <c r="CP50" s="83"/>
    </row>
    <row r="51" spans="1:94" x14ac:dyDescent="0.25">
      <c r="A51" s="92" t="s">
        <v>41</v>
      </c>
      <c r="B51" s="93"/>
      <c r="C51" s="121"/>
      <c r="D51" s="122"/>
      <c r="E51" s="121"/>
      <c r="F51" s="122"/>
      <c r="G51" s="121"/>
      <c r="H51" s="122"/>
      <c r="I51" s="121"/>
      <c r="J51" s="122"/>
      <c r="K51" s="121"/>
      <c r="L51" s="122"/>
      <c r="M51" s="121"/>
      <c r="N51" s="122"/>
      <c r="O51" s="121"/>
      <c r="P51" s="122"/>
      <c r="Q51" s="121"/>
      <c r="R51" s="122"/>
      <c r="S51" s="121"/>
      <c r="T51" s="122"/>
      <c r="U51" s="121"/>
      <c r="V51" s="122"/>
      <c r="W51" s="121"/>
      <c r="X51" s="122"/>
      <c r="Y51" s="121"/>
      <c r="Z51" s="122"/>
      <c r="AA51" s="121"/>
      <c r="AB51" s="122"/>
      <c r="AC51" s="121"/>
      <c r="AD51" s="122"/>
      <c r="AE51" s="121"/>
      <c r="AF51" s="122"/>
      <c r="AG51" s="121"/>
      <c r="AH51" s="122"/>
      <c r="AI51" s="121"/>
      <c r="AJ51" s="122"/>
      <c r="AK51" s="121"/>
      <c r="AL51" s="122"/>
      <c r="AM51" s="121"/>
      <c r="AN51" s="122"/>
      <c r="AO51" s="121"/>
      <c r="AP51" s="122"/>
      <c r="AQ51" s="121"/>
      <c r="AR51" s="122"/>
      <c r="AS51" s="121"/>
      <c r="AT51" s="122"/>
      <c r="AU51" s="121"/>
      <c r="AV51" s="122"/>
      <c r="AW51" s="121"/>
      <c r="AX51" s="122"/>
      <c r="AY51" s="121"/>
      <c r="AZ51" s="122"/>
      <c r="BA51" s="121"/>
      <c r="BB51" s="122"/>
      <c r="BC51" s="121"/>
      <c r="BD51" s="122"/>
      <c r="BE51" s="121"/>
      <c r="BF51" s="122"/>
      <c r="BG51" s="121"/>
      <c r="BH51" s="122"/>
      <c r="BI51" s="121"/>
      <c r="BJ51" s="122"/>
      <c r="BK51" s="121"/>
      <c r="BL51" s="122"/>
      <c r="BM51" s="123"/>
      <c r="BN51" s="122"/>
      <c r="CA51" s="83"/>
      <c r="CB51" s="83"/>
      <c r="CC51" s="83"/>
      <c r="CD51" s="83"/>
      <c r="CE51" s="83"/>
      <c r="CF51" s="83"/>
      <c r="CG51" s="83"/>
      <c r="CH51" s="83"/>
      <c r="CI51" s="83"/>
      <c r="CJ51" s="83"/>
      <c r="CK51" s="83"/>
      <c r="CL51" s="83"/>
      <c r="CM51" s="83"/>
      <c r="CN51" s="83"/>
      <c r="CO51" s="83"/>
      <c r="CP51" s="83"/>
    </row>
    <row r="52" spans="1:94" x14ac:dyDescent="0.25">
      <c r="A52" s="103" t="s">
        <v>42</v>
      </c>
      <c r="B52" s="98" t="s">
        <v>9</v>
      </c>
      <c r="C52" s="112">
        <v>0</v>
      </c>
      <c r="D52" s="113">
        <v>0</v>
      </c>
      <c r="E52" s="112">
        <v>0</v>
      </c>
      <c r="F52" s="113">
        <v>0</v>
      </c>
      <c r="G52" s="112">
        <v>3</v>
      </c>
      <c r="H52" s="113">
        <v>2437.1</v>
      </c>
      <c r="I52" s="112">
        <v>0</v>
      </c>
      <c r="J52" s="113">
        <v>0</v>
      </c>
      <c r="K52" s="112">
        <v>0</v>
      </c>
      <c r="L52" s="113">
        <v>0</v>
      </c>
      <c r="M52" s="112">
        <v>0</v>
      </c>
      <c r="N52" s="113">
        <v>0</v>
      </c>
      <c r="O52" s="112">
        <v>0</v>
      </c>
      <c r="P52" s="113">
        <v>0</v>
      </c>
      <c r="Q52" s="112">
        <v>0</v>
      </c>
      <c r="R52" s="113">
        <v>0</v>
      </c>
      <c r="S52" s="112">
        <v>0</v>
      </c>
      <c r="T52" s="113">
        <v>0</v>
      </c>
      <c r="U52" s="112">
        <v>2</v>
      </c>
      <c r="V52" s="113">
        <v>1200</v>
      </c>
      <c r="W52" s="112">
        <v>0</v>
      </c>
      <c r="X52" s="113">
        <v>0</v>
      </c>
      <c r="Y52" s="112">
        <v>0</v>
      </c>
      <c r="Z52" s="113">
        <v>0</v>
      </c>
      <c r="AA52" s="112">
        <v>0</v>
      </c>
      <c r="AB52" s="113">
        <v>0</v>
      </c>
      <c r="AC52" s="112">
        <v>0</v>
      </c>
      <c r="AD52" s="113">
        <v>0</v>
      </c>
      <c r="AE52" s="112">
        <v>0</v>
      </c>
      <c r="AF52" s="113">
        <v>0</v>
      </c>
      <c r="AG52" s="112">
        <v>0</v>
      </c>
      <c r="AH52" s="113">
        <v>0</v>
      </c>
      <c r="AI52" s="112">
        <v>2</v>
      </c>
      <c r="AJ52" s="113">
        <v>1604.4</v>
      </c>
      <c r="AK52" s="112">
        <v>0</v>
      </c>
      <c r="AL52" s="113">
        <v>0</v>
      </c>
      <c r="AM52" s="112">
        <v>0</v>
      </c>
      <c r="AN52" s="113">
        <v>0</v>
      </c>
      <c r="AO52" s="112">
        <v>0</v>
      </c>
      <c r="AP52" s="113">
        <v>0</v>
      </c>
      <c r="AQ52" s="112">
        <v>0</v>
      </c>
      <c r="AR52" s="113">
        <v>0</v>
      </c>
      <c r="AS52" s="112">
        <v>0</v>
      </c>
      <c r="AT52" s="113">
        <v>0</v>
      </c>
      <c r="AU52" s="112">
        <v>0</v>
      </c>
      <c r="AV52" s="113">
        <v>0</v>
      </c>
      <c r="AW52" s="112">
        <v>0</v>
      </c>
      <c r="AX52" s="113">
        <v>0</v>
      </c>
      <c r="AY52" s="112">
        <v>1</v>
      </c>
      <c r="AZ52" s="113">
        <v>700</v>
      </c>
      <c r="BA52" s="112">
        <v>0</v>
      </c>
      <c r="BB52" s="113">
        <v>0</v>
      </c>
      <c r="BC52" s="112">
        <v>0</v>
      </c>
      <c r="BD52" s="113">
        <v>0</v>
      </c>
      <c r="BE52" s="112">
        <v>0</v>
      </c>
      <c r="BF52" s="113">
        <v>0</v>
      </c>
      <c r="BG52" s="112">
        <v>0</v>
      </c>
      <c r="BH52" s="113">
        <v>0</v>
      </c>
      <c r="BI52" s="112">
        <v>0</v>
      </c>
      <c r="BJ52" s="113">
        <v>0</v>
      </c>
      <c r="BK52" s="112">
        <v>1</v>
      </c>
      <c r="BL52" s="113">
        <v>1000</v>
      </c>
      <c r="BM52" s="114" cm="1">
        <f t="array" ref="BM52">SUMPRODUCT((MOD(COLUMN(C52:BL52)-COLUMN(C52),2)=0)*C52:BL52)</f>
        <v>9</v>
      </c>
      <c r="BN52" s="113" cm="1">
        <f t="array" ref="BN52">SUMPRODUCT((MOD(COLUMN(D52:BM52)-COLUMN(D52),2)=0)*D52:BM52)</f>
        <v>6941.5</v>
      </c>
      <c r="CA52" s="83"/>
      <c r="CB52" s="83"/>
      <c r="CC52" s="83"/>
      <c r="CD52" s="83"/>
      <c r="CE52" s="83"/>
      <c r="CF52" s="83"/>
      <c r="CG52" s="83"/>
      <c r="CH52" s="83"/>
      <c r="CI52" s="83"/>
      <c r="CJ52" s="83"/>
      <c r="CK52" s="83"/>
      <c r="CL52" s="83"/>
      <c r="CM52" s="83"/>
      <c r="CN52" s="83"/>
      <c r="CO52" s="83"/>
      <c r="CP52" s="83"/>
    </row>
    <row r="53" spans="1:94" x14ac:dyDescent="0.25">
      <c r="A53" s="103" t="s">
        <v>43</v>
      </c>
      <c r="B53" s="98" t="s">
        <v>9</v>
      </c>
      <c r="C53" s="112">
        <v>0</v>
      </c>
      <c r="D53" s="113">
        <v>0</v>
      </c>
      <c r="E53" s="112">
        <v>0</v>
      </c>
      <c r="F53" s="113">
        <v>0</v>
      </c>
      <c r="G53" s="112">
        <v>0</v>
      </c>
      <c r="H53" s="113">
        <v>0</v>
      </c>
      <c r="I53" s="112">
        <v>0</v>
      </c>
      <c r="J53" s="113">
        <v>0</v>
      </c>
      <c r="K53" s="112">
        <v>0</v>
      </c>
      <c r="L53" s="113">
        <v>0</v>
      </c>
      <c r="M53" s="112">
        <v>0</v>
      </c>
      <c r="N53" s="113">
        <v>0</v>
      </c>
      <c r="O53" s="112">
        <v>0</v>
      </c>
      <c r="P53" s="113">
        <v>0</v>
      </c>
      <c r="Q53" s="112">
        <v>0</v>
      </c>
      <c r="R53" s="113">
        <v>0</v>
      </c>
      <c r="S53" s="112">
        <v>0</v>
      </c>
      <c r="T53" s="113">
        <v>0</v>
      </c>
      <c r="U53" s="112">
        <v>0</v>
      </c>
      <c r="V53" s="113">
        <v>0</v>
      </c>
      <c r="W53" s="112">
        <v>0</v>
      </c>
      <c r="X53" s="113">
        <v>0</v>
      </c>
      <c r="Y53" s="112">
        <v>0</v>
      </c>
      <c r="Z53" s="113">
        <v>0</v>
      </c>
      <c r="AA53" s="112">
        <v>0</v>
      </c>
      <c r="AB53" s="113">
        <v>0</v>
      </c>
      <c r="AC53" s="112">
        <v>0</v>
      </c>
      <c r="AD53" s="113">
        <v>0</v>
      </c>
      <c r="AE53" s="112">
        <v>0</v>
      </c>
      <c r="AF53" s="113">
        <v>0</v>
      </c>
      <c r="AG53" s="112">
        <v>0</v>
      </c>
      <c r="AH53" s="113">
        <v>0</v>
      </c>
      <c r="AI53" s="112">
        <v>0</v>
      </c>
      <c r="AJ53" s="113">
        <v>0</v>
      </c>
      <c r="AK53" s="112">
        <v>0</v>
      </c>
      <c r="AL53" s="113">
        <v>0</v>
      </c>
      <c r="AM53" s="112">
        <v>0</v>
      </c>
      <c r="AN53" s="113">
        <v>0</v>
      </c>
      <c r="AO53" s="112">
        <v>0</v>
      </c>
      <c r="AP53" s="113">
        <v>0</v>
      </c>
      <c r="AQ53" s="112">
        <v>0</v>
      </c>
      <c r="AR53" s="113">
        <v>0</v>
      </c>
      <c r="AS53" s="112">
        <v>0</v>
      </c>
      <c r="AT53" s="113">
        <v>0</v>
      </c>
      <c r="AU53" s="112">
        <v>0</v>
      </c>
      <c r="AV53" s="113">
        <v>0</v>
      </c>
      <c r="AW53" s="112">
        <v>0</v>
      </c>
      <c r="AX53" s="113">
        <v>0</v>
      </c>
      <c r="AY53" s="112">
        <v>0</v>
      </c>
      <c r="AZ53" s="113">
        <v>0</v>
      </c>
      <c r="BA53" s="112">
        <v>0</v>
      </c>
      <c r="BB53" s="113">
        <v>0</v>
      </c>
      <c r="BC53" s="112">
        <v>0</v>
      </c>
      <c r="BD53" s="113">
        <v>0</v>
      </c>
      <c r="BE53" s="112">
        <v>0</v>
      </c>
      <c r="BF53" s="113">
        <v>0</v>
      </c>
      <c r="BG53" s="112">
        <v>0</v>
      </c>
      <c r="BH53" s="113">
        <v>0</v>
      </c>
      <c r="BI53" s="112">
        <v>0</v>
      </c>
      <c r="BJ53" s="113">
        <v>0</v>
      </c>
      <c r="BK53" s="112">
        <v>0</v>
      </c>
      <c r="BL53" s="113">
        <v>0</v>
      </c>
      <c r="BM53" s="114" cm="1">
        <f t="array" ref="BM53">SUMPRODUCT((MOD(COLUMN(C53:BL53)-COLUMN(C53),2)=0)*C53:BL53)</f>
        <v>0</v>
      </c>
      <c r="BN53" s="113" cm="1">
        <f t="array" ref="BN53">SUMPRODUCT((MOD(COLUMN(D53:BM53)-COLUMN(D53),2)=0)*D53:BM53)</f>
        <v>0</v>
      </c>
      <c r="CA53" s="83"/>
      <c r="CB53" s="83"/>
      <c r="CC53" s="83"/>
      <c r="CD53" s="83"/>
      <c r="CE53" s="83"/>
      <c r="CF53" s="83"/>
      <c r="CG53" s="83"/>
      <c r="CH53" s="83"/>
      <c r="CI53" s="83"/>
      <c r="CJ53" s="83"/>
      <c r="CK53" s="83"/>
      <c r="CL53" s="83"/>
      <c r="CM53" s="83"/>
      <c r="CN53" s="83"/>
      <c r="CO53" s="83"/>
      <c r="CP53" s="83"/>
    </row>
    <row r="54" spans="1:94" x14ac:dyDescent="0.25">
      <c r="A54" s="103" t="s">
        <v>44</v>
      </c>
      <c r="B54" s="98" t="s">
        <v>9</v>
      </c>
      <c r="C54" s="112">
        <v>3</v>
      </c>
      <c r="D54" s="113">
        <v>2225.4</v>
      </c>
      <c r="E54" s="112">
        <v>2</v>
      </c>
      <c r="F54" s="113">
        <v>301</v>
      </c>
      <c r="G54" s="112">
        <v>2</v>
      </c>
      <c r="H54" s="113">
        <v>230.7</v>
      </c>
      <c r="I54" s="112">
        <v>4</v>
      </c>
      <c r="J54" s="113">
        <v>1974.5</v>
      </c>
      <c r="K54" s="112">
        <v>4</v>
      </c>
      <c r="L54" s="113">
        <v>1499.7</v>
      </c>
      <c r="M54" s="112">
        <v>3</v>
      </c>
      <c r="N54" s="113">
        <v>612.79999999999995</v>
      </c>
      <c r="O54" s="112">
        <v>4</v>
      </c>
      <c r="P54" s="113">
        <v>1742.4</v>
      </c>
      <c r="Q54" s="112">
        <v>3</v>
      </c>
      <c r="R54" s="113">
        <v>308</v>
      </c>
      <c r="S54" s="112">
        <v>1</v>
      </c>
      <c r="T54" s="113">
        <v>138.5</v>
      </c>
      <c r="U54" s="112">
        <v>6</v>
      </c>
      <c r="V54" s="113">
        <v>1997.5</v>
      </c>
      <c r="W54" s="112">
        <v>3</v>
      </c>
      <c r="X54" s="113">
        <v>417.6</v>
      </c>
      <c r="Y54" s="112">
        <v>0</v>
      </c>
      <c r="Z54" s="113">
        <v>0</v>
      </c>
      <c r="AA54" s="112">
        <v>4</v>
      </c>
      <c r="AB54" s="113">
        <v>857.6</v>
      </c>
      <c r="AC54" s="112">
        <v>3</v>
      </c>
      <c r="AD54" s="113">
        <v>1100</v>
      </c>
      <c r="AE54" s="112">
        <v>3</v>
      </c>
      <c r="AF54" s="113">
        <v>710.1</v>
      </c>
      <c r="AG54" s="112">
        <v>6</v>
      </c>
      <c r="AH54" s="113">
        <v>1835.2</v>
      </c>
      <c r="AI54" s="112">
        <v>1</v>
      </c>
      <c r="AJ54" s="113">
        <v>316</v>
      </c>
      <c r="AK54" s="112">
        <v>2</v>
      </c>
      <c r="AL54" s="113">
        <v>700</v>
      </c>
      <c r="AM54" s="112">
        <v>5</v>
      </c>
      <c r="AN54" s="113">
        <v>1103.0999999999999</v>
      </c>
      <c r="AO54" s="112">
        <v>1</v>
      </c>
      <c r="AP54" s="113">
        <v>194.2</v>
      </c>
      <c r="AQ54" s="112">
        <v>4</v>
      </c>
      <c r="AR54" s="113">
        <v>1410.4</v>
      </c>
      <c r="AS54" s="112">
        <v>6</v>
      </c>
      <c r="AT54" s="113">
        <v>830.8</v>
      </c>
      <c r="AU54" s="112">
        <v>2</v>
      </c>
      <c r="AV54" s="113">
        <v>663.9</v>
      </c>
      <c r="AW54" s="112">
        <v>6</v>
      </c>
      <c r="AX54" s="113">
        <v>1099.0999999999999</v>
      </c>
      <c r="AY54" s="112">
        <v>2</v>
      </c>
      <c r="AZ54" s="113">
        <v>199.3</v>
      </c>
      <c r="BA54" s="112">
        <v>5</v>
      </c>
      <c r="BB54" s="113">
        <v>1558.8</v>
      </c>
      <c r="BC54" s="112">
        <v>2</v>
      </c>
      <c r="BD54" s="113">
        <v>164.3</v>
      </c>
      <c r="BE54" s="112">
        <v>4</v>
      </c>
      <c r="BF54" s="113">
        <v>1198.3</v>
      </c>
      <c r="BG54" s="112">
        <v>2</v>
      </c>
      <c r="BH54" s="113">
        <v>517.70000000000005</v>
      </c>
      <c r="BI54" s="112">
        <v>3</v>
      </c>
      <c r="BJ54" s="113">
        <v>1021</v>
      </c>
      <c r="BK54" s="112">
        <v>3</v>
      </c>
      <c r="BL54" s="113">
        <v>725.2</v>
      </c>
      <c r="BM54" s="114" cm="1">
        <f t="array" ref="BM54">SUMPRODUCT((MOD(COLUMN(C54:BL54)-COLUMN(C54),2)=0)*C54:BL54)</f>
        <v>99</v>
      </c>
      <c r="BN54" s="113" cm="1">
        <f t="array" ref="BN54">SUMPRODUCT((MOD(COLUMN(D54:BM54)-COLUMN(D54),2)=0)*D54:BM54)</f>
        <v>27653.1</v>
      </c>
      <c r="CA54" s="83"/>
      <c r="CB54" s="83"/>
      <c r="CC54" s="83"/>
      <c r="CD54" s="83"/>
      <c r="CE54" s="83"/>
      <c r="CF54" s="83"/>
      <c r="CG54" s="83"/>
      <c r="CH54" s="83"/>
      <c r="CI54" s="83"/>
      <c r="CJ54" s="83"/>
      <c r="CK54" s="83"/>
      <c r="CL54" s="83"/>
      <c r="CM54" s="83"/>
      <c r="CN54" s="83"/>
      <c r="CO54" s="83"/>
      <c r="CP54" s="83"/>
    </row>
    <row r="55" spans="1:94" x14ac:dyDescent="0.25">
      <c r="A55" s="100" t="s">
        <v>45</v>
      </c>
      <c r="B55" s="104"/>
      <c r="C55" s="127">
        <f>SUM(C52:C54)</f>
        <v>3</v>
      </c>
      <c r="D55" s="127">
        <f>SUM(D52:D54)</f>
        <v>2225.4</v>
      </c>
      <c r="E55" s="127">
        <f t="shared" ref="E55:BN55" si="11">SUM(E52:E54)</f>
        <v>2</v>
      </c>
      <c r="F55" s="127">
        <f t="shared" si="11"/>
        <v>301</v>
      </c>
      <c r="G55" s="127">
        <f t="shared" si="11"/>
        <v>5</v>
      </c>
      <c r="H55" s="127">
        <f t="shared" si="11"/>
        <v>2667.7999999999997</v>
      </c>
      <c r="I55" s="127">
        <f t="shared" si="11"/>
        <v>4</v>
      </c>
      <c r="J55" s="127">
        <f t="shared" si="11"/>
        <v>1974.5</v>
      </c>
      <c r="K55" s="127">
        <f t="shared" si="11"/>
        <v>4</v>
      </c>
      <c r="L55" s="127">
        <f t="shared" si="11"/>
        <v>1499.7</v>
      </c>
      <c r="M55" s="127">
        <f t="shared" si="11"/>
        <v>3</v>
      </c>
      <c r="N55" s="127">
        <f t="shared" si="11"/>
        <v>612.79999999999995</v>
      </c>
      <c r="O55" s="127">
        <f t="shared" si="11"/>
        <v>4</v>
      </c>
      <c r="P55" s="127">
        <f t="shared" si="11"/>
        <v>1742.4</v>
      </c>
      <c r="Q55" s="127">
        <f t="shared" si="11"/>
        <v>3</v>
      </c>
      <c r="R55" s="127">
        <f t="shared" si="11"/>
        <v>308</v>
      </c>
      <c r="S55" s="127">
        <f t="shared" si="11"/>
        <v>1</v>
      </c>
      <c r="T55" s="127">
        <f t="shared" si="11"/>
        <v>138.5</v>
      </c>
      <c r="U55" s="127">
        <f t="shared" si="11"/>
        <v>8</v>
      </c>
      <c r="V55" s="127">
        <f t="shared" si="11"/>
        <v>3197.5</v>
      </c>
      <c r="W55" s="127">
        <f t="shared" si="11"/>
        <v>3</v>
      </c>
      <c r="X55" s="127">
        <f t="shared" si="11"/>
        <v>417.6</v>
      </c>
      <c r="Y55" s="127">
        <f t="shared" si="11"/>
        <v>0</v>
      </c>
      <c r="Z55" s="127">
        <f t="shared" si="11"/>
        <v>0</v>
      </c>
      <c r="AA55" s="127">
        <f t="shared" si="11"/>
        <v>4</v>
      </c>
      <c r="AB55" s="127">
        <f t="shared" si="11"/>
        <v>857.6</v>
      </c>
      <c r="AC55" s="127">
        <f t="shared" si="11"/>
        <v>3</v>
      </c>
      <c r="AD55" s="127">
        <f t="shared" si="11"/>
        <v>1100</v>
      </c>
      <c r="AE55" s="127">
        <f t="shared" si="11"/>
        <v>3</v>
      </c>
      <c r="AF55" s="127">
        <f t="shared" si="11"/>
        <v>710.1</v>
      </c>
      <c r="AG55" s="127">
        <f t="shared" si="11"/>
        <v>6</v>
      </c>
      <c r="AH55" s="127">
        <f t="shared" si="11"/>
        <v>1835.2</v>
      </c>
      <c r="AI55" s="127">
        <f t="shared" si="11"/>
        <v>3</v>
      </c>
      <c r="AJ55" s="127">
        <f t="shared" si="11"/>
        <v>1920.4</v>
      </c>
      <c r="AK55" s="127">
        <f t="shared" si="11"/>
        <v>2</v>
      </c>
      <c r="AL55" s="127">
        <f t="shared" si="11"/>
        <v>700</v>
      </c>
      <c r="AM55" s="127">
        <f t="shared" si="11"/>
        <v>5</v>
      </c>
      <c r="AN55" s="127">
        <f t="shared" si="11"/>
        <v>1103.0999999999999</v>
      </c>
      <c r="AO55" s="127">
        <f t="shared" si="11"/>
        <v>1</v>
      </c>
      <c r="AP55" s="127">
        <f t="shared" si="11"/>
        <v>194.2</v>
      </c>
      <c r="AQ55" s="127">
        <f t="shared" si="11"/>
        <v>4</v>
      </c>
      <c r="AR55" s="127">
        <f t="shared" si="11"/>
        <v>1410.4</v>
      </c>
      <c r="AS55" s="127">
        <f t="shared" si="11"/>
        <v>6</v>
      </c>
      <c r="AT55" s="127">
        <f t="shared" si="11"/>
        <v>830.8</v>
      </c>
      <c r="AU55" s="127">
        <f t="shared" si="11"/>
        <v>2</v>
      </c>
      <c r="AV55" s="127">
        <f t="shared" si="11"/>
        <v>663.9</v>
      </c>
      <c r="AW55" s="127">
        <f t="shared" si="11"/>
        <v>6</v>
      </c>
      <c r="AX55" s="127">
        <f t="shared" si="11"/>
        <v>1099.0999999999999</v>
      </c>
      <c r="AY55" s="127">
        <f t="shared" si="11"/>
        <v>3</v>
      </c>
      <c r="AZ55" s="127">
        <f t="shared" si="11"/>
        <v>899.3</v>
      </c>
      <c r="BA55" s="127">
        <f t="shared" si="11"/>
        <v>5</v>
      </c>
      <c r="BB55" s="127">
        <f t="shared" si="11"/>
        <v>1558.8</v>
      </c>
      <c r="BC55" s="127">
        <f t="shared" si="11"/>
        <v>2</v>
      </c>
      <c r="BD55" s="127">
        <f t="shared" si="11"/>
        <v>164.3</v>
      </c>
      <c r="BE55" s="127">
        <f t="shared" si="11"/>
        <v>4</v>
      </c>
      <c r="BF55" s="127">
        <f t="shared" si="11"/>
        <v>1198.3</v>
      </c>
      <c r="BG55" s="127">
        <f t="shared" si="11"/>
        <v>2</v>
      </c>
      <c r="BH55" s="127">
        <f t="shared" si="11"/>
        <v>517.70000000000005</v>
      </c>
      <c r="BI55" s="127">
        <f t="shared" si="11"/>
        <v>3</v>
      </c>
      <c r="BJ55" s="127">
        <f t="shared" si="11"/>
        <v>1021</v>
      </c>
      <c r="BK55" s="127">
        <f t="shared" si="11"/>
        <v>4</v>
      </c>
      <c r="BL55" s="127">
        <f t="shared" si="11"/>
        <v>1725.2</v>
      </c>
      <c r="BM55" s="128">
        <f t="shared" si="11"/>
        <v>108</v>
      </c>
      <c r="BN55" s="127">
        <f t="shared" si="11"/>
        <v>34594.6</v>
      </c>
      <c r="CA55" s="83"/>
      <c r="CB55" s="83"/>
      <c r="CC55" s="83"/>
      <c r="CD55" s="83"/>
      <c r="CE55" s="83"/>
      <c r="CF55" s="83"/>
      <c r="CG55" s="83"/>
      <c r="CH55" s="83"/>
      <c r="CI55" s="83"/>
      <c r="CJ55" s="83"/>
      <c r="CK55" s="83"/>
      <c r="CL55" s="83"/>
      <c r="CM55" s="83"/>
      <c r="CN55" s="83"/>
      <c r="CO55" s="83"/>
      <c r="CP55" s="83"/>
    </row>
    <row r="56" spans="1:94" ht="13.5" thickBot="1" x14ac:dyDescent="0.3">
      <c r="A56" s="105"/>
      <c r="B56" s="106"/>
      <c r="C56" s="129"/>
      <c r="D56" s="130"/>
      <c r="E56" s="129"/>
      <c r="F56" s="130"/>
      <c r="G56" s="129"/>
      <c r="H56" s="130"/>
      <c r="I56" s="129"/>
      <c r="J56" s="130"/>
      <c r="K56" s="129"/>
      <c r="L56" s="130"/>
      <c r="M56" s="129"/>
      <c r="N56" s="130"/>
      <c r="O56" s="129"/>
      <c r="P56" s="130"/>
      <c r="Q56" s="129"/>
      <c r="R56" s="130"/>
      <c r="S56" s="129"/>
      <c r="T56" s="130"/>
      <c r="U56" s="129"/>
      <c r="V56" s="130"/>
      <c r="W56" s="129"/>
      <c r="X56" s="130"/>
      <c r="Y56" s="129"/>
      <c r="Z56" s="130"/>
      <c r="AA56" s="129"/>
      <c r="AB56" s="130"/>
      <c r="AC56" s="129"/>
      <c r="AD56" s="130"/>
      <c r="AE56" s="129"/>
      <c r="AF56" s="130"/>
      <c r="AG56" s="129"/>
      <c r="AH56" s="130"/>
      <c r="AI56" s="129"/>
      <c r="AJ56" s="130"/>
      <c r="AK56" s="129"/>
      <c r="AL56" s="130"/>
      <c r="AM56" s="129"/>
      <c r="AN56" s="130"/>
      <c r="AO56" s="129"/>
      <c r="AP56" s="130"/>
      <c r="AQ56" s="129"/>
      <c r="AR56" s="130"/>
      <c r="AS56" s="129"/>
      <c r="AT56" s="130"/>
      <c r="AU56" s="129"/>
      <c r="AV56" s="130"/>
      <c r="AW56" s="129"/>
      <c r="AX56" s="130"/>
      <c r="AY56" s="129"/>
      <c r="AZ56" s="130"/>
      <c r="BA56" s="129"/>
      <c r="BB56" s="130"/>
      <c r="BC56" s="129"/>
      <c r="BD56" s="130"/>
      <c r="BE56" s="129"/>
      <c r="BF56" s="130"/>
      <c r="BG56" s="129"/>
      <c r="BH56" s="130"/>
      <c r="BI56" s="129"/>
      <c r="BJ56" s="130"/>
      <c r="BK56" s="129"/>
      <c r="BL56" s="130"/>
      <c r="BM56" s="131"/>
      <c r="BN56" s="130"/>
      <c r="CA56" s="83"/>
      <c r="CB56" s="83"/>
      <c r="CC56" s="83"/>
      <c r="CD56" s="83"/>
      <c r="CE56" s="83"/>
      <c r="CF56" s="83"/>
      <c r="CG56" s="83"/>
      <c r="CH56" s="83"/>
      <c r="CI56" s="83"/>
      <c r="CJ56" s="83"/>
      <c r="CK56" s="83"/>
      <c r="CL56" s="83"/>
      <c r="CM56" s="83"/>
      <c r="CN56" s="83"/>
      <c r="CO56" s="83"/>
      <c r="CP56" s="83"/>
    </row>
    <row r="57" spans="1:94" x14ac:dyDescent="0.25">
      <c r="A57" s="103" t="s">
        <v>46</v>
      </c>
      <c r="C57" s="124">
        <f t="shared" ref="C57:BN57" si="12">SUM(C55,C49,C44,C39,C32,C26,C17)</f>
        <v>188</v>
      </c>
      <c r="D57" s="125">
        <f t="shared" si="12"/>
        <v>66144.2</v>
      </c>
      <c r="E57" s="124">
        <f t="shared" si="12"/>
        <v>196</v>
      </c>
      <c r="F57" s="125">
        <f t="shared" si="12"/>
        <v>56439.5</v>
      </c>
      <c r="G57" s="124">
        <f t="shared" si="12"/>
        <v>259</v>
      </c>
      <c r="H57" s="125">
        <f t="shared" si="12"/>
        <v>92072.3</v>
      </c>
      <c r="I57" s="124">
        <f t="shared" si="12"/>
        <v>219</v>
      </c>
      <c r="J57" s="125">
        <f t="shared" si="12"/>
        <v>79870.200000000012</v>
      </c>
      <c r="K57" s="124">
        <f t="shared" si="12"/>
        <v>231</v>
      </c>
      <c r="L57" s="125">
        <f t="shared" si="12"/>
        <v>80543.599999999991</v>
      </c>
      <c r="M57" s="124">
        <f t="shared" si="12"/>
        <v>235</v>
      </c>
      <c r="N57" s="125">
        <f t="shared" si="12"/>
        <v>73686.899999999994</v>
      </c>
      <c r="O57" s="124">
        <f t="shared" si="12"/>
        <v>196</v>
      </c>
      <c r="P57" s="125">
        <f t="shared" si="12"/>
        <v>58409.700000000004</v>
      </c>
      <c r="Q57" s="124">
        <f t="shared" si="12"/>
        <v>202</v>
      </c>
      <c r="R57" s="125">
        <f t="shared" si="12"/>
        <v>57478.7</v>
      </c>
      <c r="S57" s="124">
        <f t="shared" si="12"/>
        <v>215</v>
      </c>
      <c r="T57" s="125">
        <f t="shared" si="12"/>
        <v>64254.299999999996</v>
      </c>
      <c r="U57" s="124">
        <f t="shared" si="12"/>
        <v>238</v>
      </c>
      <c r="V57" s="125">
        <f t="shared" si="12"/>
        <v>84463</v>
      </c>
      <c r="W57" s="124">
        <f t="shared" si="12"/>
        <v>209</v>
      </c>
      <c r="X57" s="125">
        <f t="shared" si="12"/>
        <v>67875.599999999991</v>
      </c>
      <c r="Y57" s="124">
        <f t="shared" si="12"/>
        <v>224</v>
      </c>
      <c r="Z57" s="125">
        <f t="shared" si="12"/>
        <v>80898.2</v>
      </c>
      <c r="AA57" s="124">
        <f t="shared" si="12"/>
        <v>214</v>
      </c>
      <c r="AB57" s="125">
        <f t="shared" si="12"/>
        <v>80523.600000000006</v>
      </c>
      <c r="AC57" s="124">
        <f t="shared" si="12"/>
        <v>190</v>
      </c>
      <c r="AD57" s="125">
        <f t="shared" si="12"/>
        <v>60291.8</v>
      </c>
      <c r="AE57" s="124">
        <f t="shared" si="12"/>
        <v>222</v>
      </c>
      <c r="AF57" s="125">
        <f t="shared" si="12"/>
        <v>72126.8</v>
      </c>
      <c r="AG57" s="124">
        <f t="shared" si="12"/>
        <v>201</v>
      </c>
      <c r="AH57" s="125">
        <f t="shared" si="12"/>
        <v>60388.800000000003</v>
      </c>
      <c r="AI57" s="124">
        <f t="shared" si="12"/>
        <v>293</v>
      </c>
      <c r="AJ57" s="125">
        <f t="shared" si="12"/>
        <v>101493.2</v>
      </c>
      <c r="AK57" s="124">
        <f t="shared" si="12"/>
        <v>208</v>
      </c>
      <c r="AL57" s="125">
        <f t="shared" si="12"/>
        <v>71259.899999999994</v>
      </c>
      <c r="AM57" s="124">
        <f t="shared" si="12"/>
        <v>237</v>
      </c>
      <c r="AN57" s="125">
        <f t="shared" si="12"/>
        <v>96213.5</v>
      </c>
      <c r="AO57" s="124">
        <f t="shared" si="12"/>
        <v>6</v>
      </c>
      <c r="AP57" s="125">
        <f t="shared" si="12"/>
        <v>835</v>
      </c>
      <c r="AQ57" s="124">
        <f t="shared" si="12"/>
        <v>188</v>
      </c>
      <c r="AR57" s="125">
        <f t="shared" si="12"/>
        <v>57536.3</v>
      </c>
      <c r="AS57" s="124">
        <f t="shared" si="12"/>
        <v>162</v>
      </c>
      <c r="AT57" s="125">
        <f t="shared" si="12"/>
        <v>52115.3</v>
      </c>
      <c r="AU57" s="124">
        <f t="shared" si="12"/>
        <v>188</v>
      </c>
      <c r="AV57" s="125">
        <f t="shared" si="12"/>
        <v>58100.200000000004</v>
      </c>
      <c r="AW57" s="124">
        <f t="shared" si="12"/>
        <v>265</v>
      </c>
      <c r="AX57" s="125">
        <f t="shared" si="12"/>
        <v>89357.3</v>
      </c>
      <c r="AY57" s="124">
        <f t="shared" si="12"/>
        <v>204</v>
      </c>
      <c r="AZ57" s="125">
        <f t="shared" si="12"/>
        <v>68860.799999999988</v>
      </c>
      <c r="BA57" s="124">
        <f t="shared" si="12"/>
        <v>251</v>
      </c>
      <c r="BB57" s="125">
        <f t="shared" si="12"/>
        <v>96209.8</v>
      </c>
      <c r="BC57" s="124">
        <f t="shared" si="12"/>
        <v>243</v>
      </c>
      <c r="BD57" s="125">
        <f t="shared" si="12"/>
        <v>81843.7</v>
      </c>
      <c r="BE57" s="124">
        <f t="shared" si="12"/>
        <v>168</v>
      </c>
      <c r="BF57" s="125">
        <f t="shared" si="12"/>
        <v>46713.1</v>
      </c>
      <c r="BG57" s="124">
        <f t="shared" si="12"/>
        <v>169</v>
      </c>
      <c r="BH57" s="125">
        <f t="shared" si="12"/>
        <v>62169</v>
      </c>
      <c r="BI57" s="124">
        <f t="shared" si="12"/>
        <v>190</v>
      </c>
      <c r="BJ57" s="125">
        <f t="shared" si="12"/>
        <v>54296.5</v>
      </c>
      <c r="BK57" s="124">
        <f t="shared" si="12"/>
        <v>277</v>
      </c>
      <c r="BL57" s="125">
        <f t="shared" si="12"/>
        <v>101462.20000000001</v>
      </c>
      <c r="BM57" s="126">
        <f t="shared" si="12"/>
        <v>6488</v>
      </c>
      <c r="BN57" s="125">
        <f t="shared" si="12"/>
        <v>2173933</v>
      </c>
      <c r="BO57" s="102"/>
      <c r="BP57" s="102"/>
      <c r="BQ57" s="102"/>
      <c r="BR57" s="102"/>
      <c r="BS57" s="102"/>
      <c r="BT57" s="102"/>
      <c r="BU57" s="102"/>
      <c r="BV57" s="102"/>
      <c r="BW57" s="102"/>
      <c r="BX57" s="102"/>
      <c r="CA57" s="83"/>
      <c r="CB57" s="83"/>
      <c r="CC57" s="83"/>
      <c r="CD57" s="83"/>
      <c r="CE57" s="83"/>
      <c r="CF57" s="83"/>
      <c r="CG57" s="83"/>
      <c r="CH57" s="83"/>
      <c r="CI57" s="83"/>
      <c r="CJ57" s="83"/>
      <c r="CK57" s="83"/>
      <c r="CL57" s="83"/>
      <c r="CM57" s="83"/>
      <c r="CN57" s="83"/>
      <c r="CO57" s="83"/>
      <c r="CP57" s="83"/>
    </row>
    <row r="58" spans="1:94" x14ac:dyDescent="0.25">
      <c r="A58" s="103"/>
      <c r="C58" s="124"/>
      <c r="D58" s="125"/>
      <c r="E58" s="124"/>
      <c r="F58" s="125"/>
      <c r="G58" s="124"/>
      <c r="H58" s="125"/>
      <c r="I58" s="124"/>
      <c r="J58" s="125"/>
      <c r="K58" s="124"/>
      <c r="L58" s="125"/>
      <c r="M58" s="124"/>
      <c r="N58" s="125"/>
      <c r="O58" s="124"/>
      <c r="P58" s="125"/>
      <c r="Q58" s="124"/>
      <c r="R58" s="125"/>
      <c r="S58" s="124"/>
      <c r="T58" s="125"/>
      <c r="U58" s="124"/>
      <c r="V58" s="125"/>
      <c r="W58" s="124"/>
      <c r="X58" s="125"/>
      <c r="Y58" s="124"/>
      <c r="Z58" s="125"/>
      <c r="AA58" s="124"/>
      <c r="AB58" s="125"/>
      <c r="AC58" s="124"/>
      <c r="AD58" s="125"/>
      <c r="AE58" s="124"/>
      <c r="AF58" s="125"/>
      <c r="AG58" s="124"/>
      <c r="AH58" s="125"/>
      <c r="AI58" s="124"/>
      <c r="AJ58" s="125"/>
      <c r="AK58" s="124"/>
      <c r="AL58" s="125"/>
      <c r="AM58" s="124"/>
      <c r="AN58" s="125"/>
      <c r="AO58" s="124"/>
      <c r="AP58" s="125"/>
      <c r="AQ58" s="124"/>
      <c r="AR58" s="125"/>
      <c r="AS58" s="124"/>
      <c r="AT58" s="125"/>
      <c r="AU58" s="124"/>
      <c r="AV58" s="125"/>
      <c r="AW58" s="124"/>
      <c r="AX58" s="125"/>
      <c r="AY58" s="124"/>
      <c r="AZ58" s="125"/>
      <c r="BA58" s="124"/>
      <c r="BB58" s="125"/>
      <c r="BC58" s="124"/>
      <c r="BD58" s="125"/>
      <c r="BE58" s="124"/>
      <c r="BF58" s="125"/>
      <c r="BG58" s="124"/>
      <c r="BH58" s="125"/>
      <c r="BI58" s="124"/>
      <c r="BJ58" s="125"/>
      <c r="BK58" s="124"/>
      <c r="BL58" s="125"/>
      <c r="BM58" s="126"/>
      <c r="BN58" s="125"/>
      <c r="BO58" s="102"/>
      <c r="BP58" s="102"/>
      <c r="BQ58" s="102"/>
      <c r="BR58" s="102"/>
      <c r="BS58" s="102"/>
      <c r="BT58" s="102"/>
      <c r="BU58" s="102"/>
      <c r="BV58" s="102"/>
      <c r="BW58" s="102"/>
      <c r="BX58" s="102"/>
      <c r="CA58" s="83"/>
      <c r="CB58" s="83"/>
      <c r="CC58" s="83"/>
      <c r="CD58" s="83"/>
      <c r="CE58" s="83"/>
      <c r="CF58" s="83"/>
      <c r="CG58" s="83"/>
      <c r="CH58" s="83"/>
      <c r="CI58" s="83"/>
      <c r="CJ58" s="83"/>
      <c r="CK58" s="83"/>
      <c r="CL58" s="83"/>
      <c r="CM58" s="83"/>
      <c r="CN58" s="83"/>
      <c r="CO58" s="83"/>
      <c r="CP58" s="83"/>
    </row>
    <row r="59" spans="1:94" x14ac:dyDescent="0.25">
      <c r="C59" s="118"/>
      <c r="D59" s="80"/>
      <c r="E59" s="118"/>
      <c r="F59" s="80"/>
      <c r="G59" s="118"/>
      <c r="H59" s="80"/>
      <c r="I59" s="118"/>
      <c r="J59" s="80"/>
      <c r="K59" s="118"/>
      <c r="L59" s="80"/>
      <c r="M59" s="118"/>
      <c r="N59" s="80"/>
      <c r="O59" s="118"/>
      <c r="P59" s="80"/>
      <c r="Q59" s="118"/>
      <c r="R59" s="80"/>
      <c r="S59" s="118"/>
      <c r="T59" s="80"/>
      <c r="U59" s="118"/>
      <c r="V59" s="80"/>
      <c r="W59" s="118"/>
      <c r="X59" s="80"/>
      <c r="Y59" s="118"/>
      <c r="Z59" s="80"/>
      <c r="AA59" s="118"/>
      <c r="AB59" s="80"/>
      <c r="AC59" s="118"/>
      <c r="AD59" s="80"/>
      <c r="AE59" s="118"/>
      <c r="AF59" s="80"/>
      <c r="AG59" s="118"/>
      <c r="AH59" s="80"/>
      <c r="AI59" s="118"/>
      <c r="AJ59" s="80"/>
      <c r="AK59" s="118"/>
      <c r="AL59" s="80"/>
      <c r="AM59" s="118"/>
      <c r="AN59" s="80"/>
      <c r="AO59" s="118"/>
      <c r="AP59" s="80"/>
      <c r="AQ59" s="118"/>
      <c r="AR59" s="80"/>
      <c r="AS59" s="118"/>
      <c r="AT59" s="80"/>
      <c r="AU59" s="118"/>
      <c r="AV59" s="80"/>
      <c r="AW59" s="118"/>
      <c r="AX59" s="80"/>
      <c r="AY59" s="118"/>
      <c r="AZ59" s="80"/>
      <c r="BA59" s="118"/>
      <c r="BB59" s="80"/>
      <c r="BC59" s="118"/>
      <c r="BD59" s="80"/>
      <c r="BE59" s="118"/>
      <c r="BF59" s="80"/>
      <c r="BG59" s="118"/>
      <c r="BH59" s="80"/>
      <c r="BI59" s="118"/>
      <c r="BJ59" s="80"/>
      <c r="BK59" s="118"/>
      <c r="BL59" s="80"/>
      <c r="BM59" s="120"/>
      <c r="BN59" s="80"/>
      <c r="CA59" s="83"/>
      <c r="CB59" s="83"/>
      <c r="CC59" s="83"/>
      <c r="CD59" s="83"/>
      <c r="CE59" s="83"/>
      <c r="CF59" s="83"/>
      <c r="CG59" s="83"/>
      <c r="CH59" s="83"/>
      <c r="CI59" s="83"/>
      <c r="CJ59" s="83"/>
      <c r="CK59" s="83"/>
      <c r="CL59" s="83"/>
      <c r="CM59" s="83"/>
      <c r="CN59" s="83"/>
      <c r="CO59" s="83"/>
      <c r="CP59" s="83"/>
    </row>
    <row r="60" spans="1:94" x14ac:dyDescent="0.25">
      <c r="A60" s="92" t="s">
        <v>47</v>
      </c>
      <c r="B60" s="93"/>
      <c r="C60" s="132" t="s">
        <v>48</v>
      </c>
      <c r="D60" s="132" t="s">
        <v>49</v>
      </c>
      <c r="E60" s="132" t="s">
        <v>48</v>
      </c>
      <c r="F60" s="132" t="s">
        <v>49</v>
      </c>
      <c r="G60" s="132" t="s">
        <v>48</v>
      </c>
      <c r="H60" s="132" t="s">
        <v>49</v>
      </c>
      <c r="I60" s="132" t="s">
        <v>48</v>
      </c>
      <c r="J60" s="132" t="s">
        <v>49</v>
      </c>
      <c r="K60" s="132" t="s">
        <v>48</v>
      </c>
      <c r="L60" s="132" t="s">
        <v>49</v>
      </c>
      <c r="M60" s="132" t="s">
        <v>48</v>
      </c>
      <c r="N60" s="132" t="s">
        <v>49</v>
      </c>
      <c r="O60" s="132" t="s">
        <v>48</v>
      </c>
      <c r="P60" s="132" t="s">
        <v>49</v>
      </c>
      <c r="Q60" s="132" t="s">
        <v>48</v>
      </c>
      <c r="R60" s="132" t="s">
        <v>49</v>
      </c>
      <c r="S60" s="132" t="s">
        <v>48</v>
      </c>
      <c r="T60" s="132" t="s">
        <v>49</v>
      </c>
      <c r="U60" s="132" t="s">
        <v>48</v>
      </c>
      <c r="V60" s="132" t="s">
        <v>49</v>
      </c>
      <c r="W60" s="132" t="s">
        <v>48</v>
      </c>
      <c r="X60" s="132" t="s">
        <v>49</v>
      </c>
      <c r="Y60" s="132" t="s">
        <v>48</v>
      </c>
      <c r="Z60" s="132" t="s">
        <v>49</v>
      </c>
      <c r="AA60" s="132" t="s">
        <v>48</v>
      </c>
      <c r="AB60" s="132" t="s">
        <v>49</v>
      </c>
      <c r="AC60" s="132" t="s">
        <v>48</v>
      </c>
      <c r="AD60" s="132" t="s">
        <v>49</v>
      </c>
      <c r="AE60" s="132" t="s">
        <v>48</v>
      </c>
      <c r="AF60" s="132" t="s">
        <v>49</v>
      </c>
      <c r="AG60" s="132" t="s">
        <v>48</v>
      </c>
      <c r="AH60" s="132" t="s">
        <v>49</v>
      </c>
      <c r="AI60" s="132" t="s">
        <v>48</v>
      </c>
      <c r="AJ60" s="132" t="s">
        <v>49</v>
      </c>
      <c r="AK60" s="132" t="s">
        <v>48</v>
      </c>
      <c r="AL60" s="132" t="s">
        <v>49</v>
      </c>
      <c r="AM60" s="132" t="s">
        <v>48</v>
      </c>
      <c r="AN60" s="132" t="s">
        <v>49</v>
      </c>
      <c r="AO60" s="132" t="s">
        <v>48</v>
      </c>
      <c r="AP60" s="132" t="s">
        <v>49</v>
      </c>
      <c r="AQ60" s="132" t="s">
        <v>48</v>
      </c>
      <c r="AR60" s="132" t="s">
        <v>49</v>
      </c>
      <c r="AS60" s="132" t="s">
        <v>48</v>
      </c>
      <c r="AT60" s="132" t="s">
        <v>49</v>
      </c>
      <c r="AU60" s="132" t="s">
        <v>48</v>
      </c>
      <c r="AV60" s="132" t="s">
        <v>49</v>
      </c>
      <c r="AW60" s="132" t="s">
        <v>48</v>
      </c>
      <c r="AX60" s="132" t="s">
        <v>49</v>
      </c>
      <c r="AY60" s="132" t="s">
        <v>48</v>
      </c>
      <c r="AZ60" s="132" t="s">
        <v>49</v>
      </c>
      <c r="BA60" s="132" t="s">
        <v>48</v>
      </c>
      <c r="BB60" s="132" t="s">
        <v>49</v>
      </c>
      <c r="BC60" s="132" t="s">
        <v>48</v>
      </c>
      <c r="BD60" s="132" t="s">
        <v>49</v>
      </c>
      <c r="BE60" s="132" t="s">
        <v>48</v>
      </c>
      <c r="BF60" s="132" t="s">
        <v>49</v>
      </c>
      <c r="BG60" s="132" t="s">
        <v>48</v>
      </c>
      <c r="BH60" s="132" t="s">
        <v>49</v>
      </c>
      <c r="BI60" s="132" t="s">
        <v>48</v>
      </c>
      <c r="BJ60" s="132" t="s">
        <v>49</v>
      </c>
      <c r="BK60" s="132" t="s">
        <v>48</v>
      </c>
      <c r="BL60" s="132" t="s">
        <v>49</v>
      </c>
      <c r="BM60" s="133"/>
      <c r="BN60" s="132" t="s">
        <v>50</v>
      </c>
      <c r="CA60" s="83"/>
      <c r="CB60" s="83"/>
      <c r="CC60" s="83"/>
      <c r="CD60" s="83"/>
      <c r="CE60" s="83"/>
      <c r="CF60" s="83"/>
      <c r="CG60" s="83"/>
      <c r="CH60" s="83"/>
      <c r="CI60" s="83"/>
      <c r="CJ60" s="83"/>
      <c r="CK60" s="83"/>
      <c r="CL60" s="83"/>
      <c r="CM60" s="83"/>
      <c r="CN60" s="83"/>
      <c r="CO60" s="83"/>
      <c r="CP60" s="83"/>
    </row>
    <row r="61" spans="1:94" x14ac:dyDescent="0.25">
      <c r="A61" s="79" t="s">
        <v>51</v>
      </c>
      <c r="B61" s="98" t="s">
        <v>52</v>
      </c>
      <c r="C61" s="134">
        <v>1.8800000000000001E-2</v>
      </c>
      <c r="D61" s="135">
        <f>C61*(D26+D35)</f>
        <v>547.72484000000009</v>
      </c>
      <c r="E61" s="134">
        <v>1.8800000000000001E-2</v>
      </c>
      <c r="F61" s="135">
        <f>E61*(F26+F35)</f>
        <v>453.04428000000007</v>
      </c>
      <c r="G61" s="134">
        <v>1.8800000000000001E-2</v>
      </c>
      <c r="H61" s="135">
        <f>G61*(H26+H35)</f>
        <v>688.48419999999999</v>
      </c>
      <c r="I61" s="134">
        <v>1.8800000000000001E-2</v>
      </c>
      <c r="J61" s="135">
        <f>I61*(J26+J35)</f>
        <v>684.03424000000007</v>
      </c>
      <c r="K61" s="134">
        <v>1.8800000000000001E-2</v>
      </c>
      <c r="L61" s="135">
        <f>K61*(L26+L35)</f>
        <v>581.7829200000001</v>
      </c>
      <c r="M61" s="134">
        <v>1.8800000000000001E-2</v>
      </c>
      <c r="N61" s="135">
        <f>M61*(N26+N35)</f>
        <v>422.41532000000007</v>
      </c>
      <c r="O61" s="134">
        <v>1.8800000000000001E-2</v>
      </c>
      <c r="P61" s="135">
        <f>O61*(P26+P35)</f>
        <v>450.39348000000001</v>
      </c>
      <c r="Q61" s="134">
        <v>1.8800000000000001E-2</v>
      </c>
      <c r="R61" s="135">
        <f>Q61*(R26+R35)</f>
        <v>506.16556000000003</v>
      </c>
      <c r="S61" s="134">
        <v>1.8800000000000001E-2</v>
      </c>
      <c r="T61" s="135">
        <f>S61*(T26+T35)</f>
        <v>520.64343999999994</v>
      </c>
      <c r="U61" s="134">
        <v>1.8800000000000001E-2</v>
      </c>
      <c r="V61" s="135">
        <f>U61*(V26+V35)</f>
        <v>721.72636000000011</v>
      </c>
      <c r="W61" s="134">
        <v>1.8800000000000001E-2</v>
      </c>
      <c r="X61" s="135">
        <f>W61*(X26+X35)</f>
        <v>565.46640000000002</v>
      </c>
      <c r="Y61" s="134">
        <v>1.8800000000000001E-2</v>
      </c>
      <c r="Z61" s="135">
        <f>Y61*(Z26+Z35)</f>
        <v>616.85620000000006</v>
      </c>
      <c r="AA61" s="134">
        <v>1.8800000000000001E-2</v>
      </c>
      <c r="AB61" s="135">
        <f>AA61*(AB26+AB35)</f>
        <v>538.19888000000003</v>
      </c>
      <c r="AC61" s="134">
        <v>1.8800000000000001E-2</v>
      </c>
      <c r="AD61" s="135">
        <f>AC61*(AD26+AD35)</f>
        <v>482.16924</v>
      </c>
      <c r="AE61" s="134">
        <v>1.8800000000000001E-2</v>
      </c>
      <c r="AF61" s="135">
        <f>AE61*(AF26+AF35)</f>
        <v>655.43755999999996</v>
      </c>
      <c r="AG61" s="134">
        <v>1.8800000000000001E-2</v>
      </c>
      <c r="AH61" s="135">
        <f>AG61*(AH26+AH35)</f>
        <v>645.63524000000007</v>
      </c>
      <c r="AI61" s="134">
        <v>1.8800000000000001E-2</v>
      </c>
      <c r="AJ61" s="135">
        <f>AI61*(AJ26+AJ35)</f>
        <v>844.87763999999993</v>
      </c>
      <c r="AK61" s="134">
        <v>1.8800000000000001E-2</v>
      </c>
      <c r="AL61" s="135">
        <f>AK61*(AL26+AL35)</f>
        <v>610.46795999999995</v>
      </c>
      <c r="AM61" s="134">
        <v>1.8800000000000001E-2</v>
      </c>
      <c r="AN61" s="135">
        <f>AM61*(AN26+AN35)</f>
        <v>607.11592000000007</v>
      </c>
      <c r="AO61" s="134">
        <v>1.8800000000000001E-2</v>
      </c>
      <c r="AP61" s="135">
        <f>AO61*(AP26+AP35)</f>
        <v>0</v>
      </c>
      <c r="AQ61" s="134">
        <v>1.8800000000000001E-2</v>
      </c>
      <c r="AR61" s="135">
        <f>AQ61*(AR26+AR35)</f>
        <v>492.09000000000003</v>
      </c>
      <c r="AS61" s="134">
        <v>1.8800000000000001E-2</v>
      </c>
      <c r="AT61" s="135">
        <f>AS61*(AT26+AT35)</f>
        <v>473.5532</v>
      </c>
      <c r="AU61" s="134">
        <v>1.8800000000000001E-2</v>
      </c>
      <c r="AV61" s="135">
        <f>AU61*(AV26+AV35)</f>
        <v>487.45015999999998</v>
      </c>
      <c r="AW61" s="134">
        <v>1.8800000000000001E-2</v>
      </c>
      <c r="AX61" s="135">
        <f>AW61*(AX26+AX35)</f>
        <v>678.20060000000001</v>
      </c>
      <c r="AY61" s="134">
        <v>1.8800000000000001E-2</v>
      </c>
      <c r="AZ61" s="135">
        <f>AY61*(AZ26+AZ35)</f>
        <v>544.69803999999999</v>
      </c>
      <c r="BA61" s="134">
        <v>1.8800000000000001E-2</v>
      </c>
      <c r="BB61" s="135">
        <f>BA61*(BB26+BB35)</f>
        <v>797.97915999999998</v>
      </c>
      <c r="BC61" s="134">
        <v>1.8800000000000001E-2</v>
      </c>
      <c r="BD61" s="135">
        <f>BC61*(BD26+BD35)</f>
        <v>604.24328000000003</v>
      </c>
      <c r="BE61" s="134">
        <v>1.8800000000000001E-2</v>
      </c>
      <c r="BF61" s="135">
        <f>BE61*(BF26+BF35)</f>
        <v>403.1472</v>
      </c>
      <c r="BG61" s="134">
        <v>1.8800000000000001E-2</v>
      </c>
      <c r="BH61" s="135">
        <f>BG61*(BH26+BH35)</f>
        <v>489.98627999999997</v>
      </c>
      <c r="BI61" s="134">
        <v>1.8800000000000001E-2</v>
      </c>
      <c r="BJ61" s="135">
        <f>BI61*(BJ26+BJ35)</f>
        <v>438.80327999999997</v>
      </c>
      <c r="BK61" s="134">
        <v>1.8800000000000001E-2</v>
      </c>
      <c r="BL61" s="135">
        <f>BK61*(BL26+BL35)</f>
        <v>806.37335999999993</v>
      </c>
      <c r="BM61" s="136"/>
      <c r="BN61" s="113" cm="1">
        <f t="array" ref="BN61">SUMPRODUCT((MOD(COLUMN(D61:BM61)-COLUMN(D61),2)=0)*D61:BM61)</f>
        <v>17359.164240000002</v>
      </c>
      <c r="CA61" s="83"/>
      <c r="CB61" s="83"/>
      <c r="CC61" s="83"/>
      <c r="CD61" s="83"/>
      <c r="CE61" s="83"/>
      <c r="CF61" s="83"/>
      <c r="CG61" s="83"/>
      <c r="CH61" s="83"/>
      <c r="CI61" s="83"/>
      <c r="CJ61" s="83"/>
      <c r="CK61" s="83"/>
      <c r="CL61" s="83"/>
      <c r="CM61" s="83"/>
      <c r="CN61" s="83"/>
      <c r="CO61" s="83"/>
      <c r="CP61" s="83"/>
    </row>
    <row r="62" spans="1:94" x14ac:dyDescent="0.25">
      <c r="A62" s="79" t="s">
        <v>7</v>
      </c>
      <c r="B62" s="98" t="s">
        <v>52</v>
      </c>
      <c r="C62" s="134">
        <v>1.8800000000000001E-2</v>
      </c>
      <c r="D62" s="135">
        <f>C62*(D17+D36)</f>
        <v>536.60275999999999</v>
      </c>
      <c r="E62" s="134">
        <v>1.8800000000000001E-2</v>
      </c>
      <c r="F62" s="135">
        <f>E62*(F17+F36)</f>
        <v>428.38620000000003</v>
      </c>
      <c r="G62" s="134">
        <v>1.8800000000000001E-2</v>
      </c>
      <c r="H62" s="135">
        <f>G62*(H17+H36)</f>
        <v>765.0547200000002</v>
      </c>
      <c r="I62" s="134">
        <v>1.8800000000000001E-2</v>
      </c>
      <c r="J62" s="135">
        <f>I62*(J17+J36)</f>
        <v>536.85844000000009</v>
      </c>
      <c r="K62" s="134">
        <v>1.8800000000000001E-2</v>
      </c>
      <c r="L62" s="135">
        <f>K62*(L17+L36)</f>
        <v>793.47468000000003</v>
      </c>
      <c r="M62" s="134">
        <v>1.8800000000000001E-2</v>
      </c>
      <c r="N62" s="135">
        <f>M62*(N17+N36)</f>
        <v>809.74419999999998</v>
      </c>
      <c r="O62" s="134">
        <v>1.8800000000000001E-2</v>
      </c>
      <c r="P62" s="135">
        <f>O62*(P17+P36)</f>
        <v>498.03456000000006</v>
      </c>
      <c r="Q62" s="134">
        <v>1.8800000000000001E-2</v>
      </c>
      <c r="R62" s="135">
        <f>Q62*(R17+R36)</f>
        <v>474.44808</v>
      </c>
      <c r="S62" s="134">
        <v>1.8800000000000001E-2</v>
      </c>
      <c r="T62" s="135">
        <f>S62*(T17+T36)</f>
        <v>527.19524000000001</v>
      </c>
      <c r="U62" s="134">
        <v>1.8800000000000001E-2</v>
      </c>
      <c r="V62" s="135">
        <f>U62*(V17+V36)</f>
        <v>691.20643999999993</v>
      </c>
      <c r="W62" s="134">
        <v>1.8800000000000001E-2</v>
      </c>
      <c r="X62" s="135">
        <f>W62*(X17+X36)</f>
        <v>589.25591999999995</v>
      </c>
      <c r="Y62" s="134">
        <v>1.8800000000000001E-2</v>
      </c>
      <c r="Z62" s="135">
        <f>Y62*(Z17+Z36)</f>
        <v>750.90207999999996</v>
      </c>
      <c r="AA62" s="134">
        <v>1.8800000000000001E-2</v>
      </c>
      <c r="AB62" s="135">
        <f>AA62*(AB17+AB36)</f>
        <v>821.56187999999997</v>
      </c>
      <c r="AC62" s="134">
        <v>1.8800000000000001E-2</v>
      </c>
      <c r="AD62" s="135">
        <f>AC62*(AD17+AD36)</f>
        <v>525.24567999999999</v>
      </c>
      <c r="AE62" s="134">
        <v>1.8800000000000001E-2</v>
      </c>
      <c r="AF62" s="135">
        <f>AE62*(AF17+AF36)</f>
        <v>558.88452000000007</v>
      </c>
      <c r="AG62" s="134">
        <v>1.8800000000000001E-2</v>
      </c>
      <c r="AH62" s="135">
        <f>AG62*(AH17+AH36)</f>
        <v>344.57016000000004</v>
      </c>
      <c r="AI62" s="134">
        <v>1.8800000000000001E-2</v>
      </c>
      <c r="AJ62" s="135">
        <f>AI62*(AJ17+AJ36)</f>
        <v>847.01707999999996</v>
      </c>
      <c r="AK62" s="134">
        <v>1.8800000000000001E-2</v>
      </c>
      <c r="AL62" s="135">
        <f>AK62*(AL17+AL36)</f>
        <v>595.08204000000001</v>
      </c>
      <c r="AM62" s="134">
        <v>1.8800000000000001E-2</v>
      </c>
      <c r="AN62" s="135">
        <f>AM62*(AN17+AN36)</f>
        <v>992.99531999999988</v>
      </c>
      <c r="AO62" s="134">
        <v>1.8800000000000001E-2</v>
      </c>
      <c r="AP62" s="135">
        <f>AO62*(AP17+AP36)</f>
        <v>0</v>
      </c>
      <c r="AQ62" s="134">
        <v>1.8800000000000001E-2</v>
      </c>
      <c r="AR62" s="135">
        <f>AQ62*(AR17+AR36)</f>
        <v>468.64264000000003</v>
      </c>
      <c r="AS62" s="134">
        <v>1.8800000000000001E-2</v>
      </c>
      <c r="AT62" s="135">
        <f>AS62*(AT17+AT36)</f>
        <v>433.22532000000007</v>
      </c>
      <c r="AU62" s="134">
        <v>1.8800000000000001E-2</v>
      </c>
      <c r="AV62" s="135">
        <f>AU62*(AV17+AV36)</f>
        <v>469.67476000000011</v>
      </c>
      <c r="AW62" s="134">
        <v>1.8800000000000001E-2</v>
      </c>
      <c r="AX62" s="135">
        <f>AW62*(AX17+AX36)</f>
        <v>850.48191999999995</v>
      </c>
      <c r="AY62" s="134">
        <v>1.8800000000000001E-2</v>
      </c>
      <c r="AZ62" s="135">
        <f>AY62*(AZ17+AZ36)</f>
        <v>595.35275999999999</v>
      </c>
      <c r="BA62" s="134">
        <v>1.8800000000000001E-2</v>
      </c>
      <c r="BB62" s="135">
        <f>BA62*(BB17+BB36)</f>
        <v>851.1587199999999</v>
      </c>
      <c r="BC62" s="134">
        <v>1.8800000000000001E-2</v>
      </c>
      <c r="BD62" s="135">
        <f>BC62*(BD17+BD36)</f>
        <v>791.00060000000008</v>
      </c>
      <c r="BE62" s="134">
        <v>1.8800000000000001E-2</v>
      </c>
      <c r="BF62" s="135">
        <f>BE62*(BF17+BF36)</f>
        <v>379.4460400000001</v>
      </c>
      <c r="BG62" s="134">
        <v>1.8800000000000001E-2</v>
      </c>
      <c r="BH62" s="135">
        <f>BG62*(BH17+BH36)</f>
        <v>541.05272000000002</v>
      </c>
      <c r="BI62" s="134">
        <v>1.8800000000000001E-2</v>
      </c>
      <c r="BJ62" s="135">
        <f>BI62*(BJ17+BJ36)</f>
        <v>434.32324</v>
      </c>
      <c r="BK62" s="134">
        <v>1.8800000000000001E-2</v>
      </c>
      <c r="BL62" s="135">
        <f>BK62*(BL17+BL36)</f>
        <v>888.53500000000008</v>
      </c>
      <c r="BM62" s="136"/>
      <c r="BN62" s="113" cm="1">
        <f t="array" ref="BN62">SUMPRODUCT((MOD(COLUMN(D62:BM62)-COLUMN(D62),2)=0)*D62:BM62)</f>
        <v>18789.413719999997</v>
      </c>
      <c r="CA62" s="83"/>
      <c r="CB62" s="83"/>
      <c r="CC62" s="83"/>
      <c r="CD62" s="83"/>
      <c r="CE62" s="83"/>
      <c r="CF62" s="83"/>
      <c r="CG62" s="83"/>
      <c r="CH62" s="83"/>
      <c r="CI62" s="83"/>
      <c r="CJ62" s="83"/>
      <c r="CK62" s="83"/>
      <c r="CL62" s="83"/>
      <c r="CM62" s="83"/>
      <c r="CN62" s="83"/>
      <c r="CO62" s="83"/>
      <c r="CP62" s="83"/>
    </row>
    <row r="63" spans="1:94" x14ac:dyDescent="0.25">
      <c r="A63" s="79" t="s">
        <v>53</v>
      </c>
      <c r="B63" s="98" t="s">
        <v>52</v>
      </c>
      <c r="C63" s="134">
        <v>1.8800000000000001E-2</v>
      </c>
      <c r="D63" s="135">
        <f>C63*(D32+D39)</f>
        <v>183.40716000000003</v>
      </c>
      <c r="E63" s="134">
        <v>1.8800000000000001E-2</v>
      </c>
      <c r="F63" s="135">
        <f>E63*(F32+F39)</f>
        <v>231.42799999999997</v>
      </c>
      <c r="G63" s="134">
        <v>1.8800000000000001E-2</v>
      </c>
      <c r="H63" s="135">
        <f>G63*(H32+H39)</f>
        <v>246.18788000000001</v>
      </c>
      <c r="I63" s="134">
        <v>1.8800000000000001E-2</v>
      </c>
      <c r="J63" s="135">
        <f>I63*(J32+J39)</f>
        <v>268.62191999999999</v>
      </c>
      <c r="K63" s="134">
        <v>1.8800000000000001E-2</v>
      </c>
      <c r="L63" s="135">
        <f>K63*(L32+L39)</f>
        <v>372.13848000000007</v>
      </c>
      <c r="M63" s="134">
        <v>1.8800000000000001E-2</v>
      </c>
      <c r="N63" s="135">
        <f>M63*(N32+N39)</f>
        <v>299.70584000000002</v>
      </c>
      <c r="O63" s="134">
        <v>1.8800000000000001E-2</v>
      </c>
      <c r="P63" s="135">
        <f>O63*(P32+P39)</f>
        <v>154.89132000000001</v>
      </c>
      <c r="Q63" s="134">
        <v>1.8800000000000001E-2</v>
      </c>
      <c r="R63" s="135">
        <f>Q63*(R32+R39)</f>
        <v>181.54408000000001</v>
      </c>
      <c r="S63" s="134">
        <v>1.8800000000000001E-2</v>
      </c>
      <c r="T63" s="135">
        <f>S63*(T32+T39)</f>
        <v>248.65067999999999</v>
      </c>
      <c r="U63" s="134">
        <v>1.8800000000000001E-2</v>
      </c>
      <c r="V63" s="135">
        <f>U63*(V32+V39)</f>
        <v>204.37104000000002</v>
      </c>
      <c r="W63" s="134">
        <v>1.8800000000000001E-2</v>
      </c>
      <c r="X63" s="135">
        <f>W63*(X32+X39)</f>
        <v>233.97915999999998</v>
      </c>
      <c r="Y63" s="134">
        <v>1.8800000000000001E-2</v>
      </c>
      <c r="Z63" s="135">
        <f>Y63*(Z32+Z39)</f>
        <v>272.29543999999999</v>
      </c>
      <c r="AA63" s="134">
        <v>1.8800000000000001E-2</v>
      </c>
      <c r="AB63" s="135">
        <f>AA63*(AB32+AB39)</f>
        <v>330.19003999999995</v>
      </c>
      <c r="AC63" s="134">
        <v>1.8800000000000001E-2</v>
      </c>
      <c r="AD63" s="135">
        <f>AC63*(AD32+AD39)</f>
        <v>205.08544000000006</v>
      </c>
      <c r="AE63" s="134">
        <v>1.8800000000000001E-2</v>
      </c>
      <c r="AF63" s="135">
        <f>AE63*(AF32+AF39)</f>
        <v>211.02435999999994</v>
      </c>
      <c r="AG63" s="134">
        <v>1.8800000000000001E-2</v>
      </c>
      <c r="AH63" s="135">
        <f>AG63*(AH32+AH39)</f>
        <v>148.95992000000004</v>
      </c>
      <c r="AI63" s="134">
        <v>1.8800000000000001E-2</v>
      </c>
      <c r="AJ63" s="135">
        <f>AI63*(AJ32+AJ39)</f>
        <v>278.67240000000004</v>
      </c>
      <c r="AK63" s="134">
        <v>1.8800000000000001E-2</v>
      </c>
      <c r="AL63" s="135">
        <f>AK63*(AL32+AL39)</f>
        <v>289.83208000000008</v>
      </c>
      <c r="AM63" s="134">
        <v>1.8800000000000001E-2</v>
      </c>
      <c r="AN63" s="135">
        <f>AM63*(AN32+AN39)</f>
        <v>274.86164000000002</v>
      </c>
      <c r="AO63" s="134">
        <v>1.8800000000000001E-2</v>
      </c>
      <c r="AP63" s="135">
        <f>AO63*(AP32+AP39)</f>
        <v>7.1966399999999995</v>
      </c>
      <c r="AQ63" s="134">
        <v>1.8800000000000001E-2</v>
      </c>
      <c r="AR63" s="135">
        <f>AQ63*(AR32+AR39)</f>
        <v>210.83636000000001</v>
      </c>
      <c r="AS63" s="134">
        <v>1.8800000000000001E-2</v>
      </c>
      <c r="AT63" s="135">
        <f>AS63*(AT32+AT39)</f>
        <v>142.25020000000004</v>
      </c>
      <c r="AU63" s="134">
        <v>1.8800000000000001E-2</v>
      </c>
      <c r="AV63" s="135">
        <f>AU63*(AV32+AV39)</f>
        <v>175.79504000000003</v>
      </c>
      <c r="AW63" s="134">
        <v>1.8800000000000001E-2</v>
      </c>
      <c r="AX63" s="135">
        <f>AW63*(AX32+AX39)</f>
        <v>216.8768</v>
      </c>
      <c r="AY63" s="134">
        <v>1.8800000000000001E-2</v>
      </c>
      <c r="AZ63" s="135">
        <f>AY63*(AZ32+AZ39)</f>
        <v>219.61032</v>
      </c>
      <c r="BA63" s="134">
        <v>1.8800000000000001E-2</v>
      </c>
      <c r="BB63" s="135">
        <f>BA63*(BB32+BB39)</f>
        <v>378.26540000000006</v>
      </c>
      <c r="BC63" s="134">
        <v>1.8800000000000001E-2</v>
      </c>
      <c r="BD63" s="135">
        <f>BC63*(BD32+BD39)</f>
        <v>208.27956000000003</v>
      </c>
      <c r="BE63" s="134">
        <v>1.8800000000000001E-2</v>
      </c>
      <c r="BF63" s="135">
        <f>BE63*(BF32+BF39)</f>
        <v>182.89392000000001</v>
      </c>
      <c r="BG63" s="134">
        <v>1.8800000000000001E-2</v>
      </c>
      <c r="BH63" s="135">
        <f>BG63*(BH32+BH39)</f>
        <v>163.5976</v>
      </c>
      <c r="BI63" s="134">
        <v>1.8800000000000001E-2</v>
      </c>
      <c r="BJ63" s="135">
        <f>BI63*(BJ32+BJ39)</f>
        <v>201.76723999999999</v>
      </c>
      <c r="BK63" s="134">
        <v>1.8800000000000001E-2</v>
      </c>
      <c r="BL63" s="135">
        <f>BK63*(BL32+BL39)</f>
        <v>212.57723999999999</v>
      </c>
      <c r="BM63" s="136"/>
      <c r="BN63" s="113" cm="1">
        <f t="array" ref="BN63">SUMPRODUCT((MOD(COLUMN(D63:BM63)-COLUMN(D63),2)=0)*D63:BM63)</f>
        <v>6955.793200000001</v>
      </c>
      <c r="CA63" s="83"/>
      <c r="CB63" s="83"/>
      <c r="CC63" s="83"/>
      <c r="CD63" s="83"/>
      <c r="CE63" s="83"/>
      <c r="CF63" s="83"/>
      <c r="CG63" s="83"/>
      <c r="CH63" s="83"/>
      <c r="CI63" s="83"/>
      <c r="CJ63" s="83"/>
      <c r="CK63" s="83"/>
      <c r="CL63" s="83"/>
      <c r="CM63" s="83"/>
      <c r="CN63" s="83"/>
      <c r="CO63" s="83"/>
      <c r="CP63" s="83"/>
    </row>
    <row r="64" spans="1:94" x14ac:dyDescent="0.25">
      <c r="A64" s="79" t="s">
        <v>34</v>
      </c>
      <c r="B64" s="98" t="s">
        <v>52</v>
      </c>
      <c r="C64" s="134">
        <v>0.02</v>
      </c>
      <c r="D64" s="135">
        <f>C64*(D38+D44)</f>
        <v>71.385999999999996</v>
      </c>
      <c r="E64" s="134">
        <v>0.02</v>
      </c>
      <c r="F64" s="135">
        <f>E64*(F38+F44)</f>
        <v>93.397999999999996</v>
      </c>
      <c r="G64" s="134">
        <v>0.02</v>
      </c>
      <c r="H64" s="135">
        <f>G64*(H38+H44)</f>
        <v>93.554000000000016</v>
      </c>
      <c r="I64" s="134">
        <v>0.02</v>
      </c>
      <c r="J64" s="135">
        <f>I64*(J38+J44)</f>
        <v>125.49600000000001</v>
      </c>
      <c r="K64" s="134">
        <v>0.02</v>
      </c>
      <c r="L64" s="135">
        <f>K64*(L38+L44)</f>
        <v>50.046000000000006</v>
      </c>
      <c r="M64" s="134">
        <v>0.02</v>
      </c>
      <c r="N64" s="135">
        <f>M64*(N38+N44)</f>
        <v>69.698000000000008</v>
      </c>
      <c r="O64" s="134">
        <v>0.02</v>
      </c>
      <c r="P64" s="135">
        <f>O64*(P38+P44)</f>
        <v>59.326000000000008</v>
      </c>
      <c r="Q64" s="134">
        <v>0.02</v>
      </c>
      <c r="R64" s="135">
        <f>Q64*(R38+R44)</f>
        <v>55.526000000000003</v>
      </c>
      <c r="S64" s="134">
        <v>0.02</v>
      </c>
      <c r="T64" s="135">
        <f>S64*(T38+T44)</f>
        <v>28.713999999999999</v>
      </c>
      <c r="U64" s="134">
        <v>0.02</v>
      </c>
      <c r="V64" s="135">
        <f>U64*(V38+V44)</f>
        <v>63.756000000000007</v>
      </c>
      <c r="W64" s="134">
        <v>0.02</v>
      </c>
      <c r="X64" s="135">
        <f>W64*(X38+X44)</f>
        <v>31.245999999999999</v>
      </c>
      <c r="Y64" s="134">
        <v>0.02</v>
      </c>
      <c r="Z64" s="135">
        <f>Y64*(Z38+Z44)</f>
        <v>61.176000000000002</v>
      </c>
      <c r="AA64" s="134">
        <v>0.02</v>
      </c>
      <c r="AB64" s="135">
        <f>AA64*(AB38+AB44)</f>
        <v>66.054000000000002</v>
      </c>
      <c r="AC64" s="134">
        <v>0.02</v>
      </c>
      <c r="AD64" s="135">
        <f>AC64*(AD38+AD44)</f>
        <v>41.821999999999996</v>
      </c>
      <c r="AE64" s="134">
        <v>0.02</v>
      </c>
      <c r="AF64" s="135">
        <f>AE64*(AF38+AF44)</f>
        <v>68.75</v>
      </c>
      <c r="AG64" s="134">
        <v>0.02</v>
      </c>
      <c r="AH64" s="135">
        <f>AG64*(AH38+AH44)</f>
        <v>73.986000000000004</v>
      </c>
      <c r="AI64" s="134">
        <v>0.02</v>
      </c>
      <c r="AJ64" s="135">
        <f>AI64*(AJ38+AJ44)</f>
        <v>84.62</v>
      </c>
      <c r="AK64" s="134">
        <v>0.02</v>
      </c>
      <c r="AL64" s="135">
        <f>AK64*(AL38+AL44)</f>
        <v>45.643999999999998</v>
      </c>
      <c r="AM64" s="134">
        <v>0.02</v>
      </c>
      <c r="AN64" s="135">
        <f>AM64*(AN38+AN44)</f>
        <v>129.01</v>
      </c>
      <c r="AO64" s="134">
        <v>0.02</v>
      </c>
      <c r="AP64" s="135">
        <f>AO64*(AP38+AP44)</f>
        <v>3.7239999999999998</v>
      </c>
      <c r="AQ64" s="134">
        <v>0.02</v>
      </c>
      <c r="AR64" s="135">
        <f>AQ64*(AR38+AR44)</f>
        <v>47.223999999999997</v>
      </c>
      <c r="AS64" s="134">
        <v>0.02</v>
      </c>
      <c r="AT64" s="135">
        <f>AS64*(AT38+AT44)</f>
        <v>22.355999999999998</v>
      </c>
      <c r="AU64" s="134">
        <v>0.02</v>
      </c>
      <c r="AV64" s="135">
        <f>AU64*(AV38+AV44)</f>
        <v>48.671999999999997</v>
      </c>
      <c r="AW64" s="134">
        <v>0.02</v>
      </c>
      <c r="AX64" s="135">
        <f>AW64*(AX38+AX44)</f>
        <v>45.486000000000004</v>
      </c>
      <c r="AY64" s="134">
        <v>0.02</v>
      </c>
      <c r="AZ64" s="135">
        <f>AY64*(AZ38+AZ44)</f>
        <v>79.094000000000008</v>
      </c>
      <c r="BA64" s="134">
        <v>0.02</v>
      </c>
      <c r="BB64" s="135">
        <f>BA64*(BB38+BB44)</f>
        <v>80.338000000000008</v>
      </c>
      <c r="BC64" s="134">
        <v>0.02</v>
      </c>
      <c r="BD64" s="135">
        <f>BC64*(BD38+BD44)</f>
        <v>76.39800000000001</v>
      </c>
      <c r="BE64" s="134">
        <v>0.02</v>
      </c>
      <c r="BF64" s="135">
        <f>BE64*(BF38+BF44)</f>
        <v>26.838000000000001</v>
      </c>
      <c r="BG64" s="134">
        <v>0.02</v>
      </c>
      <c r="BH64" s="135">
        <f>BG64*(BH38+BH44)</f>
        <v>70.116</v>
      </c>
      <c r="BI64" s="134">
        <v>0.02</v>
      </c>
      <c r="BJ64" s="135">
        <f>BI64*(BJ38+BJ44)</f>
        <v>46.692</v>
      </c>
      <c r="BK64" s="134">
        <v>0.02</v>
      </c>
      <c r="BL64" s="135">
        <f>BK64*(BL38+BL44)</f>
        <v>101.01</v>
      </c>
      <c r="BM64" s="136"/>
      <c r="BN64" s="113" cm="1">
        <f t="array" ref="BN64">SUMPRODUCT((MOD(COLUMN(D64:BM64)-COLUMN(D64),2)=0)*D64:BM64)</f>
        <v>1961.1559999999999</v>
      </c>
      <c r="CA64" s="83"/>
      <c r="CB64" s="83"/>
      <c r="CC64" s="83"/>
      <c r="CD64" s="83"/>
      <c r="CE64" s="83"/>
      <c r="CF64" s="83"/>
      <c r="CG64" s="83"/>
      <c r="CH64" s="83"/>
      <c r="CI64" s="83"/>
      <c r="CJ64" s="83"/>
      <c r="CK64" s="83"/>
      <c r="CL64" s="83"/>
      <c r="CM64" s="83"/>
      <c r="CN64" s="83"/>
      <c r="CO64" s="83"/>
      <c r="CP64" s="83"/>
    </row>
    <row r="65" spans="1:94" x14ac:dyDescent="0.25">
      <c r="C65" s="137"/>
      <c r="D65" s="138"/>
      <c r="E65" s="118"/>
      <c r="F65" s="138"/>
      <c r="G65" s="118"/>
      <c r="H65" s="138"/>
      <c r="I65" s="118"/>
      <c r="J65" s="138"/>
      <c r="K65" s="118"/>
      <c r="L65" s="138"/>
      <c r="M65" s="118"/>
      <c r="N65" s="138"/>
      <c r="O65" s="118"/>
      <c r="P65" s="138"/>
      <c r="Q65" s="118"/>
      <c r="R65" s="138"/>
      <c r="S65" s="118"/>
      <c r="T65" s="138"/>
      <c r="U65" s="118"/>
      <c r="V65" s="138"/>
      <c r="W65" s="118"/>
      <c r="X65" s="138"/>
      <c r="Y65" s="118"/>
      <c r="Z65" s="138"/>
      <c r="AA65" s="118"/>
      <c r="AB65" s="138"/>
      <c r="AC65" s="118"/>
      <c r="AD65" s="138"/>
      <c r="AE65" s="118"/>
      <c r="AF65" s="138"/>
      <c r="AG65" s="118"/>
      <c r="AH65" s="138"/>
      <c r="AI65" s="118"/>
      <c r="AJ65" s="138"/>
      <c r="AK65" s="118"/>
      <c r="AL65" s="138"/>
      <c r="AM65" s="118"/>
      <c r="AN65" s="138"/>
      <c r="AO65" s="118"/>
      <c r="AP65" s="138"/>
      <c r="AQ65" s="118"/>
      <c r="AR65" s="138"/>
      <c r="AS65" s="118"/>
      <c r="AT65" s="138"/>
      <c r="AU65" s="118"/>
      <c r="AV65" s="138"/>
      <c r="AW65" s="118"/>
      <c r="AX65" s="138"/>
      <c r="AY65" s="118"/>
      <c r="AZ65" s="138"/>
      <c r="BA65" s="118"/>
      <c r="BB65" s="138"/>
      <c r="BC65" s="118"/>
      <c r="BD65" s="138"/>
      <c r="BE65" s="118"/>
      <c r="BF65" s="138"/>
      <c r="BG65" s="118"/>
      <c r="BH65" s="138"/>
      <c r="BI65" s="118"/>
      <c r="BJ65" s="138"/>
      <c r="BK65" s="118"/>
      <c r="BL65" s="138"/>
      <c r="BM65" s="120"/>
      <c r="BN65" s="138"/>
      <c r="CA65" s="83"/>
      <c r="CB65" s="83"/>
      <c r="CC65" s="83"/>
      <c r="CD65" s="83"/>
      <c r="CE65" s="83"/>
      <c r="CF65" s="83"/>
      <c r="CG65" s="83"/>
      <c r="CH65" s="83"/>
      <c r="CI65" s="83"/>
      <c r="CJ65" s="83"/>
      <c r="CK65" s="83"/>
      <c r="CL65" s="83"/>
      <c r="CM65" s="83"/>
      <c r="CN65" s="83"/>
      <c r="CO65" s="83"/>
      <c r="CP65" s="83"/>
    </row>
    <row r="66" spans="1:94" x14ac:dyDescent="0.25">
      <c r="A66" s="79" t="s">
        <v>54</v>
      </c>
      <c r="B66" s="98" t="s">
        <v>52</v>
      </c>
      <c r="C66" s="139">
        <v>0.75</v>
      </c>
      <c r="D66" s="140">
        <f>SUM(D61:D63)*C66</f>
        <v>950.80106999999998</v>
      </c>
      <c r="E66" s="139">
        <v>0.75</v>
      </c>
      <c r="F66" s="140">
        <f>SUM(F61:F63)*E66</f>
        <v>834.64386000000013</v>
      </c>
      <c r="G66" s="139">
        <v>0.75</v>
      </c>
      <c r="H66" s="140">
        <f>SUM(H61:H63)*G66</f>
        <v>1274.7951</v>
      </c>
      <c r="I66" s="139">
        <v>0.75</v>
      </c>
      <c r="J66" s="140">
        <f>SUM(J61:J63)*I66</f>
        <v>1117.1359500000001</v>
      </c>
      <c r="K66" s="139">
        <v>0.75</v>
      </c>
      <c r="L66" s="140">
        <f>SUM(L61:L63)*K66</f>
        <v>1310.5470600000001</v>
      </c>
      <c r="M66" s="139">
        <v>0.75</v>
      </c>
      <c r="N66" s="140">
        <f>SUM(N61:N63)*M66</f>
        <v>1148.8990200000003</v>
      </c>
      <c r="O66" s="139">
        <v>0.75</v>
      </c>
      <c r="P66" s="140">
        <f>SUM(P61:P63)*O66</f>
        <v>827.48951999999997</v>
      </c>
      <c r="Q66" s="139">
        <v>0.75</v>
      </c>
      <c r="R66" s="140">
        <f>SUM(R61:R63)*Q66</f>
        <v>871.61829000000012</v>
      </c>
      <c r="S66" s="139">
        <v>0.75</v>
      </c>
      <c r="T66" s="140">
        <f>SUM(T61:T63)*S66</f>
        <v>972.36701999999991</v>
      </c>
      <c r="U66" s="139">
        <v>0.75</v>
      </c>
      <c r="V66" s="140">
        <f>SUM(V61:V63)*U66</f>
        <v>1212.9778799999999</v>
      </c>
      <c r="W66" s="139">
        <v>0.75</v>
      </c>
      <c r="X66" s="140">
        <f>SUM(X61:X63)*W66</f>
        <v>1041.5261099999998</v>
      </c>
      <c r="Y66" s="139">
        <v>0.75</v>
      </c>
      <c r="Z66" s="140">
        <f>SUM(Z61:Z63)*Y66</f>
        <v>1230.0402899999999</v>
      </c>
      <c r="AA66" s="139">
        <v>0.75</v>
      </c>
      <c r="AB66" s="140">
        <f>SUM(AB61:AB63)*AA66</f>
        <v>1267.4630999999999</v>
      </c>
      <c r="AC66" s="139">
        <v>0.75</v>
      </c>
      <c r="AD66" s="140">
        <f>SUM(AD61:AD63)*AC66</f>
        <v>909.37527</v>
      </c>
      <c r="AE66" s="139">
        <v>0.75</v>
      </c>
      <c r="AF66" s="140">
        <f>SUM(AF61:AF63)*AE66</f>
        <v>1069.00983</v>
      </c>
      <c r="AG66" s="139">
        <v>0.75</v>
      </c>
      <c r="AH66" s="140">
        <f>SUM(AH61:AH63)*AG66</f>
        <v>854.37399000000005</v>
      </c>
      <c r="AI66" s="139">
        <v>0.75</v>
      </c>
      <c r="AJ66" s="140">
        <f>SUM(AJ61:AJ63)*AI66</f>
        <v>1477.9253399999998</v>
      </c>
      <c r="AK66" s="139">
        <v>0.75</v>
      </c>
      <c r="AL66" s="140">
        <f>SUM(AL61:AL63)*AK66</f>
        <v>1121.53656</v>
      </c>
      <c r="AM66" s="139">
        <v>0.75</v>
      </c>
      <c r="AN66" s="140">
        <f>SUM(AN61:AN63)*AM66</f>
        <v>1406.22966</v>
      </c>
      <c r="AO66" s="139">
        <v>0.75</v>
      </c>
      <c r="AP66" s="140">
        <f>SUM(AP61:AP63)*AO66</f>
        <v>5.3974799999999998</v>
      </c>
      <c r="AQ66" s="139">
        <v>0.75</v>
      </c>
      <c r="AR66" s="140">
        <f>SUM(AR61:AR63)*AQ66</f>
        <v>878.67674999999997</v>
      </c>
      <c r="AS66" s="139">
        <v>0.75</v>
      </c>
      <c r="AT66" s="140">
        <f>SUM(AT61:AT63)*AS66</f>
        <v>786.77153999999996</v>
      </c>
      <c r="AU66" s="139">
        <v>0.75</v>
      </c>
      <c r="AV66" s="140">
        <f>SUM(AV61:AV63)*AU66</f>
        <v>849.68997000000013</v>
      </c>
      <c r="AW66" s="139">
        <v>0.75</v>
      </c>
      <c r="AX66" s="140">
        <f>SUM(AX61:AX63)*AW66</f>
        <v>1309.1694899999998</v>
      </c>
      <c r="AY66" s="139">
        <v>0.75</v>
      </c>
      <c r="AZ66" s="140">
        <f>SUM(AZ61:AZ63)*AY66</f>
        <v>1019.74584</v>
      </c>
      <c r="BA66" s="139">
        <v>0.75</v>
      </c>
      <c r="BB66" s="140">
        <f>SUM(BB61:BB63)*BA66</f>
        <v>1520.5524599999999</v>
      </c>
      <c r="BC66" s="139">
        <v>0.75</v>
      </c>
      <c r="BD66" s="140">
        <f>SUM(BD61:BD63)*BC66</f>
        <v>1202.64258</v>
      </c>
      <c r="BE66" s="139">
        <v>0.75</v>
      </c>
      <c r="BF66" s="140">
        <f>SUM(BF61:BF63)*BE66</f>
        <v>724.1153700000001</v>
      </c>
      <c r="BG66" s="139">
        <v>0.75</v>
      </c>
      <c r="BH66" s="140">
        <f>SUM(BH61:BH63)*BG66</f>
        <v>895.97745000000009</v>
      </c>
      <c r="BI66" s="139">
        <v>0.75</v>
      </c>
      <c r="BJ66" s="140">
        <f>SUM(BJ61:BJ63)*BI66</f>
        <v>806.17031999999995</v>
      </c>
      <c r="BK66" s="139">
        <v>0.75</v>
      </c>
      <c r="BL66" s="140">
        <f>SUM(BL61:BL63)*BK66</f>
        <v>1430.6142</v>
      </c>
      <c r="BM66" s="141"/>
      <c r="BN66" s="113" cm="1">
        <f t="array" ref="BN66">SUMPRODUCT((MOD(COLUMN(D66:BM66)-COLUMN(D66),2)=0)*D66:BM66)</f>
        <v>32328.27837</v>
      </c>
      <c r="CA66" s="83"/>
      <c r="CB66" s="83"/>
      <c r="CC66" s="83"/>
      <c r="CD66" s="83"/>
      <c r="CE66" s="83"/>
      <c r="CF66" s="83"/>
      <c r="CG66" s="83"/>
      <c r="CH66" s="83"/>
      <c r="CI66" s="83"/>
      <c r="CJ66" s="83"/>
      <c r="CK66" s="83"/>
      <c r="CL66" s="83"/>
      <c r="CM66" s="83"/>
      <c r="CN66" s="83"/>
      <c r="CO66" s="83"/>
      <c r="CP66" s="83"/>
    </row>
    <row r="67" spans="1:94" x14ac:dyDescent="0.25">
      <c r="A67" s="79" t="s">
        <v>55</v>
      </c>
      <c r="B67" s="98"/>
      <c r="C67" s="139">
        <v>0.7</v>
      </c>
      <c r="D67" s="140">
        <f>C67*D64</f>
        <v>49.970199999999991</v>
      </c>
      <c r="E67" s="139">
        <v>0.7</v>
      </c>
      <c r="F67" s="140">
        <f t="shared" ref="F67" si="13">E67*F64</f>
        <v>65.378599999999992</v>
      </c>
      <c r="G67" s="139">
        <v>0.7</v>
      </c>
      <c r="H67" s="140">
        <f t="shared" ref="H67" si="14">G67*H64</f>
        <v>65.487800000000007</v>
      </c>
      <c r="I67" s="139">
        <v>0.7</v>
      </c>
      <c r="J67" s="140">
        <f t="shared" ref="J67" si="15">I67*J64</f>
        <v>87.847200000000001</v>
      </c>
      <c r="K67" s="139">
        <v>0.7</v>
      </c>
      <c r="L67" s="140">
        <f t="shared" ref="L67" si="16">K67*L64</f>
        <v>35.032200000000003</v>
      </c>
      <c r="M67" s="139">
        <v>0.7</v>
      </c>
      <c r="N67" s="140">
        <f t="shared" ref="N67" si="17">M67*N64</f>
        <v>48.788600000000002</v>
      </c>
      <c r="O67" s="139">
        <v>0.7</v>
      </c>
      <c r="P67" s="140">
        <f t="shared" ref="P67" si="18">O67*P64</f>
        <v>41.528200000000005</v>
      </c>
      <c r="Q67" s="139">
        <v>0.7</v>
      </c>
      <c r="R67" s="140">
        <f t="shared" ref="R67" si="19">Q67*R64</f>
        <v>38.868200000000002</v>
      </c>
      <c r="S67" s="139">
        <v>0.7</v>
      </c>
      <c r="T67" s="140">
        <f t="shared" ref="T67" si="20">S67*T64</f>
        <v>20.099799999999998</v>
      </c>
      <c r="U67" s="139">
        <v>0.7</v>
      </c>
      <c r="V67" s="140">
        <f t="shared" ref="V67" si="21">U67*V64</f>
        <v>44.629200000000004</v>
      </c>
      <c r="W67" s="139">
        <v>0.7</v>
      </c>
      <c r="X67" s="140">
        <f t="shared" ref="X67" si="22">W67*X64</f>
        <v>21.872199999999999</v>
      </c>
      <c r="Y67" s="139">
        <v>0.7</v>
      </c>
      <c r="Z67" s="140">
        <f t="shared" ref="Z67" si="23">Y67*Z64</f>
        <v>42.8232</v>
      </c>
      <c r="AA67" s="139">
        <v>0.7</v>
      </c>
      <c r="AB67" s="140">
        <f t="shared" ref="AB67" si="24">AA67*AB64</f>
        <v>46.2378</v>
      </c>
      <c r="AC67" s="139">
        <v>0.7</v>
      </c>
      <c r="AD67" s="140">
        <f t="shared" ref="AD67" si="25">AC67*AD64</f>
        <v>29.275399999999994</v>
      </c>
      <c r="AE67" s="139">
        <v>0.7</v>
      </c>
      <c r="AF67" s="140">
        <f t="shared" ref="AF67" si="26">AE67*AF64</f>
        <v>48.125</v>
      </c>
      <c r="AG67" s="139">
        <v>0.7</v>
      </c>
      <c r="AH67" s="140">
        <f t="shared" ref="AH67" si="27">AG67*AH64</f>
        <v>51.790199999999999</v>
      </c>
      <c r="AI67" s="139">
        <v>0.7</v>
      </c>
      <c r="AJ67" s="140">
        <f t="shared" ref="AJ67" si="28">AI67*AJ64</f>
        <v>59.234000000000002</v>
      </c>
      <c r="AK67" s="139">
        <v>0.7</v>
      </c>
      <c r="AL67" s="140">
        <f t="shared" ref="AL67" si="29">AK67*AL64</f>
        <v>31.950799999999997</v>
      </c>
      <c r="AM67" s="139">
        <v>0.7</v>
      </c>
      <c r="AN67" s="140">
        <f t="shared" ref="AN67" si="30">AM67*AN64</f>
        <v>90.306999999999988</v>
      </c>
      <c r="AO67" s="139">
        <v>0.7</v>
      </c>
      <c r="AP67" s="140">
        <f t="shared" ref="AP67" si="31">AO67*AP64</f>
        <v>2.6067999999999998</v>
      </c>
      <c r="AQ67" s="139">
        <v>0.7</v>
      </c>
      <c r="AR67" s="140">
        <f t="shared" ref="AR67" si="32">AQ67*AR64</f>
        <v>33.056799999999996</v>
      </c>
      <c r="AS67" s="139">
        <v>0.7</v>
      </c>
      <c r="AT67" s="140">
        <f t="shared" ref="AT67" si="33">AS67*AT64</f>
        <v>15.649199999999997</v>
      </c>
      <c r="AU67" s="139">
        <v>0.7</v>
      </c>
      <c r="AV67" s="140">
        <f t="shared" ref="AV67" si="34">AU67*AV64</f>
        <v>34.070399999999992</v>
      </c>
      <c r="AW67" s="139">
        <v>0.7</v>
      </c>
      <c r="AX67" s="140">
        <f t="shared" ref="AX67" si="35">AW67*AX64</f>
        <v>31.840199999999999</v>
      </c>
      <c r="AY67" s="139">
        <v>0.7</v>
      </c>
      <c r="AZ67" s="140">
        <f t="shared" ref="AZ67" si="36">AY67*AZ64</f>
        <v>55.3658</v>
      </c>
      <c r="BA67" s="139">
        <v>0.7</v>
      </c>
      <c r="BB67" s="140">
        <f t="shared" ref="BB67" si="37">BA67*BB64</f>
        <v>56.236600000000003</v>
      </c>
      <c r="BC67" s="139">
        <v>0.7</v>
      </c>
      <c r="BD67" s="140">
        <f t="shared" ref="BD67" si="38">BC67*BD64</f>
        <v>53.478600000000007</v>
      </c>
      <c r="BE67" s="139">
        <v>0.7</v>
      </c>
      <c r="BF67" s="140">
        <f t="shared" ref="BF67" si="39">BE67*BF64</f>
        <v>18.7866</v>
      </c>
      <c r="BG67" s="139">
        <v>0.7</v>
      </c>
      <c r="BH67" s="140">
        <f t="shared" ref="BH67" si="40">BG67*BH64</f>
        <v>49.081199999999995</v>
      </c>
      <c r="BI67" s="139">
        <v>0.7</v>
      </c>
      <c r="BJ67" s="140">
        <f t="shared" ref="BJ67" si="41">BI67*BJ64</f>
        <v>32.684399999999997</v>
      </c>
      <c r="BK67" s="139">
        <v>0.7</v>
      </c>
      <c r="BL67" s="140">
        <f t="shared" ref="BL67" si="42">BK67*BL64</f>
        <v>70.706999999999994</v>
      </c>
      <c r="BM67" s="141"/>
      <c r="BN67" s="113" cm="1">
        <f t="array" ref="BN67">SUMPRODUCT((MOD(COLUMN(D67:BM67)-COLUMN(D67),2)=0)*D67:BM67)</f>
        <v>1372.8092000000001</v>
      </c>
      <c r="CA67" s="83"/>
      <c r="CB67" s="83"/>
      <c r="CC67" s="83"/>
      <c r="CD67" s="83"/>
      <c r="CE67" s="83"/>
      <c r="CF67" s="83"/>
      <c r="CG67" s="83"/>
      <c r="CH67" s="83"/>
      <c r="CI67" s="83"/>
      <c r="CJ67" s="83"/>
      <c r="CK67" s="83"/>
      <c r="CL67" s="83"/>
      <c r="CM67" s="83"/>
      <c r="CN67" s="83"/>
      <c r="CO67" s="83"/>
      <c r="CP67" s="83"/>
    </row>
    <row r="68" spans="1:94" x14ac:dyDescent="0.25">
      <c r="A68" s="79" t="s">
        <v>56</v>
      </c>
      <c r="B68" s="98" t="s">
        <v>52</v>
      </c>
      <c r="C68" s="139">
        <v>0.25</v>
      </c>
      <c r="D68" s="140">
        <f>SUM(D61:D63)*C68</f>
        <v>316.93369000000001</v>
      </c>
      <c r="E68" s="139">
        <v>0.25</v>
      </c>
      <c r="F68" s="140">
        <f>SUM(F61:F63)*E68</f>
        <v>278.21462000000002</v>
      </c>
      <c r="G68" s="139">
        <v>0.25</v>
      </c>
      <c r="H68" s="140">
        <f>SUM(H61:H63)*G68</f>
        <v>424.93170000000003</v>
      </c>
      <c r="I68" s="139">
        <v>0.25</v>
      </c>
      <c r="J68" s="140">
        <f>SUM(J61:J63)*I68</f>
        <v>372.37865000000005</v>
      </c>
      <c r="K68" s="139">
        <v>0.25</v>
      </c>
      <c r="L68" s="140">
        <f>SUM(L61:L63)*K68</f>
        <v>436.84902000000005</v>
      </c>
      <c r="M68" s="139">
        <v>0.25</v>
      </c>
      <c r="N68" s="140">
        <f>SUM(N61:N63)*M68</f>
        <v>382.96634000000006</v>
      </c>
      <c r="O68" s="139">
        <v>0.25</v>
      </c>
      <c r="P68" s="140">
        <f>SUM(P61:P63)*O68</f>
        <v>275.82983999999999</v>
      </c>
      <c r="Q68" s="139">
        <v>0.25</v>
      </c>
      <c r="R68" s="140">
        <f>SUM(R61:R63)*Q68</f>
        <v>290.53943000000004</v>
      </c>
      <c r="S68" s="139">
        <v>0.25</v>
      </c>
      <c r="T68" s="140">
        <f>SUM(T61:T63)*S68</f>
        <v>324.12233999999995</v>
      </c>
      <c r="U68" s="139">
        <v>0.25</v>
      </c>
      <c r="V68" s="140">
        <f>SUM(V61:V63)*U68</f>
        <v>404.32596000000001</v>
      </c>
      <c r="W68" s="139">
        <v>0.25</v>
      </c>
      <c r="X68" s="140">
        <f>SUM(X61:X63)*W68</f>
        <v>347.17536999999993</v>
      </c>
      <c r="Y68" s="139">
        <v>0.25</v>
      </c>
      <c r="Z68" s="140">
        <f>SUM(Z61:Z63)*Y68</f>
        <v>410.01342999999997</v>
      </c>
      <c r="AA68" s="139">
        <v>0.25</v>
      </c>
      <c r="AB68" s="140">
        <f>SUM(AB61:AB63)*AA68</f>
        <v>422.48770000000002</v>
      </c>
      <c r="AC68" s="139">
        <v>0.25</v>
      </c>
      <c r="AD68" s="140">
        <f>SUM(AD61:AD63)*AC68</f>
        <v>303.12509</v>
      </c>
      <c r="AE68" s="139">
        <v>0.25</v>
      </c>
      <c r="AF68" s="140">
        <f>SUM(AF61:AF63)*AE68</f>
        <v>356.33660999999995</v>
      </c>
      <c r="AG68" s="139">
        <v>0.25</v>
      </c>
      <c r="AH68" s="140">
        <f>SUM(AH61:AH63)*AG68</f>
        <v>284.79133000000002</v>
      </c>
      <c r="AI68" s="139">
        <v>0.25</v>
      </c>
      <c r="AJ68" s="140">
        <f>SUM(AJ61:AJ63)*AI68</f>
        <v>492.64177999999993</v>
      </c>
      <c r="AK68" s="139">
        <v>0.25</v>
      </c>
      <c r="AL68" s="140">
        <f>SUM(AL61:AL63)*AK68</f>
        <v>373.84552000000002</v>
      </c>
      <c r="AM68" s="139">
        <v>0.25</v>
      </c>
      <c r="AN68" s="140">
        <f>SUM(AN61:AN63)*AM68</f>
        <v>468.74322000000001</v>
      </c>
      <c r="AO68" s="139">
        <v>0.25</v>
      </c>
      <c r="AP68" s="140">
        <f>SUM(AP61:AP63)*AO68</f>
        <v>1.7991599999999999</v>
      </c>
      <c r="AQ68" s="139">
        <v>0.25</v>
      </c>
      <c r="AR68" s="140">
        <f>SUM(AR61:AR63)*AQ68</f>
        <v>292.89224999999999</v>
      </c>
      <c r="AS68" s="139">
        <v>0.25</v>
      </c>
      <c r="AT68" s="140">
        <f>SUM(AT61:AT63)*AS68</f>
        <v>262.25718000000001</v>
      </c>
      <c r="AU68" s="139">
        <v>0.25</v>
      </c>
      <c r="AV68" s="140">
        <f>SUM(AV61:AV63)*AU68</f>
        <v>283.22999000000004</v>
      </c>
      <c r="AW68" s="139">
        <v>0.25</v>
      </c>
      <c r="AX68" s="140">
        <f>SUM(AX61:AX63)*AW68</f>
        <v>436.38982999999996</v>
      </c>
      <c r="AY68" s="139">
        <v>0.25</v>
      </c>
      <c r="AZ68" s="140">
        <f>SUM(AZ61:AZ63)*AY68</f>
        <v>339.91528</v>
      </c>
      <c r="BA68" s="139">
        <v>0.25</v>
      </c>
      <c r="BB68" s="140">
        <f>SUM(BB61:BB63)*BA68</f>
        <v>506.85081999999994</v>
      </c>
      <c r="BC68" s="139">
        <v>0.25</v>
      </c>
      <c r="BD68" s="140">
        <f>SUM(BD61:BD63)*BC68</f>
        <v>400.88085999999998</v>
      </c>
      <c r="BE68" s="139">
        <v>0.25</v>
      </c>
      <c r="BF68" s="140">
        <f>SUM(BF61:BF63)*BE68</f>
        <v>241.37179000000003</v>
      </c>
      <c r="BG68" s="139">
        <v>0.25</v>
      </c>
      <c r="BH68" s="140">
        <f>SUM(BH61:BH63)*BG68</f>
        <v>298.65915000000001</v>
      </c>
      <c r="BI68" s="139">
        <v>0.25</v>
      </c>
      <c r="BJ68" s="140">
        <f>SUM(BJ61:BJ63)*BI68</f>
        <v>268.72343999999998</v>
      </c>
      <c r="BK68" s="139">
        <v>0.25</v>
      </c>
      <c r="BL68" s="140">
        <f>SUM(BL61:BL63)*BK68</f>
        <v>476.87139999999999</v>
      </c>
      <c r="BM68" s="141"/>
      <c r="BN68" s="113" cm="1">
        <f t="array" ref="BN68">SUMPRODUCT((MOD(COLUMN(D68:BM68)-COLUMN(D68),2)=0)*D68:BM68)</f>
        <v>10776.092789999995</v>
      </c>
      <c r="CA68" s="83"/>
      <c r="CB68" s="83"/>
      <c r="CC68" s="83"/>
      <c r="CD68" s="83"/>
      <c r="CE68" s="83"/>
      <c r="CF68" s="83"/>
      <c r="CG68" s="83"/>
      <c r="CH68" s="83"/>
      <c r="CI68" s="83"/>
      <c r="CJ68" s="83"/>
      <c r="CK68" s="83"/>
      <c r="CL68" s="83"/>
      <c r="CM68" s="83"/>
      <c r="CN68" s="83"/>
      <c r="CO68" s="83"/>
      <c r="CP68" s="83"/>
    </row>
    <row r="69" spans="1:94" x14ac:dyDescent="0.25">
      <c r="A69" s="79" t="s">
        <v>57</v>
      </c>
      <c r="B69" s="98"/>
      <c r="C69" s="139">
        <v>0.3</v>
      </c>
      <c r="D69" s="140">
        <f>D64*C69</f>
        <v>21.415799999999997</v>
      </c>
      <c r="E69" s="139">
        <v>0.3</v>
      </c>
      <c r="F69" s="140">
        <f t="shared" ref="F69" si="43">F64*E69</f>
        <v>28.019399999999997</v>
      </c>
      <c r="G69" s="139">
        <v>0.3</v>
      </c>
      <c r="H69" s="140">
        <f t="shared" ref="H69" si="44">H64*G69</f>
        <v>28.066200000000006</v>
      </c>
      <c r="I69" s="139">
        <v>0.3</v>
      </c>
      <c r="J69" s="140">
        <f t="shared" ref="J69" si="45">J64*I69</f>
        <v>37.648800000000001</v>
      </c>
      <c r="K69" s="139">
        <v>0.3</v>
      </c>
      <c r="L69" s="140">
        <f t="shared" ref="L69" si="46">L64*K69</f>
        <v>15.013800000000002</v>
      </c>
      <c r="M69" s="139">
        <v>0.3</v>
      </c>
      <c r="N69" s="140">
        <f t="shared" ref="N69" si="47">N64*M69</f>
        <v>20.909400000000002</v>
      </c>
      <c r="O69" s="139">
        <v>0.3</v>
      </c>
      <c r="P69" s="140">
        <f t="shared" ref="P69" si="48">P64*O69</f>
        <v>17.797800000000002</v>
      </c>
      <c r="Q69" s="139">
        <v>0.3</v>
      </c>
      <c r="R69" s="140">
        <f t="shared" ref="R69" si="49">R64*Q69</f>
        <v>16.657800000000002</v>
      </c>
      <c r="S69" s="139">
        <v>0.3</v>
      </c>
      <c r="T69" s="140">
        <f t="shared" ref="T69" si="50">T64*S69</f>
        <v>8.6141999999999985</v>
      </c>
      <c r="U69" s="139">
        <v>0.3</v>
      </c>
      <c r="V69" s="140">
        <f t="shared" ref="V69" si="51">V64*U69</f>
        <v>19.126800000000003</v>
      </c>
      <c r="W69" s="139">
        <v>0.3</v>
      </c>
      <c r="X69" s="140">
        <f t="shared" ref="X69" si="52">X64*W69</f>
        <v>9.3737999999999992</v>
      </c>
      <c r="Y69" s="139">
        <v>0.3</v>
      </c>
      <c r="Z69" s="140">
        <f t="shared" ref="Z69" si="53">Z64*Y69</f>
        <v>18.352799999999998</v>
      </c>
      <c r="AA69" s="139">
        <v>0.3</v>
      </c>
      <c r="AB69" s="140">
        <f t="shared" ref="AB69" si="54">AB64*AA69</f>
        <v>19.816199999999998</v>
      </c>
      <c r="AC69" s="139">
        <v>0.3</v>
      </c>
      <c r="AD69" s="140">
        <f t="shared" ref="AD69" si="55">AD64*AC69</f>
        <v>12.546599999999998</v>
      </c>
      <c r="AE69" s="139">
        <v>0.3</v>
      </c>
      <c r="AF69" s="140">
        <f t="shared" ref="AF69" si="56">AF64*AE69</f>
        <v>20.625</v>
      </c>
      <c r="AG69" s="139">
        <v>0.3</v>
      </c>
      <c r="AH69" s="140">
        <f t="shared" ref="AH69" si="57">AH64*AG69</f>
        <v>22.195800000000002</v>
      </c>
      <c r="AI69" s="139">
        <v>0.3</v>
      </c>
      <c r="AJ69" s="140">
        <f t="shared" ref="AJ69" si="58">AJ64*AI69</f>
        <v>25.385999999999999</v>
      </c>
      <c r="AK69" s="139">
        <v>0.3</v>
      </c>
      <c r="AL69" s="140">
        <f t="shared" ref="AL69" si="59">AL64*AK69</f>
        <v>13.693199999999999</v>
      </c>
      <c r="AM69" s="139">
        <v>0.3</v>
      </c>
      <c r="AN69" s="140">
        <f t="shared" ref="AN69" si="60">AN64*AM69</f>
        <v>38.702999999999996</v>
      </c>
      <c r="AO69" s="139">
        <v>0.3</v>
      </c>
      <c r="AP69" s="140">
        <f t="shared" ref="AP69" si="61">AP64*AO69</f>
        <v>1.1172</v>
      </c>
      <c r="AQ69" s="139">
        <v>0.3</v>
      </c>
      <c r="AR69" s="140">
        <f t="shared" ref="AR69" si="62">AR64*AQ69</f>
        <v>14.167199999999999</v>
      </c>
      <c r="AS69" s="139">
        <v>0.3</v>
      </c>
      <c r="AT69" s="140">
        <f t="shared" ref="AT69" si="63">AT64*AS69</f>
        <v>6.7067999999999994</v>
      </c>
      <c r="AU69" s="139">
        <v>0.3</v>
      </c>
      <c r="AV69" s="140">
        <f t="shared" ref="AV69" si="64">AV64*AU69</f>
        <v>14.601599999999998</v>
      </c>
      <c r="AW69" s="139">
        <v>0.3</v>
      </c>
      <c r="AX69" s="140">
        <f t="shared" ref="AX69" si="65">AX64*AW69</f>
        <v>13.645800000000001</v>
      </c>
      <c r="AY69" s="139">
        <v>0.3</v>
      </c>
      <c r="AZ69" s="140">
        <f t="shared" ref="AZ69" si="66">AZ64*AY69</f>
        <v>23.728200000000001</v>
      </c>
      <c r="BA69" s="139">
        <v>0.3</v>
      </c>
      <c r="BB69" s="140">
        <f t="shared" ref="BB69" si="67">BB64*BA69</f>
        <v>24.101400000000002</v>
      </c>
      <c r="BC69" s="139">
        <v>0.3</v>
      </c>
      <c r="BD69" s="140">
        <f t="shared" ref="BD69" si="68">BD64*BC69</f>
        <v>22.919400000000003</v>
      </c>
      <c r="BE69" s="139">
        <v>0.3</v>
      </c>
      <c r="BF69" s="140">
        <f t="shared" ref="BF69" si="69">BF64*BE69</f>
        <v>8.0513999999999992</v>
      </c>
      <c r="BG69" s="139">
        <v>0.3</v>
      </c>
      <c r="BH69" s="140">
        <f t="shared" ref="BH69" si="70">BH64*BG69</f>
        <v>21.034800000000001</v>
      </c>
      <c r="BI69" s="139">
        <v>0.3</v>
      </c>
      <c r="BJ69" s="140">
        <f t="shared" ref="BJ69" si="71">BJ64*BI69</f>
        <v>14.0076</v>
      </c>
      <c r="BK69" s="139">
        <v>0.3</v>
      </c>
      <c r="BL69" s="140">
        <f t="shared" ref="BL69" si="72">BL64*BK69</f>
        <v>30.303000000000001</v>
      </c>
      <c r="BM69" s="141"/>
      <c r="BN69" s="113" cm="1">
        <f t="array" ref="BN69">SUMPRODUCT((MOD(COLUMN(D69:BM69)-COLUMN(D69),2)=0)*D69:BM69)</f>
        <v>588.34680000000014</v>
      </c>
      <c r="CA69" s="83"/>
      <c r="CB69" s="83"/>
      <c r="CC69" s="83"/>
      <c r="CD69" s="83"/>
      <c r="CE69" s="83"/>
      <c r="CF69" s="83"/>
      <c r="CG69" s="83"/>
      <c r="CH69" s="83"/>
      <c r="CI69" s="83"/>
      <c r="CJ69" s="83"/>
      <c r="CK69" s="83"/>
      <c r="CL69" s="83"/>
      <c r="CM69" s="83"/>
      <c r="CN69" s="83"/>
      <c r="CO69" s="83"/>
      <c r="CP69" s="83"/>
    </row>
    <row r="70" spans="1:94" s="110" customFormat="1" x14ac:dyDescent="0.25">
      <c r="A70" s="107" t="s">
        <v>58</v>
      </c>
      <c r="B70" s="108"/>
      <c r="C70" s="142"/>
      <c r="D70" s="143">
        <f>SUM(D68:D69)</f>
        <v>338.34949</v>
      </c>
      <c r="E70" s="142"/>
      <c r="F70" s="143">
        <f t="shared" ref="F70" si="73">SUM(F68:F69)</f>
        <v>306.23402000000004</v>
      </c>
      <c r="G70" s="142"/>
      <c r="H70" s="143">
        <f t="shared" ref="H70" si="74">SUM(H68:H69)</f>
        <v>452.99790000000002</v>
      </c>
      <c r="I70" s="142"/>
      <c r="J70" s="143">
        <f t="shared" ref="J70" si="75">SUM(J68:J69)</f>
        <v>410.02745000000004</v>
      </c>
      <c r="K70" s="142"/>
      <c r="L70" s="143">
        <f t="shared" ref="L70" si="76">SUM(L68:L69)</f>
        <v>451.86282000000006</v>
      </c>
      <c r="M70" s="142"/>
      <c r="N70" s="143">
        <f t="shared" ref="N70" si="77">SUM(N68:N69)</f>
        <v>403.87574000000006</v>
      </c>
      <c r="O70" s="142"/>
      <c r="P70" s="143">
        <f t="shared" ref="P70" si="78">SUM(P68:P69)</f>
        <v>293.62763999999999</v>
      </c>
      <c r="Q70" s="142"/>
      <c r="R70" s="143">
        <f t="shared" ref="R70" si="79">SUM(R68:R69)</f>
        <v>307.19723000000005</v>
      </c>
      <c r="S70" s="142"/>
      <c r="T70" s="143">
        <f t="shared" ref="T70" si="80">SUM(T68:T69)</f>
        <v>332.73653999999993</v>
      </c>
      <c r="U70" s="142"/>
      <c r="V70" s="143">
        <f t="shared" ref="V70" si="81">SUM(V68:V69)</f>
        <v>423.45276000000001</v>
      </c>
      <c r="W70" s="142"/>
      <c r="X70" s="143">
        <f t="shared" ref="X70" si="82">SUM(X68:X69)</f>
        <v>356.54916999999995</v>
      </c>
      <c r="Y70" s="142"/>
      <c r="Z70" s="143">
        <f t="shared" ref="Z70" si="83">SUM(Z68:Z69)</f>
        <v>428.36622999999997</v>
      </c>
      <c r="AA70" s="142"/>
      <c r="AB70" s="143">
        <f t="shared" ref="AB70" si="84">SUM(AB68:AB69)</f>
        <v>442.3039</v>
      </c>
      <c r="AC70" s="142"/>
      <c r="AD70" s="143">
        <f t="shared" ref="AD70" si="85">SUM(AD68:AD69)</f>
        <v>315.67169000000001</v>
      </c>
      <c r="AE70" s="142"/>
      <c r="AF70" s="143">
        <f t="shared" ref="AF70" si="86">SUM(AF68:AF69)</f>
        <v>376.96160999999995</v>
      </c>
      <c r="AG70" s="142"/>
      <c r="AH70" s="143">
        <f t="shared" ref="AH70" si="87">SUM(AH68:AH69)</f>
        <v>306.98713000000004</v>
      </c>
      <c r="AI70" s="142"/>
      <c r="AJ70" s="143">
        <f t="shared" ref="AJ70" si="88">SUM(AJ68:AJ69)</f>
        <v>518.02777999999989</v>
      </c>
      <c r="AK70" s="142"/>
      <c r="AL70" s="143">
        <f t="shared" ref="AL70" si="89">SUM(AL68:AL69)</f>
        <v>387.53872000000001</v>
      </c>
      <c r="AM70" s="142"/>
      <c r="AN70" s="143">
        <f t="shared" ref="AN70" si="90">SUM(AN68:AN69)</f>
        <v>507.44621999999998</v>
      </c>
      <c r="AO70" s="142"/>
      <c r="AP70" s="143">
        <f t="shared" ref="AP70" si="91">SUM(AP68:AP69)</f>
        <v>2.9163600000000001</v>
      </c>
      <c r="AQ70" s="142"/>
      <c r="AR70" s="143">
        <f t="shared" ref="AR70" si="92">SUM(AR68:AR69)</f>
        <v>307.05944999999997</v>
      </c>
      <c r="AS70" s="142"/>
      <c r="AT70" s="143">
        <f t="shared" ref="AT70" si="93">SUM(AT68:AT69)</f>
        <v>268.96397999999999</v>
      </c>
      <c r="AU70" s="142"/>
      <c r="AV70" s="143">
        <f t="shared" ref="AV70" si="94">SUM(AV68:AV69)</f>
        <v>297.83159000000006</v>
      </c>
      <c r="AW70" s="142"/>
      <c r="AX70" s="143">
        <f t="shared" ref="AX70" si="95">SUM(AX68:AX69)</f>
        <v>450.03562999999997</v>
      </c>
      <c r="AY70" s="142"/>
      <c r="AZ70" s="143">
        <f t="shared" ref="AZ70" si="96">SUM(AZ68:AZ69)</f>
        <v>363.64348000000001</v>
      </c>
      <c r="BA70" s="142"/>
      <c r="BB70" s="143">
        <f t="shared" ref="BB70" si="97">SUM(BB68:BB69)</f>
        <v>530.9522199999999</v>
      </c>
      <c r="BC70" s="142"/>
      <c r="BD70" s="143">
        <f t="shared" ref="BD70" si="98">SUM(BD68:BD69)</f>
        <v>423.80025999999998</v>
      </c>
      <c r="BE70" s="142"/>
      <c r="BF70" s="143">
        <f t="shared" ref="BF70" si="99">SUM(BF68:BF69)</f>
        <v>249.42319000000003</v>
      </c>
      <c r="BG70" s="142"/>
      <c r="BH70" s="143">
        <f t="shared" ref="BH70" si="100">SUM(BH68:BH69)</f>
        <v>319.69395000000003</v>
      </c>
      <c r="BI70" s="142"/>
      <c r="BJ70" s="143">
        <f t="shared" ref="BJ70" si="101">SUM(BJ68:BJ69)</f>
        <v>282.73104000000001</v>
      </c>
      <c r="BK70" s="142"/>
      <c r="BL70" s="143">
        <f t="shared" ref="BL70" si="102">SUM(BL68:BL69)</f>
        <v>507.17439999999999</v>
      </c>
      <c r="BM70" s="144"/>
      <c r="BN70" s="143">
        <f>SUM(C70:BM70)</f>
        <v>11364.439590000002</v>
      </c>
      <c r="BO70" s="109"/>
      <c r="BP70" s="109"/>
      <c r="BQ70" s="109"/>
      <c r="BR70" s="109"/>
      <c r="BS70" s="109"/>
      <c r="BT70" s="109"/>
      <c r="BU70" s="109"/>
      <c r="BV70" s="109"/>
      <c r="BW70" s="109"/>
      <c r="BX70" s="109"/>
      <c r="BY70" s="109"/>
      <c r="BZ70" s="109"/>
      <c r="CA70" s="109"/>
      <c r="CB70" s="109"/>
      <c r="CC70" s="109"/>
      <c r="CD70" s="109"/>
      <c r="CE70" s="109"/>
      <c r="CF70" s="109"/>
      <c r="CG70" s="109"/>
      <c r="CH70" s="109"/>
      <c r="CI70" s="109"/>
      <c r="CJ70" s="109"/>
      <c r="CK70" s="109"/>
      <c r="CL70" s="109"/>
      <c r="CM70" s="109"/>
      <c r="CN70" s="109"/>
      <c r="CO70" s="109"/>
      <c r="CP70" s="109"/>
    </row>
    <row r="71" spans="1:94" x14ac:dyDescent="0.25">
      <c r="C71" s="118"/>
      <c r="D71" s="80"/>
      <c r="E71" s="81"/>
      <c r="F71" s="80"/>
      <c r="G71" s="81"/>
      <c r="H71" s="80"/>
      <c r="I71" s="81"/>
      <c r="J71" s="80"/>
      <c r="K71" s="81"/>
      <c r="L71" s="80"/>
      <c r="M71" s="81"/>
      <c r="N71" s="80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  <c r="BA71" s="81"/>
      <c r="BB71" s="81"/>
      <c r="BC71" s="81"/>
      <c r="BD71" s="81"/>
      <c r="BE71" s="81"/>
      <c r="BF71" s="81"/>
      <c r="BG71" s="81"/>
      <c r="BH71" s="81"/>
      <c r="BI71" s="81"/>
      <c r="BJ71" s="81"/>
      <c r="BK71" s="81"/>
      <c r="BL71" s="145"/>
      <c r="BM71" s="81"/>
      <c r="BN71" s="81"/>
      <c r="CA71" s="83"/>
      <c r="CB71" s="83"/>
      <c r="CC71" s="83"/>
      <c r="CD71" s="83"/>
      <c r="CE71" s="83"/>
      <c r="CF71" s="83"/>
      <c r="CG71" s="83"/>
      <c r="CH71" s="83"/>
      <c r="CI71" s="83"/>
      <c r="CJ71" s="83"/>
      <c r="CK71" s="83"/>
      <c r="CL71" s="83"/>
      <c r="CM71" s="83"/>
      <c r="CN71" s="83"/>
      <c r="CO71" s="83"/>
      <c r="CP71" s="83"/>
    </row>
    <row r="72" spans="1:94" x14ac:dyDescent="0.25">
      <c r="A72" s="111" t="s">
        <v>59</v>
      </c>
      <c r="B72" s="93"/>
      <c r="C72" s="132" t="s">
        <v>48</v>
      </c>
      <c r="D72" s="132" t="s">
        <v>49</v>
      </c>
      <c r="E72" s="132" t="s">
        <v>48</v>
      </c>
      <c r="F72" s="132" t="s">
        <v>49</v>
      </c>
      <c r="G72" s="132" t="s">
        <v>48</v>
      </c>
      <c r="H72" s="132" t="s">
        <v>49</v>
      </c>
      <c r="I72" s="132" t="s">
        <v>48</v>
      </c>
      <c r="J72" s="132" t="s">
        <v>49</v>
      </c>
      <c r="K72" s="132" t="s">
        <v>48</v>
      </c>
      <c r="L72" s="132" t="s">
        <v>49</v>
      </c>
      <c r="M72" s="132" t="s">
        <v>48</v>
      </c>
      <c r="N72" s="132" t="s">
        <v>49</v>
      </c>
      <c r="O72" s="132" t="s">
        <v>48</v>
      </c>
      <c r="P72" s="132" t="s">
        <v>49</v>
      </c>
      <c r="Q72" s="132" t="s">
        <v>48</v>
      </c>
      <c r="R72" s="132" t="s">
        <v>49</v>
      </c>
      <c r="S72" s="132" t="s">
        <v>48</v>
      </c>
      <c r="T72" s="132" t="s">
        <v>49</v>
      </c>
      <c r="U72" s="132" t="s">
        <v>48</v>
      </c>
      <c r="V72" s="132" t="s">
        <v>49</v>
      </c>
      <c r="W72" s="132" t="s">
        <v>48</v>
      </c>
      <c r="X72" s="132" t="s">
        <v>49</v>
      </c>
      <c r="Y72" s="132" t="s">
        <v>48</v>
      </c>
      <c r="Z72" s="132" t="s">
        <v>49</v>
      </c>
      <c r="AA72" s="132" t="s">
        <v>48</v>
      </c>
      <c r="AB72" s="132" t="s">
        <v>49</v>
      </c>
      <c r="AC72" s="132" t="s">
        <v>48</v>
      </c>
      <c r="AD72" s="132" t="s">
        <v>49</v>
      </c>
      <c r="AE72" s="132" t="s">
        <v>48</v>
      </c>
      <c r="AF72" s="132" t="s">
        <v>49</v>
      </c>
      <c r="AG72" s="132" t="s">
        <v>48</v>
      </c>
      <c r="AH72" s="132" t="s">
        <v>49</v>
      </c>
      <c r="AI72" s="132" t="s">
        <v>48</v>
      </c>
      <c r="AJ72" s="132" t="s">
        <v>49</v>
      </c>
      <c r="AK72" s="132" t="s">
        <v>48</v>
      </c>
      <c r="AL72" s="132" t="s">
        <v>49</v>
      </c>
      <c r="AM72" s="132" t="s">
        <v>48</v>
      </c>
      <c r="AN72" s="132" t="s">
        <v>49</v>
      </c>
      <c r="AO72" s="132" t="s">
        <v>48</v>
      </c>
      <c r="AP72" s="132" t="s">
        <v>49</v>
      </c>
      <c r="AQ72" s="132" t="s">
        <v>48</v>
      </c>
      <c r="AR72" s="132" t="s">
        <v>49</v>
      </c>
      <c r="AS72" s="132" t="s">
        <v>48</v>
      </c>
      <c r="AT72" s="132" t="s">
        <v>49</v>
      </c>
      <c r="AU72" s="132" t="s">
        <v>48</v>
      </c>
      <c r="AV72" s="132" t="s">
        <v>49</v>
      </c>
      <c r="AW72" s="132" t="s">
        <v>48</v>
      </c>
      <c r="AX72" s="132" t="s">
        <v>49</v>
      </c>
      <c r="AY72" s="132" t="s">
        <v>48</v>
      </c>
      <c r="AZ72" s="132" t="s">
        <v>49</v>
      </c>
      <c r="BA72" s="132" t="s">
        <v>48</v>
      </c>
      <c r="BB72" s="132" t="s">
        <v>49</v>
      </c>
      <c r="BC72" s="132" t="s">
        <v>48</v>
      </c>
      <c r="BD72" s="132" t="s">
        <v>49</v>
      </c>
      <c r="BE72" s="132" t="s">
        <v>48</v>
      </c>
      <c r="BF72" s="132" t="s">
        <v>49</v>
      </c>
      <c r="BG72" s="132" t="s">
        <v>48</v>
      </c>
      <c r="BH72" s="132" t="s">
        <v>49</v>
      </c>
      <c r="BI72" s="132" t="s">
        <v>48</v>
      </c>
      <c r="BJ72" s="132" t="s">
        <v>49</v>
      </c>
      <c r="BK72" s="132" t="s">
        <v>48</v>
      </c>
      <c r="BL72" s="132" t="s">
        <v>49</v>
      </c>
      <c r="BM72" s="133"/>
      <c r="BN72" s="132" t="s">
        <v>50</v>
      </c>
      <c r="CA72" s="83"/>
      <c r="CB72" s="83"/>
      <c r="CC72" s="83"/>
      <c r="CD72" s="83"/>
      <c r="CE72" s="83"/>
      <c r="CF72" s="83"/>
      <c r="CG72" s="83"/>
      <c r="CH72" s="83"/>
      <c r="CI72" s="83"/>
      <c r="CJ72" s="83"/>
      <c r="CK72" s="83"/>
      <c r="CL72" s="83"/>
      <c r="CM72" s="83"/>
      <c r="CN72" s="83"/>
      <c r="CO72" s="83"/>
      <c r="CP72" s="83"/>
    </row>
    <row r="73" spans="1:94" x14ac:dyDescent="0.25">
      <c r="A73" s="110" t="s">
        <v>38</v>
      </c>
      <c r="B73" s="98" t="s">
        <v>52</v>
      </c>
      <c r="C73" s="134">
        <v>1.0500000000000001E-2</v>
      </c>
      <c r="D73" s="135">
        <f>C73*D47</f>
        <v>22.068900000000003</v>
      </c>
      <c r="E73" s="134">
        <v>1.0500000000000001E-2</v>
      </c>
      <c r="F73" s="135">
        <f>E73*F47</f>
        <v>26.913599999999999</v>
      </c>
      <c r="G73" s="134">
        <v>1.0500000000000001E-2</v>
      </c>
      <c r="H73" s="135">
        <f>G73*H47</f>
        <v>28.531650000000003</v>
      </c>
      <c r="I73" s="134">
        <v>1.0500000000000001E-2</v>
      </c>
      <c r="J73" s="135">
        <f>I73*J47</f>
        <v>21.228899999999999</v>
      </c>
      <c r="K73" s="134">
        <v>1.0500000000000001E-2</v>
      </c>
      <c r="L73" s="135">
        <f>K73*L47</f>
        <v>21.842099999999999</v>
      </c>
      <c r="M73" s="134">
        <v>1.0500000000000001E-2</v>
      </c>
      <c r="N73" s="135">
        <f>M73*N47</f>
        <v>23.795099999999998</v>
      </c>
      <c r="O73" s="134">
        <v>1.0500000000000001E-2</v>
      </c>
      <c r="P73" s="135">
        <f>O73*P47</f>
        <v>25.420500000000001</v>
      </c>
      <c r="Q73" s="134">
        <v>1.0500000000000001E-2</v>
      </c>
      <c r="R73" s="135">
        <f>Q73*R47</f>
        <v>14.664300000000001</v>
      </c>
      <c r="S73" s="134">
        <v>1.0500000000000001E-2</v>
      </c>
      <c r="T73" s="135">
        <f>S73*T47</f>
        <v>24.731700000000004</v>
      </c>
      <c r="U73" s="134">
        <v>1.0500000000000001E-2</v>
      </c>
      <c r="V73" s="135">
        <f>U73*V47</f>
        <v>22.554000000000002</v>
      </c>
      <c r="W73" s="134">
        <v>1.0500000000000001E-2</v>
      </c>
      <c r="X73" s="135">
        <f>W73*X47</f>
        <v>30.799650000000003</v>
      </c>
      <c r="Y73" s="134">
        <v>1.0500000000000001E-2</v>
      </c>
      <c r="Z73" s="135">
        <f>Y73*Z47</f>
        <v>18.713100000000001</v>
      </c>
      <c r="AA73" s="134">
        <v>1.0500000000000001E-2</v>
      </c>
      <c r="AB73" s="135">
        <f>AA73*AB47</f>
        <v>35.372400000000006</v>
      </c>
      <c r="AC73" s="134">
        <v>1.0500000000000001E-2</v>
      </c>
      <c r="AD73" s="135">
        <f>AC73*AD47</f>
        <v>25.674599999999998</v>
      </c>
      <c r="AE73" s="134">
        <v>1.0500000000000001E-2</v>
      </c>
      <c r="AF73" s="135">
        <f>AE73*AF47</f>
        <v>24.718050000000002</v>
      </c>
      <c r="AG73" s="134">
        <v>1.0500000000000001E-2</v>
      </c>
      <c r="AH73" s="135">
        <f>AG73*AH47</f>
        <v>16.427250000000001</v>
      </c>
      <c r="AI73" s="134">
        <v>1.0500000000000001E-2</v>
      </c>
      <c r="AJ73" s="135">
        <f>AI73*AJ47</f>
        <v>38.449950000000001</v>
      </c>
      <c r="AK73" s="134">
        <v>1.0500000000000001E-2</v>
      </c>
      <c r="AL73" s="135">
        <f>AK73*AL47</f>
        <v>16.641450000000003</v>
      </c>
      <c r="AM73" s="134">
        <v>1.0500000000000001E-2</v>
      </c>
      <c r="AN73" s="135">
        <f>AM73*AN47</f>
        <v>19.627649999999999</v>
      </c>
      <c r="AO73" s="134">
        <v>1.0500000000000001E-2</v>
      </c>
      <c r="AP73" s="135">
        <f>AO73*AP47</f>
        <v>2.7090000000000001</v>
      </c>
      <c r="AQ73" s="134">
        <v>1.0500000000000001E-2</v>
      </c>
      <c r="AR73" s="135">
        <f>AQ73*AR47</f>
        <v>16.419900000000002</v>
      </c>
      <c r="AS73" s="134">
        <v>1.0500000000000001E-2</v>
      </c>
      <c r="AT73" s="135">
        <f>AS73*AT47</f>
        <v>11.898600000000002</v>
      </c>
      <c r="AU73" s="134">
        <v>1.0500000000000001E-2</v>
      </c>
      <c r="AV73" s="135">
        <f>AU73*AV47</f>
        <v>18.547200000000004</v>
      </c>
      <c r="AW73" s="134">
        <v>1.0500000000000001E-2</v>
      </c>
      <c r="AX73" s="135">
        <f>AW73*AX47</f>
        <v>26.682600000000001</v>
      </c>
      <c r="AY73" s="134">
        <v>1.0500000000000001E-2</v>
      </c>
      <c r="AZ73" s="135">
        <f>AY73*AZ47</f>
        <v>17.086650000000002</v>
      </c>
      <c r="BA73" s="134">
        <v>1.0500000000000001E-2</v>
      </c>
      <c r="BB73" s="135">
        <f>BA73*BB47</f>
        <v>13.639500000000002</v>
      </c>
      <c r="BC73" s="134">
        <v>1.0500000000000001E-2</v>
      </c>
      <c r="BD73" s="135">
        <f>BC73*BD47</f>
        <v>32.057549999999999</v>
      </c>
      <c r="BE73" s="134">
        <v>1.0500000000000001E-2</v>
      </c>
      <c r="BF73" s="135">
        <f>BE73*BF47</f>
        <v>15.079050000000001</v>
      </c>
      <c r="BG73" s="134">
        <v>1.0500000000000001E-2</v>
      </c>
      <c r="BH73" s="135">
        <f>BG73*BH47</f>
        <v>16.658250000000002</v>
      </c>
      <c r="BI73" s="134">
        <v>1.0500000000000001E-2</v>
      </c>
      <c r="BJ73" s="135">
        <f>BI73*BJ47</f>
        <v>9.3565500000000004</v>
      </c>
      <c r="BK73" s="134">
        <v>1.0500000000000001E-2</v>
      </c>
      <c r="BL73" s="135">
        <f>BK73*BL47</f>
        <v>28.190400000000004</v>
      </c>
      <c r="BM73" s="136"/>
      <c r="BN73" s="113" cm="1">
        <f t="array" ref="BN73">SUMPRODUCT((MOD(COLUMN(D73:BM73)-COLUMN(D73),2)=0)*D73:BM73)</f>
        <v>666.50009999999997</v>
      </c>
      <c r="CA73" s="83"/>
      <c r="CB73" s="83"/>
      <c r="CC73" s="83"/>
      <c r="CD73" s="83"/>
      <c r="CE73" s="83"/>
      <c r="CF73" s="83"/>
      <c r="CG73" s="83"/>
      <c r="CH73" s="83"/>
      <c r="CI73" s="83"/>
      <c r="CJ73" s="83"/>
      <c r="CK73" s="83"/>
      <c r="CL73" s="83"/>
      <c r="CM73" s="83"/>
      <c r="CN73" s="83"/>
      <c r="CO73" s="83"/>
      <c r="CP73" s="83"/>
    </row>
    <row r="74" spans="1:94" x14ac:dyDescent="0.25">
      <c r="A74" s="110" t="s">
        <v>39</v>
      </c>
      <c r="B74" s="98" t="s">
        <v>52</v>
      </c>
      <c r="C74" s="134">
        <v>1.0500000000000001E-2</v>
      </c>
      <c r="D74" s="135">
        <f>C74*D48</f>
        <v>3.3075000000000001</v>
      </c>
      <c r="E74" s="134">
        <v>1.0500000000000001E-2</v>
      </c>
      <c r="F74" s="135">
        <f>E74*F48</f>
        <v>1.7860500000000001</v>
      </c>
      <c r="G74" s="134">
        <v>1.0500000000000001E-2</v>
      </c>
      <c r="H74" s="135">
        <f>G74*H48</f>
        <v>2.3982000000000001</v>
      </c>
      <c r="I74" s="134">
        <v>1.0500000000000001E-2</v>
      </c>
      <c r="J74" s="135">
        <f>I74*J48</f>
        <v>3.0681000000000003</v>
      </c>
      <c r="K74" s="134">
        <v>1.0500000000000001E-2</v>
      </c>
      <c r="L74" s="135">
        <f>K74*L48</f>
        <v>2.4559500000000001</v>
      </c>
      <c r="M74" s="134">
        <v>1.0500000000000001E-2</v>
      </c>
      <c r="N74" s="135">
        <f>M74*N48</f>
        <v>5.1849000000000007</v>
      </c>
      <c r="O74" s="134">
        <v>1.0500000000000001E-2</v>
      </c>
      <c r="P74" s="135">
        <f>O74*P48</f>
        <v>3.3106500000000003</v>
      </c>
      <c r="Q74" s="134">
        <v>1.0500000000000001E-2</v>
      </c>
      <c r="R74" s="135">
        <f>Q74*R48</f>
        <v>3.2455500000000006</v>
      </c>
      <c r="S74" s="134">
        <v>1.0500000000000001E-2</v>
      </c>
      <c r="T74" s="135">
        <f>S74*T48</f>
        <v>3.57735</v>
      </c>
      <c r="U74" s="134">
        <v>1.0500000000000001E-2</v>
      </c>
      <c r="V74" s="135">
        <f>U74*V48</f>
        <v>3.0723000000000003</v>
      </c>
      <c r="W74" s="134">
        <v>1.0500000000000001E-2</v>
      </c>
      <c r="X74" s="135">
        <f>W74*X48</f>
        <v>4.5276000000000005</v>
      </c>
      <c r="Y74" s="134">
        <v>1.0500000000000001E-2</v>
      </c>
      <c r="Z74" s="135">
        <f>Y74*Z48</f>
        <v>3.0145500000000003</v>
      </c>
      <c r="AA74" s="134">
        <v>1.0500000000000001E-2</v>
      </c>
      <c r="AB74" s="135">
        <f>AA74*AB48</f>
        <v>1.7965500000000001</v>
      </c>
      <c r="AC74" s="134">
        <v>1.0500000000000001E-2</v>
      </c>
      <c r="AD74" s="135">
        <f>AC74*AD48</f>
        <v>2.8706999999999998</v>
      </c>
      <c r="AE74" s="134">
        <v>1.0500000000000001E-2</v>
      </c>
      <c r="AF74" s="135">
        <f>AE74*AF48</f>
        <v>4.9654499999999997</v>
      </c>
      <c r="AG74" s="134">
        <v>1.0500000000000001E-2</v>
      </c>
      <c r="AH74" s="135">
        <f>AG74*AH48</f>
        <v>2.5557000000000003</v>
      </c>
      <c r="AI74" s="134">
        <v>1.0500000000000001E-2</v>
      </c>
      <c r="AJ74" s="135">
        <f>AI74*AJ48</f>
        <v>1.8438000000000001</v>
      </c>
      <c r="AK74" s="134">
        <v>1.0500000000000001E-2</v>
      </c>
      <c r="AL74" s="135">
        <f>AK74*AL48</f>
        <v>1.55505</v>
      </c>
      <c r="AM74" s="134">
        <v>1.0500000000000001E-2</v>
      </c>
      <c r="AN74" s="135">
        <f>AM74*AN48</f>
        <v>1.0038</v>
      </c>
      <c r="AO74" s="134">
        <v>1.0500000000000001E-2</v>
      </c>
      <c r="AP74" s="135">
        <f>AO74*AP48</f>
        <v>0</v>
      </c>
      <c r="AQ74" s="134">
        <v>1.0500000000000001E-2</v>
      </c>
      <c r="AR74" s="135">
        <f>AQ74*AR48</f>
        <v>1.3828499999999999</v>
      </c>
      <c r="AS74" s="134">
        <v>1.0500000000000001E-2</v>
      </c>
      <c r="AT74" s="135">
        <f>AS74*AT48</f>
        <v>1.6285499999999999</v>
      </c>
      <c r="AU74" s="134">
        <v>1.0500000000000001E-2</v>
      </c>
      <c r="AV74" s="135">
        <f>AU74*AV48</f>
        <v>1.00485</v>
      </c>
      <c r="AW74" s="134">
        <v>1.0500000000000001E-2</v>
      </c>
      <c r="AX74" s="135">
        <f>AW74*AX48</f>
        <v>2.3205</v>
      </c>
      <c r="AY74" s="134">
        <v>1.0500000000000001E-2</v>
      </c>
      <c r="AZ74" s="135">
        <f>AY74*AZ48</f>
        <v>0.10500000000000001</v>
      </c>
      <c r="BA74" s="134">
        <v>1.0500000000000001E-2</v>
      </c>
      <c r="BB74" s="135">
        <f>BA74*BB48</f>
        <v>0.62160000000000004</v>
      </c>
      <c r="BC74" s="134">
        <v>1.0500000000000001E-2</v>
      </c>
      <c r="BD74" s="135">
        <f>BC74*BD48</f>
        <v>1.6978500000000001</v>
      </c>
      <c r="BE74" s="134">
        <v>1.0500000000000001E-2</v>
      </c>
      <c r="BF74" s="135">
        <f>BE74*BF48</f>
        <v>0.89145000000000008</v>
      </c>
      <c r="BG74" s="134">
        <v>1.0500000000000001E-2</v>
      </c>
      <c r="BH74" s="135">
        <f>BG74*BH48</f>
        <v>9.6789000000000005</v>
      </c>
      <c r="BI74" s="134">
        <v>1.0500000000000001E-2</v>
      </c>
      <c r="BJ74" s="135">
        <f>BI74*BJ48</f>
        <v>7.8162000000000003</v>
      </c>
      <c r="BK74" s="134">
        <v>1.0500000000000001E-2</v>
      </c>
      <c r="BL74" s="135">
        <f>BK74*BL48</f>
        <v>3.4020000000000001</v>
      </c>
      <c r="BM74" s="136"/>
      <c r="BN74" s="113" cm="1">
        <f t="array" ref="BN74">SUMPRODUCT((MOD(COLUMN(D74:BM74)-COLUMN(D74),2)=0)*D74:BM74)</f>
        <v>86.089500000000001</v>
      </c>
      <c r="CA74" s="83"/>
      <c r="CB74" s="83"/>
      <c r="CC74" s="83"/>
      <c r="CD74" s="83"/>
      <c r="CE74" s="83"/>
      <c r="CF74" s="83"/>
      <c r="CG74" s="83"/>
      <c r="CH74" s="83"/>
      <c r="CI74" s="83"/>
      <c r="CJ74" s="83"/>
      <c r="CK74" s="83"/>
      <c r="CL74" s="83"/>
      <c r="CM74" s="83"/>
      <c r="CN74" s="83"/>
      <c r="CO74" s="83"/>
      <c r="CP74" s="83"/>
    </row>
    <row r="75" spans="1:94" x14ac:dyDescent="0.25">
      <c r="A75" s="110"/>
      <c r="C75" s="137"/>
      <c r="D75" s="138"/>
      <c r="E75" s="137"/>
      <c r="F75" s="138"/>
      <c r="G75" s="137"/>
      <c r="H75" s="138"/>
      <c r="I75" s="137"/>
      <c r="J75" s="138"/>
      <c r="K75" s="137"/>
      <c r="L75" s="138"/>
      <c r="M75" s="137"/>
      <c r="N75" s="138"/>
      <c r="O75" s="137"/>
      <c r="P75" s="138"/>
      <c r="Q75" s="137"/>
      <c r="R75" s="138"/>
      <c r="S75" s="137"/>
      <c r="T75" s="138"/>
      <c r="U75" s="137"/>
      <c r="V75" s="138"/>
      <c r="W75" s="137"/>
      <c r="X75" s="138"/>
      <c r="Y75" s="137"/>
      <c r="Z75" s="138"/>
      <c r="AA75" s="137"/>
      <c r="AB75" s="138"/>
      <c r="AC75" s="137"/>
      <c r="AD75" s="138"/>
      <c r="AE75" s="137"/>
      <c r="AF75" s="138"/>
      <c r="AG75" s="137"/>
      <c r="AH75" s="138"/>
      <c r="AI75" s="137"/>
      <c r="AJ75" s="138"/>
      <c r="AK75" s="137"/>
      <c r="AL75" s="138"/>
      <c r="AM75" s="137"/>
      <c r="AN75" s="138"/>
      <c r="AO75" s="137"/>
      <c r="AP75" s="138"/>
      <c r="AQ75" s="137"/>
      <c r="AR75" s="138"/>
      <c r="AS75" s="137"/>
      <c r="AT75" s="138"/>
      <c r="AU75" s="137"/>
      <c r="AV75" s="138"/>
      <c r="AW75" s="137"/>
      <c r="AX75" s="138"/>
      <c r="AY75" s="137"/>
      <c r="AZ75" s="138"/>
      <c r="BA75" s="137"/>
      <c r="BB75" s="138"/>
      <c r="BC75" s="137"/>
      <c r="BD75" s="138"/>
      <c r="BE75" s="137"/>
      <c r="BF75" s="138"/>
      <c r="BG75" s="137"/>
      <c r="BH75" s="138"/>
      <c r="BI75" s="137"/>
      <c r="BJ75" s="138"/>
      <c r="BK75" s="137"/>
      <c r="BL75" s="138"/>
      <c r="BM75" s="120"/>
      <c r="BN75" s="138"/>
      <c r="CA75" s="83"/>
      <c r="CB75" s="83"/>
      <c r="CC75" s="83"/>
      <c r="CD75" s="83"/>
      <c r="CE75" s="83"/>
      <c r="CF75" s="83"/>
      <c r="CG75" s="83"/>
      <c r="CH75" s="83"/>
      <c r="CI75" s="83"/>
      <c r="CJ75" s="83"/>
      <c r="CK75" s="83"/>
      <c r="CL75" s="83"/>
      <c r="CM75" s="83"/>
      <c r="CN75" s="83"/>
      <c r="CO75" s="83"/>
      <c r="CP75" s="83"/>
    </row>
    <row r="76" spans="1:94" x14ac:dyDescent="0.25">
      <c r="A76" s="110" t="s">
        <v>60</v>
      </c>
      <c r="B76" s="98" t="s">
        <v>52</v>
      </c>
      <c r="C76" s="139">
        <v>0.75</v>
      </c>
      <c r="D76" s="140">
        <f>C76*D73</f>
        <v>16.551675000000003</v>
      </c>
      <c r="E76" s="139">
        <v>0.75</v>
      </c>
      <c r="F76" s="140">
        <f>E76*F73</f>
        <v>20.185199999999998</v>
      </c>
      <c r="G76" s="139">
        <v>0.75</v>
      </c>
      <c r="H76" s="140">
        <f>G76*H73</f>
        <v>21.398737500000003</v>
      </c>
      <c r="I76" s="139">
        <v>0.75</v>
      </c>
      <c r="J76" s="140">
        <f>I76*J73</f>
        <v>15.921675</v>
      </c>
      <c r="K76" s="139">
        <v>0.75</v>
      </c>
      <c r="L76" s="140">
        <f>K76*L73</f>
        <v>16.381574999999998</v>
      </c>
      <c r="M76" s="139">
        <v>0.75</v>
      </c>
      <c r="N76" s="140">
        <f>M76*N73</f>
        <v>17.846325</v>
      </c>
      <c r="O76" s="139">
        <v>0.75</v>
      </c>
      <c r="P76" s="140">
        <f>O76*P73</f>
        <v>19.065375</v>
      </c>
      <c r="Q76" s="139">
        <v>0.75</v>
      </c>
      <c r="R76" s="140">
        <f>Q76*R73</f>
        <v>10.998225000000001</v>
      </c>
      <c r="S76" s="139">
        <v>0.75</v>
      </c>
      <c r="T76" s="140">
        <f>S76*T73</f>
        <v>18.548775000000003</v>
      </c>
      <c r="U76" s="139">
        <v>0.75</v>
      </c>
      <c r="V76" s="140">
        <f>U76*V73</f>
        <v>16.915500000000002</v>
      </c>
      <c r="W76" s="139">
        <v>0.75</v>
      </c>
      <c r="X76" s="140">
        <f>W76*X73</f>
        <v>23.099737500000003</v>
      </c>
      <c r="Y76" s="139">
        <v>0.75</v>
      </c>
      <c r="Z76" s="140">
        <f>Y76*Z73</f>
        <v>14.034825000000001</v>
      </c>
      <c r="AA76" s="139">
        <v>0.75</v>
      </c>
      <c r="AB76" s="140">
        <f>AA76*AB73</f>
        <v>26.529300000000006</v>
      </c>
      <c r="AC76" s="139">
        <v>0.75</v>
      </c>
      <c r="AD76" s="140">
        <f>AC76*AD73</f>
        <v>19.255949999999999</v>
      </c>
      <c r="AE76" s="139">
        <v>0.75</v>
      </c>
      <c r="AF76" s="140">
        <f>AE76*AF73</f>
        <v>18.5385375</v>
      </c>
      <c r="AG76" s="139">
        <v>0.75</v>
      </c>
      <c r="AH76" s="140">
        <f>AG76*AH73</f>
        <v>12.320437500000001</v>
      </c>
      <c r="AI76" s="139">
        <v>0.75</v>
      </c>
      <c r="AJ76" s="140">
        <f>AI76*AJ73</f>
        <v>28.837462500000001</v>
      </c>
      <c r="AK76" s="139">
        <v>0.75</v>
      </c>
      <c r="AL76" s="140">
        <f>AK76*AL73</f>
        <v>12.481087500000001</v>
      </c>
      <c r="AM76" s="139">
        <v>0.75</v>
      </c>
      <c r="AN76" s="140">
        <f>AM76*AN73</f>
        <v>14.720737499999998</v>
      </c>
      <c r="AO76" s="139">
        <v>0.75</v>
      </c>
      <c r="AP76" s="140">
        <f>AO76*AP73</f>
        <v>2.0317500000000002</v>
      </c>
      <c r="AQ76" s="139">
        <v>0.75</v>
      </c>
      <c r="AR76" s="140">
        <f>AQ76*AR73</f>
        <v>12.314925000000002</v>
      </c>
      <c r="AS76" s="139">
        <v>0.75</v>
      </c>
      <c r="AT76" s="140">
        <f>AS76*AT73</f>
        <v>8.9239500000000014</v>
      </c>
      <c r="AU76" s="139">
        <v>0.75</v>
      </c>
      <c r="AV76" s="140">
        <f>AU76*AV73</f>
        <v>13.910400000000003</v>
      </c>
      <c r="AW76" s="139">
        <v>0.75</v>
      </c>
      <c r="AX76" s="140">
        <f>AW76*AX73</f>
        <v>20.011949999999999</v>
      </c>
      <c r="AY76" s="139">
        <v>0.75</v>
      </c>
      <c r="AZ76" s="140">
        <f>AY76*AZ73</f>
        <v>12.814987500000001</v>
      </c>
      <c r="BA76" s="139">
        <v>0.75</v>
      </c>
      <c r="BB76" s="140">
        <f>BA76*BB73</f>
        <v>10.229625000000002</v>
      </c>
      <c r="BC76" s="139">
        <v>0.75</v>
      </c>
      <c r="BD76" s="140">
        <f>BC76*BD73</f>
        <v>24.043162500000001</v>
      </c>
      <c r="BE76" s="139">
        <v>0.75</v>
      </c>
      <c r="BF76" s="140">
        <f>BE76*BF73</f>
        <v>11.3092875</v>
      </c>
      <c r="BG76" s="139">
        <v>0.75</v>
      </c>
      <c r="BH76" s="140">
        <f>BG76*BH73</f>
        <v>12.493687500000002</v>
      </c>
      <c r="BI76" s="139">
        <v>0.75</v>
      </c>
      <c r="BJ76" s="140">
        <f>BI76*BJ73</f>
        <v>7.0174125000000007</v>
      </c>
      <c r="BK76" s="139">
        <v>0.75</v>
      </c>
      <c r="BL76" s="140">
        <f>BK76*BL73</f>
        <v>21.142800000000001</v>
      </c>
      <c r="BM76" s="141"/>
      <c r="BN76" s="113" cm="1">
        <f t="array" ref="BN76">SUMPRODUCT((MOD(COLUMN(D76:BM76)-COLUMN(D76),2)=0)*D76:BM76)</f>
        <v>499.87507500000009</v>
      </c>
      <c r="CA76" s="83"/>
      <c r="CB76" s="83"/>
      <c r="CC76" s="83"/>
      <c r="CD76" s="83"/>
      <c r="CE76" s="83"/>
      <c r="CF76" s="83"/>
      <c r="CG76" s="83"/>
      <c r="CH76" s="83"/>
      <c r="CI76" s="83"/>
      <c r="CJ76" s="83"/>
      <c r="CK76" s="83"/>
      <c r="CL76" s="83"/>
      <c r="CM76" s="83"/>
      <c r="CN76" s="83"/>
      <c r="CO76" s="83"/>
      <c r="CP76" s="83"/>
    </row>
    <row r="77" spans="1:94" x14ac:dyDescent="0.25">
      <c r="A77" s="110" t="s">
        <v>61</v>
      </c>
      <c r="B77" s="98" t="s">
        <v>52</v>
      </c>
      <c r="C77" s="139">
        <v>0.75</v>
      </c>
      <c r="D77" s="140">
        <f>C77*D74</f>
        <v>2.4806249999999999</v>
      </c>
      <c r="E77" s="139">
        <v>0.75</v>
      </c>
      <c r="F77" s="140">
        <f>E77*F74</f>
        <v>1.3395375</v>
      </c>
      <c r="G77" s="139">
        <v>0.75</v>
      </c>
      <c r="H77" s="140">
        <f>G77*H74</f>
        <v>1.7986500000000001</v>
      </c>
      <c r="I77" s="139">
        <v>0.75</v>
      </c>
      <c r="J77" s="140">
        <f>I77*J74</f>
        <v>2.301075</v>
      </c>
      <c r="K77" s="139">
        <v>0.75</v>
      </c>
      <c r="L77" s="140">
        <f>K77*L74</f>
        <v>1.8419625000000002</v>
      </c>
      <c r="M77" s="139">
        <v>0.75</v>
      </c>
      <c r="N77" s="140">
        <f>M77*N74</f>
        <v>3.8886750000000005</v>
      </c>
      <c r="O77" s="139">
        <v>0.75</v>
      </c>
      <c r="P77" s="140">
        <f>O77*P74</f>
        <v>2.4829875000000001</v>
      </c>
      <c r="Q77" s="139">
        <v>0.75</v>
      </c>
      <c r="R77" s="140">
        <f>Q77*R74</f>
        <v>2.4341625000000002</v>
      </c>
      <c r="S77" s="139">
        <v>0.75</v>
      </c>
      <c r="T77" s="140">
        <f>S77*T74</f>
        <v>2.6830125000000002</v>
      </c>
      <c r="U77" s="139">
        <v>0.75</v>
      </c>
      <c r="V77" s="140">
        <f>U77*V74</f>
        <v>2.3042250000000002</v>
      </c>
      <c r="W77" s="139">
        <v>0.75</v>
      </c>
      <c r="X77" s="140">
        <f>W77*X74</f>
        <v>3.3957000000000006</v>
      </c>
      <c r="Y77" s="139">
        <v>0.75</v>
      </c>
      <c r="Z77" s="140">
        <f>Y77*Z74</f>
        <v>2.2609125000000003</v>
      </c>
      <c r="AA77" s="139">
        <v>0.75</v>
      </c>
      <c r="AB77" s="140">
        <f>AA77*AB74</f>
        <v>1.3474125000000001</v>
      </c>
      <c r="AC77" s="139">
        <v>0.75</v>
      </c>
      <c r="AD77" s="140">
        <f>AC77*AD74</f>
        <v>2.153025</v>
      </c>
      <c r="AE77" s="139">
        <v>0.75</v>
      </c>
      <c r="AF77" s="140">
        <f>AE77*AF74</f>
        <v>3.7240874999999996</v>
      </c>
      <c r="AG77" s="139">
        <v>0.75</v>
      </c>
      <c r="AH77" s="140">
        <f>AG77*AH74</f>
        <v>1.9167750000000003</v>
      </c>
      <c r="AI77" s="139">
        <v>0.75</v>
      </c>
      <c r="AJ77" s="140">
        <f>AI77*AJ74</f>
        <v>1.3828500000000001</v>
      </c>
      <c r="AK77" s="139">
        <v>0.75</v>
      </c>
      <c r="AL77" s="140">
        <f>AK77*AL74</f>
        <v>1.1662875000000001</v>
      </c>
      <c r="AM77" s="139">
        <v>0.75</v>
      </c>
      <c r="AN77" s="140">
        <f>AM77*AN74</f>
        <v>0.75285000000000002</v>
      </c>
      <c r="AO77" s="139">
        <v>0.75</v>
      </c>
      <c r="AP77" s="140">
        <f>AO77*AP74</f>
        <v>0</v>
      </c>
      <c r="AQ77" s="139">
        <v>0.75</v>
      </c>
      <c r="AR77" s="140">
        <f>AQ77*AR74</f>
        <v>1.0371375</v>
      </c>
      <c r="AS77" s="139">
        <v>0.75</v>
      </c>
      <c r="AT77" s="140">
        <f>AS77*AT74</f>
        <v>1.2214125</v>
      </c>
      <c r="AU77" s="139">
        <v>0.75</v>
      </c>
      <c r="AV77" s="140">
        <f>AU77*AV74</f>
        <v>0.75363749999999996</v>
      </c>
      <c r="AW77" s="139">
        <v>0.75</v>
      </c>
      <c r="AX77" s="140">
        <f>AW77*AX74</f>
        <v>1.740375</v>
      </c>
      <c r="AY77" s="139">
        <v>0.75</v>
      </c>
      <c r="AZ77" s="140">
        <f>AY77*AZ74</f>
        <v>7.8750000000000014E-2</v>
      </c>
      <c r="BA77" s="139">
        <v>0.75</v>
      </c>
      <c r="BB77" s="140">
        <f>BA77*BB74</f>
        <v>0.46620000000000006</v>
      </c>
      <c r="BC77" s="139">
        <v>0.75</v>
      </c>
      <c r="BD77" s="140">
        <f>BC77*BD74</f>
        <v>1.2733875000000001</v>
      </c>
      <c r="BE77" s="139">
        <v>0.75</v>
      </c>
      <c r="BF77" s="140">
        <f>BE77*BF74</f>
        <v>0.66858750000000011</v>
      </c>
      <c r="BG77" s="139">
        <v>0.75</v>
      </c>
      <c r="BH77" s="140">
        <f>BG77*BH74</f>
        <v>7.2591750000000008</v>
      </c>
      <c r="BI77" s="139">
        <v>0.75</v>
      </c>
      <c r="BJ77" s="140">
        <f>BI77*BJ74</f>
        <v>5.8621499999999997</v>
      </c>
      <c r="BK77" s="139">
        <v>0.75</v>
      </c>
      <c r="BL77" s="140">
        <f>BK77*BL74</f>
        <v>2.5514999999999999</v>
      </c>
      <c r="BM77" s="141"/>
      <c r="BN77" s="113" cm="1">
        <f t="array" ref="BN77">SUMPRODUCT((MOD(COLUMN(D77:BM77)-COLUMN(D77),2)=0)*D77:BM77)</f>
        <v>64.567125000000019</v>
      </c>
      <c r="CA77" s="83"/>
      <c r="CB77" s="83"/>
      <c r="CC77" s="83"/>
      <c r="CD77" s="83"/>
      <c r="CE77" s="83"/>
      <c r="CF77" s="83"/>
      <c r="CG77" s="83"/>
      <c r="CH77" s="83"/>
      <c r="CI77" s="83"/>
      <c r="CJ77" s="83"/>
      <c r="CK77" s="83"/>
      <c r="CL77" s="83"/>
      <c r="CM77" s="83"/>
      <c r="CN77" s="83"/>
      <c r="CO77" s="83"/>
      <c r="CP77" s="83"/>
    </row>
    <row r="78" spans="1:94" x14ac:dyDescent="0.25">
      <c r="A78" s="110" t="s">
        <v>62</v>
      </c>
      <c r="B78" s="98" t="s">
        <v>52</v>
      </c>
      <c r="C78" s="139">
        <v>0.25</v>
      </c>
      <c r="D78" s="140">
        <f>C78*D73</f>
        <v>5.5172250000000007</v>
      </c>
      <c r="E78" s="139">
        <v>0.25</v>
      </c>
      <c r="F78" s="140">
        <f>E78*F73</f>
        <v>6.7283999999999997</v>
      </c>
      <c r="G78" s="139">
        <v>0.25</v>
      </c>
      <c r="H78" s="140">
        <f>G78*H73</f>
        <v>7.1329125000000007</v>
      </c>
      <c r="I78" s="139">
        <v>0.25</v>
      </c>
      <c r="J78" s="140">
        <f>I78*J73</f>
        <v>5.3072249999999999</v>
      </c>
      <c r="K78" s="139">
        <v>0.25</v>
      </c>
      <c r="L78" s="140">
        <f>K78*L73</f>
        <v>5.4605249999999996</v>
      </c>
      <c r="M78" s="139">
        <v>0.25</v>
      </c>
      <c r="N78" s="140">
        <f>M78*N73</f>
        <v>5.9487749999999995</v>
      </c>
      <c r="O78" s="139">
        <v>0.25</v>
      </c>
      <c r="P78" s="140">
        <f>O78*P73</f>
        <v>6.3551250000000001</v>
      </c>
      <c r="Q78" s="139">
        <v>0.25</v>
      </c>
      <c r="R78" s="140">
        <f>Q78*R73</f>
        <v>3.6660750000000002</v>
      </c>
      <c r="S78" s="139">
        <v>0.25</v>
      </c>
      <c r="T78" s="140">
        <f>S78*T73</f>
        <v>6.1829250000000009</v>
      </c>
      <c r="U78" s="139">
        <v>0.25</v>
      </c>
      <c r="V78" s="140">
        <f>U78*V73</f>
        <v>5.6385000000000005</v>
      </c>
      <c r="W78" s="139">
        <v>0.25</v>
      </c>
      <c r="X78" s="140">
        <f>W78*X73</f>
        <v>7.6999125000000008</v>
      </c>
      <c r="Y78" s="139">
        <v>0.25</v>
      </c>
      <c r="Z78" s="140">
        <f>Y78*Z73</f>
        <v>4.6782750000000002</v>
      </c>
      <c r="AA78" s="139">
        <v>0.25</v>
      </c>
      <c r="AB78" s="140">
        <f>AA78*AB73</f>
        <v>8.8431000000000015</v>
      </c>
      <c r="AC78" s="139">
        <v>0.25</v>
      </c>
      <c r="AD78" s="140">
        <f>AC78*AD73</f>
        <v>6.4186499999999995</v>
      </c>
      <c r="AE78" s="139">
        <v>0.25</v>
      </c>
      <c r="AF78" s="140">
        <f>AE78*AF73</f>
        <v>6.1795125000000004</v>
      </c>
      <c r="AG78" s="139">
        <v>0.25</v>
      </c>
      <c r="AH78" s="140">
        <f>AG78*AH73</f>
        <v>4.1068125000000002</v>
      </c>
      <c r="AI78" s="139">
        <v>0.25</v>
      </c>
      <c r="AJ78" s="140">
        <f>AI78*AJ73</f>
        <v>9.6124875000000003</v>
      </c>
      <c r="AK78" s="139">
        <v>0.25</v>
      </c>
      <c r="AL78" s="140">
        <f>AK78*AL73</f>
        <v>4.1603625000000006</v>
      </c>
      <c r="AM78" s="139">
        <v>0.25</v>
      </c>
      <c r="AN78" s="140">
        <f>AM78*AN73</f>
        <v>4.9069124999999998</v>
      </c>
      <c r="AO78" s="139">
        <v>0.25</v>
      </c>
      <c r="AP78" s="140">
        <f>AO78*AP73</f>
        <v>0.67725000000000002</v>
      </c>
      <c r="AQ78" s="139">
        <v>0.25</v>
      </c>
      <c r="AR78" s="140">
        <f>AQ78*AR73</f>
        <v>4.1049750000000005</v>
      </c>
      <c r="AS78" s="139">
        <v>0.25</v>
      </c>
      <c r="AT78" s="140">
        <f>AS78*AT73</f>
        <v>2.9746500000000005</v>
      </c>
      <c r="AU78" s="139">
        <v>0.25</v>
      </c>
      <c r="AV78" s="140">
        <f>AU78*AV73</f>
        <v>4.6368000000000009</v>
      </c>
      <c r="AW78" s="139">
        <v>0.25</v>
      </c>
      <c r="AX78" s="140">
        <f>AW78*AX73</f>
        <v>6.6706500000000002</v>
      </c>
      <c r="AY78" s="139">
        <v>0.25</v>
      </c>
      <c r="AZ78" s="140">
        <f>AY78*AZ73</f>
        <v>4.2716625000000006</v>
      </c>
      <c r="BA78" s="139">
        <v>0.25</v>
      </c>
      <c r="BB78" s="140">
        <f>BA78*BB73</f>
        <v>3.4098750000000004</v>
      </c>
      <c r="BC78" s="139">
        <v>0.25</v>
      </c>
      <c r="BD78" s="140">
        <f>BC78*BD73</f>
        <v>8.0143874999999998</v>
      </c>
      <c r="BE78" s="139">
        <v>0.25</v>
      </c>
      <c r="BF78" s="140">
        <f>BE78*BF73</f>
        <v>3.7697625000000001</v>
      </c>
      <c r="BG78" s="139">
        <v>0.25</v>
      </c>
      <c r="BH78" s="140">
        <f>BG78*BH73</f>
        <v>4.1645625000000006</v>
      </c>
      <c r="BI78" s="139">
        <v>0.25</v>
      </c>
      <c r="BJ78" s="140">
        <f>BI78*BJ73</f>
        <v>2.3391375000000001</v>
      </c>
      <c r="BK78" s="139">
        <v>0.25</v>
      </c>
      <c r="BL78" s="140">
        <f>BK78*BL73</f>
        <v>7.047600000000001</v>
      </c>
      <c r="BM78" s="141"/>
      <c r="BN78" s="113" cm="1">
        <f t="array" ref="BN78">SUMPRODUCT((MOD(COLUMN(D78:BM78)-COLUMN(D78),2)=0)*D78:BM78)</f>
        <v>166.62502499999999</v>
      </c>
      <c r="CA78" s="83"/>
      <c r="CB78" s="83"/>
      <c r="CC78" s="83"/>
      <c r="CD78" s="83"/>
      <c r="CE78" s="83"/>
      <c r="CF78" s="83"/>
      <c r="CG78" s="83"/>
      <c r="CH78" s="83"/>
      <c r="CI78" s="83"/>
      <c r="CJ78" s="83"/>
      <c r="CK78" s="83"/>
      <c r="CL78" s="83"/>
      <c r="CM78" s="83"/>
      <c r="CN78" s="83"/>
      <c r="CO78" s="83"/>
      <c r="CP78" s="83"/>
    </row>
    <row r="79" spans="1:94" x14ac:dyDescent="0.25">
      <c r="A79" s="110" t="s">
        <v>63</v>
      </c>
      <c r="B79" s="98" t="s">
        <v>52</v>
      </c>
      <c r="C79" s="139">
        <v>0.25</v>
      </c>
      <c r="D79" s="140">
        <f>C79*D74</f>
        <v>0.82687500000000003</v>
      </c>
      <c r="E79" s="139">
        <v>0.25</v>
      </c>
      <c r="F79" s="140">
        <f>E79*F74</f>
        <v>0.44651250000000003</v>
      </c>
      <c r="G79" s="139">
        <v>0.25</v>
      </c>
      <c r="H79" s="140">
        <f>G79*H74</f>
        <v>0.59955000000000003</v>
      </c>
      <c r="I79" s="139">
        <v>0.25</v>
      </c>
      <c r="J79" s="140">
        <f>I79*J74</f>
        <v>0.76702500000000007</v>
      </c>
      <c r="K79" s="139">
        <v>0.25</v>
      </c>
      <c r="L79" s="140">
        <f>K79*L74</f>
        <v>0.61398750000000002</v>
      </c>
      <c r="M79" s="139">
        <v>0.25</v>
      </c>
      <c r="N79" s="140">
        <f>M79*N74</f>
        <v>1.2962250000000002</v>
      </c>
      <c r="O79" s="139">
        <v>0.25</v>
      </c>
      <c r="P79" s="140">
        <f>O79*P74</f>
        <v>0.82766250000000008</v>
      </c>
      <c r="Q79" s="139">
        <v>0.25</v>
      </c>
      <c r="R79" s="140">
        <f>Q79*R74</f>
        <v>0.81138750000000015</v>
      </c>
      <c r="S79" s="139">
        <v>0.25</v>
      </c>
      <c r="T79" s="140">
        <f>S79*T74</f>
        <v>0.89433750000000001</v>
      </c>
      <c r="U79" s="139">
        <v>0.25</v>
      </c>
      <c r="V79" s="140">
        <f>U79*V74</f>
        <v>0.76807500000000006</v>
      </c>
      <c r="W79" s="139">
        <v>0.25</v>
      </c>
      <c r="X79" s="140">
        <f>W79*X74</f>
        <v>1.1319000000000001</v>
      </c>
      <c r="Y79" s="139">
        <v>0.25</v>
      </c>
      <c r="Z79" s="140">
        <f>Y79*Z74</f>
        <v>0.75363750000000007</v>
      </c>
      <c r="AA79" s="139">
        <v>0.25</v>
      </c>
      <c r="AB79" s="140">
        <f>AA79*AB74</f>
        <v>0.44913750000000002</v>
      </c>
      <c r="AC79" s="139">
        <v>0.25</v>
      </c>
      <c r="AD79" s="140">
        <f>AC79*AD74</f>
        <v>0.71767499999999995</v>
      </c>
      <c r="AE79" s="139">
        <v>0.25</v>
      </c>
      <c r="AF79" s="140">
        <f>AE79*AF74</f>
        <v>1.2413624999999999</v>
      </c>
      <c r="AG79" s="139">
        <v>0.25</v>
      </c>
      <c r="AH79" s="140">
        <f>AG79*AH74</f>
        <v>0.63892500000000008</v>
      </c>
      <c r="AI79" s="139">
        <v>0.25</v>
      </c>
      <c r="AJ79" s="140">
        <f>AI79*AJ74</f>
        <v>0.46095000000000003</v>
      </c>
      <c r="AK79" s="139">
        <v>0.25</v>
      </c>
      <c r="AL79" s="140">
        <f>AK79*AL74</f>
        <v>0.38876250000000001</v>
      </c>
      <c r="AM79" s="139">
        <v>0.25</v>
      </c>
      <c r="AN79" s="140">
        <f>AM79*AN74</f>
        <v>0.25095000000000001</v>
      </c>
      <c r="AO79" s="139">
        <v>0.25</v>
      </c>
      <c r="AP79" s="140">
        <f>AO79*AP74</f>
        <v>0</v>
      </c>
      <c r="AQ79" s="139">
        <v>0.25</v>
      </c>
      <c r="AR79" s="140">
        <f>AQ79*AR74</f>
        <v>0.34571249999999998</v>
      </c>
      <c r="AS79" s="139">
        <v>0.25</v>
      </c>
      <c r="AT79" s="140">
        <f>AS79*AT74</f>
        <v>0.40713749999999999</v>
      </c>
      <c r="AU79" s="139">
        <v>0.25</v>
      </c>
      <c r="AV79" s="140">
        <f>AU79*AV74</f>
        <v>0.25121250000000001</v>
      </c>
      <c r="AW79" s="139">
        <v>0.25</v>
      </c>
      <c r="AX79" s="140">
        <f>AW79*AX74</f>
        <v>0.580125</v>
      </c>
      <c r="AY79" s="139">
        <v>0.25</v>
      </c>
      <c r="AZ79" s="140">
        <f>AY79*AZ74</f>
        <v>2.6250000000000002E-2</v>
      </c>
      <c r="BA79" s="139">
        <v>0.25</v>
      </c>
      <c r="BB79" s="140">
        <f>BA79*BB74</f>
        <v>0.15540000000000001</v>
      </c>
      <c r="BC79" s="139">
        <v>0.25</v>
      </c>
      <c r="BD79" s="140">
        <f>BC79*BD74</f>
        <v>0.42446250000000002</v>
      </c>
      <c r="BE79" s="139">
        <v>0.25</v>
      </c>
      <c r="BF79" s="140">
        <f>BE79*BF74</f>
        <v>0.22286250000000002</v>
      </c>
      <c r="BG79" s="139">
        <v>0.25</v>
      </c>
      <c r="BH79" s="140">
        <f>BG79*BH74</f>
        <v>2.4197250000000001</v>
      </c>
      <c r="BI79" s="139">
        <v>0.25</v>
      </c>
      <c r="BJ79" s="140">
        <f>BI79*BJ74</f>
        <v>1.9540500000000001</v>
      </c>
      <c r="BK79" s="139">
        <v>0.25</v>
      </c>
      <c r="BL79" s="140">
        <f>BK79*BL74</f>
        <v>0.85050000000000003</v>
      </c>
      <c r="BM79" s="141"/>
      <c r="BN79" s="113" cm="1">
        <f t="array" ref="BN79">SUMPRODUCT((MOD(COLUMN(D79:BM79)-COLUMN(D79),2)=0)*D79:BM79)</f>
        <v>21.522375</v>
      </c>
      <c r="CA79" s="83"/>
      <c r="CB79" s="83"/>
      <c r="CC79" s="83"/>
      <c r="CD79" s="83"/>
      <c r="CE79" s="83"/>
      <c r="CF79" s="83"/>
      <c r="CG79" s="83"/>
      <c r="CH79" s="83"/>
      <c r="CI79" s="83"/>
      <c r="CJ79" s="83"/>
      <c r="CK79" s="83"/>
      <c r="CL79" s="83"/>
      <c r="CM79" s="83"/>
      <c r="CN79" s="83"/>
      <c r="CO79" s="83"/>
      <c r="CP79" s="83"/>
    </row>
    <row r="80" spans="1:94" x14ac:dyDescent="0.25">
      <c r="A80" s="107" t="s">
        <v>64</v>
      </c>
      <c r="B80" s="101"/>
      <c r="C80" s="115"/>
      <c r="D80" s="116">
        <f>SUM(D78:D79)</f>
        <v>6.344100000000001</v>
      </c>
      <c r="E80" s="115"/>
      <c r="F80" s="116">
        <f>SUM(F78:F79)</f>
        <v>7.1749124999999996</v>
      </c>
      <c r="G80" s="115"/>
      <c r="H80" s="116">
        <f>SUM(H78:H79)</f>
        <v>7.7324625000000005</v>
      </c>
      <c r="I80" s="115"/>
      <c r="J80" s="116">
        <f>SUM(J78:J79)</f>
        <v>6.0742500000000001</v>
      </c>
      <c r="K80" s="115"/>
      <c r="L80" s="116">
        <f>SUM(L78:L79)</f>
        <v>6.0745125</v>
      </c>
      <c r="M80" s="115"/>
      <c r="N80" s="116">
        <f>SUM(N78:N79)</f>
        <v>7.2449999999999992</v>
      </c>
      <c r="O80" s="115"/>
      <c r="P80" s="116">
        <f>SUM(P78:P79)</f>
        <v>7.1827874999999999</v>
      </c>
      <c r="Q80" s="115"/>
      <c r="R80" s="116">
        <f>SUM(R78:R79)</f>
        <v>4.4774625000000006</v>
      </c>
      <c r="S80" s="115"/>
      <c r="T80" s="116">
        <f>SUM(T78:T79)</f>
        <v>7.0772625000000007</v>
      </c>
      <c r="U80" s="115"/>
      <c r="V80" s="116">
        <f>SUM(V78:V79)</f>
        <v>6.4065750000000001</v>
      </c>
      <c r="W80" s="115"/>
      <c r="X80" s="116">
        <f>SUM(X78:X79)</f>
        <v>8.8318125000000016</v>
      </c>
      <c r="Y80" s="115"/>
      <c r="Z80" s="116">
        <f>SUM(Z78:Z79)</f>
        <v>5.4319125000000001</v>
      </c>
      <c r="AA80" s="115"/>
      <c r="AB80" s="116">
        <f>SUM(AB78:AB79)</f>
        <v>9.2922375000000024</v>
      </c>
      <c r="AC80" s="115"/>
      <c r="AD80" s="116">
        <f>SUM(AD78:AD79)</f>
        <v>7.1363249999999994</v>
      </c>
      <c r="AE80" s="115"/>
      <c r="AF80" s="116">
        <f>SUM(AF78:AF79)</f>
        <v>7.4208750000000006</v>
      </c>
      <c r="AG80" s="115"/>
      <c r="AH80" s="116">
        <f>SUM(AH78:AH79)</f>
        <v>4.7457375000000006</v>
      </c>
      <c r="AI80" s="115"/>
      <c r="AJ80" s="116">
        <f>SUM(AJ78:AJ79)</f>
        <v>10.073437500000001</v>
      </c>
      <c r="AK80" s="115"/>
      <c r="AL80" s="116">
        <f>SUM(AL78:AL79)</f>
        <v>4.549125000000001</v>
      </c>
      <c r="AM80" s="115"/>
      <c r="AN80" s="116">
        <f>SUM(AN78:AN79)</f>
        <v>5.1578625000000002</v>
      </c>
      <c r="AO80" s="115"/>
      <c r="AP80" s="116">
        <f>SUM(AP78:AP79)</f>
        <v>0.67725000000000002</v>
      </c>
      <c r="AQ80" s="115"/>
      <c r="AR80" s="116">
        <f>SUM(AR78:AR79)</f>
        <v>4.4506875000000008</v>
      </c>
      <c r="AS80" s="115"/>
      <c r="AT80" s="116">
        <f>SUM(AT78:AT79)</f>
        <v>3.3817875000000006</v>
      </c>
      <c r="AU80" s="115"/>
      <c r="AV80" s="116">
        <f>SUM(AV78:AV79)</f>
        <v>4.8880125000000012</v>
      </c>
      <c r="AW80" s="115"/>
      <c r="AX80" s="116">
        <f>SUM(AX78:AX79)</f>
        <v>7.250775</v>
      </c>
      <c r="AY80" s="115"/>
      <c r="AZ80" s="116">
        <f>SUM(AZ78:AZ79)</f>
        <v>4.2979125000000007</v>
      </c>
      <c r="BA80" s="115"/>
      <c r="BB80" s="116">
        <f>SUM(BB78:BB79)</f>
        <v>3.5652750000000006</v>
      </c>
      <c r="BC80" s="115"/>
      <c r="BD80" s="116">
        <f>SUM(BD78:BD79)</f>
        <v>8.4388500000000004</v>
      </c>
      <c r="BE80" s="115"/>
      <c r="BF80" s="116">
        <f>SUM(BF78:BF79)</f>
        <v>3.9926250000000003</v>
      </c>
      <c r="BG80" s="115"/>
      <c r="BH80" s="116">
        <f>SUM(BH78:BH79)</f>
        <v>6.5842875000000003</v>
      </c>
      <c r="BI80" s="115"/>
      <c r="BJ80" s="116">
        <f>SUM(BJ78:BJ79)</f>
        <v>4.2931875000000002</v>
      </c>
      <c r="BK80" s="115"/>
      <c r="BL80" s="116">
        <f>SUM(BL78:BL79)</f>
        <v>7.8981000000000012</v>
      </c>
      <c r="BM80" s="117"/>
      <c r="BN80" s="116">
        <f>SUM(C80:BM80)</f>
        <v>188.14739999999998</v>
      </c>
      <c r="CA80" s="83"/>
      <c r="CB80" s="83"/>
      <c r="CC80" s="83"/>
      <c r="CD80" s="83"/>
      <c r="CE80" s="83"/>
      <c r="CF80" s="83"/>
      <c r="CG80" s="83"/>
      <c r="CH80" s="83"/>
      <c r="CI80" s="83"/>
      <c r="CJ80" s="83"/>
      <c r="CK80" s="83"/>
      <c r="CL80" s="83"/>
      <c r="CM80" s="83"/>
      <c r="CN80" s="83"/>
      <c r="CO80" s="83"/>
      <c r="CP80" s="83"/>
    </row>
    <row r="81" spans="1:1" x14ac:dyDescent="0.25">
      <c r="A81" s="1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28ADF-763C-48F6-9B5D-6E46A4558AA0}">
  <sheetPr codeName="Sheet10"/>
  <dimension ref="A2:CP81"/>
  <sheetViews>
    <sheetView showGridLines="0" workbookViewId="0"/>
  </sheetViews>
  <sheetFormatPr defaultColWidth="9.140625" defaultRowHeight="12.75" x14ac:dyDescent="0.25"/>
  <cols>
    <col min="1" max="1" width="26.7109375" style="79" customWidth="1"/>
    <col min="2" max="2" width="19.7109375" style="79" customWidth="1"/>
    <col min="3" max="3" width="20.7109375" style="79" customWidth="1"/>
    <col min="4" max="4" width="20.7109375" style="82" customWidth="1"/>
    <col min="5" max="5" width="20.7109375" style="83" customWidth="1"/>
    <col min="6" max="6" width="20.7109375" style="82" customWidth="1"/>
    <col min="7" max="7" width="20.7109375" style="83" customWidth="1"/>
    <col min="8" max="8" width="20.7109375" style="82" customWidth="1"/>
    <col min="9" max="9" width="20.7109375" style="83" customWidth="1"/>
    <col min="10" max="10" width="20.7109375" style="82" customWidth="1"/>
    <col min="11" max="11" width="20.7109375" style="83" customWidth="1"/>
    <col min="12" max="12" width="20.7109375" style="82" customWidth="1"/>
    <col min="13" max="13" width="20.7109375" style="83" customWidth="1"/>
    <col min="14" max="14" width="20.7109375" style="82" customWidth="1"/>
    <col min="15" max="66" width="20.7109375" style="83" customWidth="1"/>
    <col min="67" max="75" width="11.42578125" style="83" customWidth="1"/>
    <col min="76" max="76" width="10.42578125" style="83" bestFit="1" customWidth="1"/>
    <col min="77" max="78" width="9.140625" style="83"/>
    <col min="79" max="16384" width="9.140625" style="79"/>
  </cols>
  <sheetData>
    <row r="2" spans="1:94" ht="15.75" x14ac:dyDescent="0.25">
      <c r="A2" s="78" t="s">
        <v>0</v>
      </c>
      <c r="D2" s="80"/>
      <c r="E2" s="81"/>
      <c r="F2" s="80"/>
      <c r="G2" s="81"/>
    </row>
    <row r="3" spans="1:94" x14ac:dyDescent="0.25">
      <c r="A3" s="79" t="s">
        <v>81</v>
      </c>
      <c r="D3" s="80"/>
      <c r="E3" s="81"/>
      <c r="F3" s="80"/>
      <c r="G3" s="81"/>
    </row>
    <row r="4" spans="1:94" x14ac:dyDescent="0.25">
      <c r="A4" s="1">
        <v>45839</v>
      </c>
      <c r="D4" s="80"/>
      <c r="E4" s="81"/>
      <c r="F4" s="80"/>
      <c r="G4" s="81"/>
    </row>
    <row r="5" spans="1:94" x14ac:dyDescent="0.25">
      <c r="D5" s="80"/>
      <c r="E5" s="81"/>
      <c r="F5" s="80"/>
      <c r="G5" s="81"/>
    </row>
    <row r="6" spans="1:94" s="84" customFormat="1" x14ac:dyDescent="0.25">
      <c r="B6" s="85"/>
      <c r="C6" s="150">
        <f>IF(MOD(COLUMN()-COLUMN($C$6),2)=0,IF(DAY(DATE(YEAR($A$4),MONTH($A$4),(COLUMN()-COLUMN($C$6))/2+1))=(COLUMN()-COLUMN($C$6))/2+1,DATE(YEAR($A$4),MONTH($A$4),(COLUMN()-COLUMN($C$6))/2+1),""),"")</f>
        <v>45839</v>
      </c>
      <c r="D6" s="150" t="str">
        <f t="shared" ref="D6:BL6" si="0">IF(MOD(COLUMN()-COLUMN($C$6),2)=0,IF(DAY(DATE(YEAR($A$4),MONTH($A$4),(COLUMN()-COLUMN($C$6))/2+1))=(COLUMN()-COLUMN($C$6))/2+1,DATE(YEAR($A$4),MONTH($A$4),(COLUMN()-COLUMN($C$6))/2+1),""),"")</f>
        <v/>
      </c>
      <c r="E6" s="150">
        <f t="shared" si="0"/>
        <v>45840</v>
      </c>
      <c r="F6" s="150" t="str">
        <f t="shared" si="0"/>
        <v/>
      </c>
      <c r="G6" s="150">
        <f t="shared" si="0"/>
        <v>45841</v>
      </c>
      <c r="H6" s="150" t="str">
        <f t="shared" si="0"/>
        <v/>
      </c>
      <c r="I6" s="150">
        <f t="shared" si="0"/>
        <v>45842</v>
      </c>
      <c r="J6" s="150" t="str">
        <f t="shared" si="0"/>
        <v/>
      </c>
      <c r="K6" s="150">
        <f t="shared" si="0"/>
        <v>45843</v>
      </c>
      <c r="L6" s="150" t="str">
        <f t="shared" si="0"/>
        <v/>
      </c>
      <c r="M6" s="150">
        <f t="shared" si="0"/>
        <v>45844</v>
      </c>
      <c r="N6" s="150" t="str">
        <f t="shared" si="0"/>
        <v/>
      </c>
      <c r="O6" s="150">
        <f t="shared" si="0"/>
        <v>45845</v>
      </c>
      <c r="P6" s="150" t="str">
        <f t="shared" si="0"/>
        <v/>
      </c>
      <c r="Q6" s="150">
        <f t="shared" si="0"/>
        <v>45846</v>
      </c>
      <c r="R6" s="150" t="str">
        <f t="shared" si="0"/>
        <v/>
      </c>
      <c r="S6" s="150">
        <f t="shared" si="0"/>
        <v>45847</v>
      </c>
      <c r="T6" s="150" t="str">
        <f t="shared" si="0"/>
        <v/>
      </c>
      <c r="U6" s="150">
        <f t="shared" si="0"/>
        <v>45848</v>
      </c>
      <c r="V6" s="150" t="str">
        <f t="shared" si="0"/>
        <v/>
      </c>
      <c r="W6" s="150">
        <f t="shared" si="0"/>
        <v>45849</v>
      </c>
      <c r="X6" s="150" t="str">
        <f t="shared" si="0"/>
        <v/>
      </c>
      <c r="Y6" s="150">
        <f t="shared" si="0"/>
        <v>45850</v>
      </c>
      <c r="Z6" s="150" t="str">
        <f t="shared" si="0"/>
        <v/>
      </c>
      <c r="AA6" s="150">
        <f t="shared" si="0"/>
        <v>45851</v>
      </c>
      <c r="AB6" s="150" t="str">
        <f t="shared" si="0"/>
        <v/>
      </c>
      <c r="AC6" s="150">
        <f t="shared" si="0"/>
        <v>45852</v>
      </c>
      <c r="AD6" s="150" t="str">
        <f t="shared" si="0"/>
        <v/>
      </c>
      <c r="AE6" s="150">
        <f t="shared" si="0"/>
        <v>45853</v>
      </c>
      <c r="AF6" s="150" t="str">
        <f t="shared" si="0"/>
        <v/>
      </c>
      <c r="AG6" s="150">
        <f t="shared" si="0"/>
        <v>45854</v>
      </c>
      <c r="AH6" s="150" t="str">
        <f t="shared" si="0"/>
        <v/>
      </c>
      <c r="AI6" s="150">
        <f t="shared" si="0"/>
        <v>45855</v>
      </c>
      <c r="AJ6" s="150" t="str">
        <f t="shared" si="0"/>
        <v/>
      </c>
      <c r="AK6" s="150">
        <f t="shared" si="0"/>
        <v>45856</v>
      </c>
      <c r="AL6" s="150" t="str">
        <f t="shared" si="0"/>
        <v/>
      </c>
      <c r="AM6" s="150">
        <f t="shared" si="0"/>
        <v>45857</v>
      </c>
      <c r="AN6" s="150" t="str">
        <f t="shared" si="0"/>
        <v/>
      </c>
      <c r="AO6" s="150">
        <f t="shared" si="0"/>
        <v>45858</v>
      </c>
      <c r="AP6" s="150" t="str">
        <f t="shared" si="0"/>
        <v/>
      </c>
      <c r="AQ6" s="150">
        <f t="shared" si="0"/>
        <v>45859</v>
      </c>
      <c r="AR6" s="150" t="str">
        <f t="shared" si="0"/>
        <v/>
      </c>
      <c r="AS6" s="150">
        <f t="shared" si="0"/>
        <v>45860</v>
      </c>
      <c r="AT6" s="150" t="str">
        <f t="shared" si="0"/>
        <v/>
      </c>
      <c r="AU6" s="150">
        <f t="shared" si="0"/>
        <v>45861</v>
      </c>
      <c r="AV6" s="150" t="str">
        <f t="shared" si="0"/>
        <v/>
      </c>
      <c r="AW6" s="150">
        <f t="shared" si="0"/>
        <v>45862</v>
      </c>
      <c r="AX6" s="150" t="str">
        <f t="shared" si="0"/>
        <v/>
      </c>
      <c r="AY6" s="150">
        <f t="shared" si="0"/>
        <v>45863</v>
      </c>
      <c r="AZ6" s="150" t="str">
        <f t="shared" si="0"/>
        <v/>
      </c>
      <c r="BA6" s="150">
        <f t="shared" si="0"/>
        <v>45864</v>
      </c>
      <c r="BB6" s="150" t="str">
        <f t="shared" si="0"/>
        <v/>
      </c>
      <c r="BC6" s="150">
        <f t="shared" si="0"/>
        <v>45865</v>
      </c>
      <c r="BD6" s="150" t="str">
        <f t="shared" si="0"/>
        <v/>
      </c>
      <c r="BE6" s="150">
        <f t="shared" si="0"/>
        <v>45866</v>
      </c>
      <c r="BF6" s="150" t="str">
        <f t="shared" si="0"/>
        <v/>
      </c>
      <c r="BG6" s="150">
        <f t="shared" si="0"/>
        <v>45867</v>
      </c>
      <c r="BH6" s="150" t="str">
        <f t="shared" si="0"/>
        <v/>
      </c>
      <c r="BI6" s="150">
        <f t="shared" si="0"/>
        <v>45868</v>
      </c>
      <c r="BJ6" s="150" t="str">
        <f t="shared" si="0"/>
        <v/>
      </c>
      <c r="BK6" s="150">
        <f t="shared" si="0"/>
        <v>45869</v>
      </c>
      <c r="BL6" s="150" t="str">
        <f t="shared" si="0"/>
        <v/>
      </c>
      <c r="BM6" s="151"/>
      <c r="BN6" s="151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7"/>
      <c r="BZ6" s="87"/>
    </row>
    <row r="7" spans="1:94" x14ac:dyDescent="0.25">
      <c r="B7" s="149" t="s">
        <v>2</v>
      </c>
      <c r="C7" s="146" t="s">
        <v>3</v>
      </c>
      <c r="D7" s="147" t="s">
        <v>4</v>
      </c>
      <c r="E7" s="146" t="s">
        <v>3</v>
      </c>
      <c r="F7" s="147" t="s">
        <v>4</v>
      </c>
      <c r="G7" s="146" t="s">
        <v>3</v>
      </c>
      <c r="H7" s="147" t="s">
        <v>4</v>
      </c>
      <c r="I7" s="146" t="s">
        <v>3</v>
      </c>
      <c r="J7" s="147" t="s">
        <v>4</v>
      </c>
      <c r="K7" s="146" t="s">
        <v>3</v>
      </c>
      <c r="L7" s="147" t="s">
        <v>4</v>
      </c>
      <c r="M7" s="146" t="s">
        <v>3</v>
      </c>
      <c r="N7" s="147" t="s">
        <v>4</v>
      </c>
      <c r="O7" s="146" t="s">
        <v>3</v>
      </c>
      <c r="P7" s="147" t="s">
        <v>4</v>
      </c>
      <c r="Q7" s="146" t="s">
        <v>3</v>
      </c>
      <c r="R7" s="147" t="s">
        <v>4</v>
      </c>
      <c r="S7" s="146" t="s">
        <v>3</v>
      </c>
      <c r="T7" s="147" t="s">
        <v>4</v>
      </c>
      <c r="U7" s="146" t="s">
        <v>3</v>
      </c>
      <c r="V7" s="147" t="s">
        <v>4</v>
      </c>
      <c r="W7" s="146" t="s">
        <v>3</v>
      </c>
      <c r="X7" s="147" t="s">
        <v>4</v>
      </c>
      <c r="Y7" s="146" t="s">
        <v>3</v>
      </c>
      <c r="Z7" s="147" t="s">
        <v>4</v>
      </c>
      <c r="AA7" s="146" t="s">
        <v>3</v>
      </c>
      <c r="AB7" s="147" t="s">
        <v>4</v>
      </c>
      <c r="AC7" s="146" t="s">
        <v>3</v>
      </c>
      <c r="AD7" s="147" t="s">
        <v>4</v>
      </c>
      <c r="AE7" s="146" t="s">
        <v>3</v>
      </c>
      <c r="AF7" s="147" t="s">
        <v>4</v>
      </c>
      <c r="AG7" s="146" t="s">
        <v>3</v>
      </c>
      <c r="AH7" s="147" t="s">
        <v>4</v>
      </c>
      <c r="AI7" s="146" t="s">
        <v>3</v>
      </c>
      <c r="AJ7" s="147" t="s">
        <v>4</v>
      </c>
      <c r="AK7" s="146" t="s">
        <v>3</v>
      </c>
      <c r="AL7" s="147" t="s">
        <v>4</v>
      </c>
      <c r="AM7" s="146" t="s">
        <v>3</v>
      </c>
      <c r="AN7" s="147" t="s">
        <v>4</v>
      </c>
      <c r="AO7" s="146" t="s">
        <v>3</v>
      </c>
      <c r="AP7" s="147" t="s">
        <v>4</v>
      </c>
      <c r="AQ7" s="146" t="s">
        <v>3</v>
      </c>
      <c r="AR7" s="147" t="s">
        <v>4</v>
      </c>
      <c r="AS7" s="146" t="s">
        <v>3</v>
      </c>
      <c r="AT7" s="147" t="s">
        <v>4</v>
      </c>
      <c r="AU7" s="146" t="s">
        <v>3</v>
      </c>
      <c r="AV7" s="147" t="s">
        <v>4</v>
      </c>
      <c r="AW7" s="146" t="s">
        <v>3</v>
      </c>
      <c r="AX7" s="147" t="s">
        <v>4</v>
      </c>
      <c r="AY7" s="146" t="s">
        <v>3</v>
      </c>
      <c r="AZ7" s="147" t="s">
        <v>4</v>
      </c>
      <c r="BA7" s="146" t="s">
        <v>3</v>
      </c>
      <c r="BB7" s="147" t="s">
        <v>4</v>
      </c>
      <c r="BC7" s="146" t="s">
        <v>3</v>
      </c>
      <c r="BD7" s="147" t="s">
        <v>4</v>
      </c>
      <c r="BE7" s="146" t="s">
        <v>3</v>
      </c>
      <c r="BF7" s="147" t="s">
        <v>4</v>
      </c>
      <c r="BG7" s="146" t="s">
        <v>3</v>
      </c>
      <c r="BH7" s="147" t="s">
        <v>4</v>
      </c>
      <c r="BI7" s="146" t="s">
        <v>3</v>
      </c>
      <c r="BJ7" s="147" t="s">
        <v>4</v>
      </c>
      <c r="BK7" s="146" t="s">
        <v>3</v>
      </c>
      <c r="BL7" s="147" t="s">
        <v>4</v>
      </c>
      <c r="BM7" s="148" t="s">
        <v>5</v>
      </c>
      <c r="BN7" s="147" t="s">
        <v>6</v>
      </c>
      <c r="CA7" s="83"/>
      <c r="CB7" s="83"/>
      <c r="CC7" s="83"/>
      <c r="CD7" s="83"/>
      <c r="CE7" s="83"/>
      <c r="CF7" s="83"/>
      <c r="CG7" s="83"/>
      <c r="CH7" s="83"/>
      <c r="CI7" s="83"/>
      <c r="CJ7" s="83"/>
      <c r="CK7" s="83"/>
      <c r="CL7" s="83"/>
      <c r="CM7" s="83"/>
      <c r="CN7" s="83"/>
      <c r="CO7" s="83"/>
      <c r="CP7" s="83"/>
    </row>
    <row r="8" spans="1:94" x14ac:dyDescent="0.25">
      <c r="B8" s="88"/>
      <c r="C8" s="89"/>
      <c r="D8" s="90"/>
      <c r="E8" s="89"/>
      <c r="F8" s="90"/>
      <c r="G8" s="89"/>
      <c r="H8" s="90"/>
      <c r="I8" s="89"/>
      <c r="J8" s="90"/>
      <c r="K8" s="89"/>
      <c r="L8" s="90"/>
      <c r="M8" s="89"/>
      <c r="N8" s="90"/>
      <c r="O8" s="89"/>
      <c r="P8" s="90"/>
      <c r="Q8" s="89"/>
      <c r="R8" s="90"/>
      <c r="S8" s="89"/>
      <c r="T8" s="90"/>
      <c r="U8" s="89"/>
      <c r="V8" s="90"/>
      <c r="W8" s="89"/>
      <c r="X8" s="90"/>
      <c r="Y8" s="89"/>
      <c r="Z8" s="90"/>
      <c r="AA8" s="89"/>
      <c r="AB8" s="90"/>
      <c r="AC8" s="89"/>
      <c r="AD8" s="90"/>
      <c r="AE8" s="89"/>
      <c r="AF8" s="90"/>
      <c r="AG8" s="89"/>
      <c r="AH8" s="90"/>
      <c r="AI8" s="89"/>
      <c r="AJ8" s="90"/>
      <c r="AK8" s="89"/>
      <c r="AL8" s="90"/>
      <c r="AM8" s="89"/>
      <c r="AN8" s="90"/>
      <c r="AO8" s="89"/>
      <c r="AP8" s="90"/>
      <c r="AQ8" s="89"/>
      <c r="AR8" s="90"/>
      <c r="AS8" s="89"/>
      <c r="AT8" s="90"/>
      <c r="AU8" s="89"/>
      <c r="AV8" s="90"/>
      <c r="AW8" s="89"/>
      <c r="AX8" s="90"/>
      <c r="AY8" s="89"/>
      <c r="AZ8" s="90"/>
      <c r="BA8" s="89"/>
      <c r="BB8" s="90"/>
      <c r="BC8" s="89"/>
      <c r="BD8" s="90"/>
      <c r="BE8" s="89"/>
      <c r="BF8" s="90"/>
      <c r="BG8" s="89"/>
      <c r="BH8" s="90"/>
      <c r="BI8" s="89"/>
      <c r="BJ8" s="90"/>
      <c r="BK8" s="89"/>
      <c r="BL8" s="90"/>
      <c r="BM8" s="91"/>
      <c r="BN8" s="90"/>
      <c r="CA8" s="83"/>
      <c r="CB8" s="83"/>
      <c r="CC8" s="83"/>
      <c r="CD8" s="83"/>
      <c r="CE8" s="83"/>
      <c r="CF8" s="83"/>
      <c r="CG8" s="83"/>
      <c r="CH8" s="83"/>
      <c r="CI8" s="83"/>
      <c r="CJ8" s="83"/>
      <c r="CK8" s="83"/>
      <c r="CL8" s="83"/>
      <c r="CM8" s="83"/>
      <c r="CN8" s="83"/>
      <c r="CO8" s="83"/>
      <c r="CP8" s="83"/>
    </row>
    <row r="9" spans="1:94" x14ac:dyDescent="0.25">
      <c r="A9" s="92" t="s">
        <v>7</v>
      </c>
      <c r="B9" s="93"/>
      <c r="C9" s="94"/>
      <c r="D9" s="95"/>
      <c r="E9" s="94"/>
      <c r="F9" s="95"/>
      <c r="G9" s="94"/>
      <c r="H9" s="95"/>
      <c r="I9" s="94"/>
      <c r="J9" s="95"/>
      <c r="K9" s="94"/>
      <c r="L9" s="95"/>
      <c r="M9" s="94"/>
      <c r="N9" s="95"/>
      <c r="O9" s="94"/>
      <c r="P9" s="95"/>
      <c r="Q9" s="94"/>
      <c r="R9" s="95"/>
      <c r="S9" s="94"/>
      <c r="T9" s="95"/>
      <c r="U9" s="94"/>
      <c r="V9" s="95"/>
      <c r="W9" s="94"/>
      <c r="X9" s="95"/>
      <c r="Y9" s="94"/>
      <c r="Z9" s="95"/>
      <c r="AA9" s="94"/>
      <c r="AB9" s="95"/>
      <c r="AC9" s="94"/>
      <c r="AD9" s="95"/>
      <c r="AE9" s="94"/>
      <c r="AF9" s="95"/>
      <c r="AG9" s="94"/>
      <c r="AH9" s="95"/>
      <c r="AI9" s="94"/>
      <c r="AJ9" s="95"/>
      <c r="AK9" s="94"/>
      <c r="AL9" s="95"/>
      <c r="AM9" s="94"/>
      <c r="AN9" s="95"/>
      <c r="AO9" s="94"/>
      <c r="AP9" s="95"/>
      <c r="AQ9" s="94"/>
      <c r="AR9" s="95"/>
      <c r="AS9" s="94"/>
      <c r="AT9" s="95"/>
      <c r="AU9" s="94"/>
      <c r="AV9" s="95"/>
      <c r="AW9" s="94"/>
      <c r="AX9" s="95"/>
      <c r="AY9" s="94"/>
      <c r="AZ9" s="95"/>
      <c r="BA9" s="94"/>
      <c r="BB9" s="95"/>
      <c r="BC9" s="94"/>
      <c r="BD9" s="95"/>
      <c r="BE9" s="94"/>
      <c r="BF9" s="95"/>
      <c r="BG9" s="94"/>
      <c r="BH9" s="95"/>
      <c r="BI9" s="94"/>
      <c r="BJ9" s="95"/>
      <c r="BK9" s="94"/>
      <c r="BL9" s="95"/>
      <c r="BM9" s="96"/>
      <c r="BN9" s="97"/>
      <c r="CA9" s="83"/>
      <c r="CB9" s="83"/>
      <c r="CC9" s="83"/>
      <c r="CD9" s="83"/>
      <c r="CE9" s="83"/>
      <c r="CF9" s="83"/>
      <c r="CG9" s="83"/>
      <c r="CH9" s="83"/>
      <c r="CI9" s="83"/>
      <c r="CJ9" s="83"/>
      <c r="CK9" s="83"/>
      <c r="CL9" s="83"/>
      <c r="CM9" s="83"/>
      <c r="CN9" s="83"/>
      <c r="CO9" s="83"/>
      <c r="CP9" s="83"/>
    </row>
    <row r="10" spans="1:94" x14ac:dyDescent="0.25">
      <c r="A10" s="79" t="s">
        <v>8</v>
      </c>
      <c r="B10" s="98" t="s">
        <v>9</v>
      </c>
      <c r="C10" s="112">
        <v>7</v>
      </c>
      <c r="D10" s="113">
        <v>3481.1</v>
      </c>
      <c r="E10" s="112">
        <v>2</v>
      </c>
      <c r="F10" s="113">
        <v>1466.2</v>
      </c>
      <c r="G10" s="112">
        <v>3</v>
      </c>
      <c r="H10" s="113">
        <v>651.79999999999995</v>
      </c>
      <c r="I10" s="112">
        <v>5</v>
      </c>
      <c r="J10" s="113">
        <v>1686.4</v>
      </c>
      <c r="K10" s="112">
        <v>2</v>
      </c>
      <c r="L10" s="113">
        <v>800</v>
      </c>
      <c r="M10" s="112">
        <v>4</v>
      </c>
      <c r="N10" s="113">
        <v>2166.1</v>
      </c>
      <c r="O10" s="112">
        <v>1</v>
      </c>
      <c r="P10" s="113">
        <v>500</v>
      </c>
      <c r="Q10" s="112">
        <v>2</v>
      </c>
      <c r="R10" s="113">
        <v>1570.6</v>
      </c>
      <c r="S10" s="112">
        <v>1</v>
      </c>
      <c r="T10" s="113">
        <v>500</v>
      </c>
      <c r="U10" s="112">
        <v>6</v>
      </c>
      <c r="V10" s="113">
        <v>2799.5</v>
      </c>
      <c r="W10" s="112">
        <v>3</v>
      </c>
      <c r="X10" s="113">
        <v>2138.3000000000002</v>
      </c>
      <c r="Y10" s="112">
        <v>4</v>
      </c>
      <c r="Z10" s="113">
        <v>1743.5</v>
      </c>
      <c r="AA10" s="112">
        <v>6</v>
      </c>
      <c r="AB10" s="113">
        <v>3954.7</v>
      </c>
      <c r="AC10" s="112">
        <v>3</v>
      </c>
      <c r="AD10" s="113">
        <v>1900</v>
      </c>
      <c r="AE10" s="112">
        <v>1</v>
      </c>
      <c r="AF10" s="113">
        <v>500</v>
      </c>
      <c r="AG10" s="112">
        <v>4</v>
      </c>
      <c r="AH10" s="113">
        <v>1388.3</v>
      </c>
      <c r="AI10" s="112">
        <v>7</v>
      </c>
      <c r="AJ10" s="113">
        <v>2926.7</v>
      </c>
      <c r="AK10" s="112">
        <v>5</v>
      </c>
      <c r="AL10" s="113">
        <v>2598.8000000000002</v>
      </c>
      <c r="AM10" s="112">
        <v>4</v>
      </c>
      <c r="AN10" s="113">
        <v>3063.5</v>
      </c>
      <c r="AO10" s="112">
        <v>0</v>
      </c>
      <c r="AP10" s="113">
        <v>0</v>
      </c>
      <c r="AQ10" s="112">
        <v>2</v>
      </c>
      <c r="AR10" s="113">
        <v>1000</v>
      </c>
      <c r="AS10" s="112">
        <v>2</v>
      </c>
      <c r="AT10" s="113">
        <v>618.29999999999995</v>
      </c>
      <c r="AU10" s="112">
        <v>2</v>
      </c>
      <c r="AV10" s="113">
        <v>573.20000000000005</v>
      </c>
      <c r="AW10" s="112">
        <v>6</v>
      </c>
      <c r="AX10" s="113">
        <v>3323.6</v>
      </c>
      <c r="AY10" s="112">
        <v>0</v>
      </c>
      <c r="AZ10" s="113">
        <v>0</v>
      </c>
      <c r="BA10" s="112">
        <v>2</v>
      </c>
      <c r="BB10" s="113">
        <v>490.5</v>
      </c>
      <c r="BC10" s="112">
        <v>4</v>
      </c>
      <c r="BD10" s="113">
        <v>931.7</v>
      </c>
      <c r="BE10" s="112">
        <v>2</v>
      </c>
      <c r="BF10" s="113">
        <v>524.20000000000005</v>
      </c>
      <c r="BG10" s="112">
        <v>1</v>
      </c>
      <c r="BH10" s="113">
        <v>801.6</v>
      </c>
      <c r="BI10" s="112">
        <v>5</v>
      </c>
      <c r="BJ10" s="113">
        <v>1869.2</v>
      </c>
      <c r="BK10" s="112">
        <v>2</v>
      </c>
      <c r="BL10" s="113">
        <v>1127.0999999999999</v>
      </c>
      <c r="BM10" s="114" cm="1">
        <f t="array" ref="BM10">SUMPRODUCT((MOD(COLUMN(C10:BL10)-COLUMN(C10),2)=0)*C10:BL10)</f>
        <v>98</v>
      </c>
      <c r="BN10" s="113" cm="1">
        <f t="array" ref="BN10">SUMPRODUCT((MOD(COLUMN(D10:BM10)-COLUMN(D10),2)=0)*D10:BM10)</f>
        <v>47094.899999999987</v>
      </c>
      <c r="BO10" s="99"/>
      <c r="BP10" s="99"/>
      <c r="BQ10" s="99"/>
      <c r="BR10" s="99"/>
      <c r="BS10" s="99"/>
      <c r="BT10" s="99"/>
      <c r="BU10" s="99"/>
      <c r="BV10" s="99"/>
      <c r="BW10" s="99"/>
      <c r="BX10" s="99"/>
      <c r="CA10" s="83"/>
      <c r="CB10" s="83"/>
      <c r="CC10" s="83"/>
      <c r="CD10" s="83"/>
      <c r="CE10" s="83"/>
      <c r="CF10" s="83"/>
      <c r="CG10" s="83"/>
      <c r="CH10" s="83"/>
      <c r="CI10" s="83"/>
      <c r="CJ10" s="83"/>
      <c r="CK10" s="83"/>
      <c r="CL10" s="83"/>
      <c r="CM10" s="83"/>
      <c r="CN10" s="83"/>
      <c r="CO10" s="83"/>
      <c r="CP10" s="83"/>
    </row>
    <row r="11" spans="1:94" x14ac:dyDescent="0.25">
      <c r="A11" s="79" t="s">
        <v>10</v>
      </c>
      <c r="B11" s="98" t="s">
        <v>9</v>
      </c>
      <c r="C11" s="112">
        <v>7</v>
      </c>
      <c r="D11" s="113">
        <v>5224.1000000000004</v>
      </c>
      <c r="E11" s="112">
        <v>12</v>
      </c>
      <c r="F11" s="113">
        <v>5777.1</v>
      </c>
      <c r="G11" s="112">
        <v>9</v>
      </c>
      <c r="H11" s="113">
        <v>5234.7</v>
      </c>
      <c r="I11" s="112">
        <v>8</v>
      </c>
      <c r="J11" s="113">
        <v>5618.7</v>
      </c>
      <c r="K11" s="112">
        <v>6</v>
      </c>
      <c r="L11" s="113">
        <v>2378.9</v>
      </c>
      <c r="M11" s="112">
        <v>5</v>
      </c>
      <c r="N11" s="113">
        <v>3556.2</v>
      </c>
      <c r="O11" s="112">
        <v>9</v>
      </c>
      <c r="P11" s="113">
        <v>4071.8</v>
      </c>
      <c r="Q11" s="112">
        <v>9</v>
      </c>
      <c r="R11" s="113">
        <v>6061.8</v>
      </c>
      <c r="S11" s="112">
        <v>12</v>
      </c>
      <c r="T11" s="113">
        <v>6161.8</v>
      </c>
      <c r="U11" s="112">
        <v>3</v>
      </c>
      <c r="V11" s="113">
        <v>1800</v>
      </c>
      <c r="W11" s="112">
        <v>10</v>
      </c>
      <c r="X11" s="113">
        <v>8600.6</v>
      </c>
      <c r="Y11" s="112">
        <v>4</v>
      </c>
      <c r="Z11" s="113">
        <v>2243</v>
      </c>
      <c r="AA11" s="112">
        <v>2</v>
      </c>
      <c r="AB11" s="113">
        <v>1715.3</v>
      </c>
      <c r="AC11" s="112">
        <v>2</v>
      </c>
      <c r="AD11" s="113">
        <v>814.2</v>
      </c>
      <c r="AE11" s="112">
        <v>5</v>
      </c>
      <c r="AF11" s="113">
        <v>3273.6</v>
      </c>
      <c r="AG11" s="112">
        <v>7</v>
      </c>
      <c r="AH11" s="113">
        <v>4780</v>
      </c>
      <c r="AI11" s="112">
        <v>6</v>
      </c>
      <c r="AJ11" s="113">
        <v>2502.1999999999998</v>
      </c>
      <c r="AK11" s="112">
        <v>15</v>
      </c>
      <c r="AL11" s="113">
        <v>12741.5</v>
      </c>
      <c r="AM11" s="112">
        <v>10</v>
      </c>
      <c r="AN11" s="113">
        <v>6168.5</v>
      </c>
      <c r="AO11" s="112">
        <v>3</v>
      </c>
      <c r="AP11" s="113">
        <v>808.6</v>
      </c>
      <c r="AQ11" s="112">
        <v>7</v>
      </c>
      <c r="AR11" s="113">
        <v>4655.7</v>
      </c>
      <c r="AS11" s="112">
        <v>3</v>
      </c>
      <c r="AT11" s="113">
        <v>2280.1999999999998</v>
      </c>
      <c r="AU11" s="112">
        <v>5</v>
      </c>
      <c r="AV11" s="113">
        <v>2200</v>
      </c>
      <c r="AW11" s="112">
        <v>5</v>
      </c>
      <c r="AX11" s="113">
        <v>3040.2</v>
      </c>
      <c r="AY11" s="112">
        <v>5</v>
      </c>
      <c r="AZ11" s="113">
        <v>3693</v>
      </c>
      <c r="BA11" s="112">
        <v>4</v>
      </c>
      <c r="BB11" s="113">
        <v>3373.3</v>
      </c>
      <c r="BC11" s="112">
        <v>7</v>
      </c>
      <c r="BD11" s="113">
        <v>4738.5</v>
      </c>
      <c r="BE11" s="112">
        <v>3</v>
      </c>
      <c r="BF11" s="113">
        <v>2300</v>
      </c>
      <c r="BG11" s="112">
        <v>4</v>
      </c>
      <c r="BH11" s="113">
        <v>3265.5</v>
      </c>
      <c r="BI11" s="112">
        <v>10</v>
      </c>
      <c r="BJ11" s="113">
        <v>5827</v>
      </c>
      <c r="BK11" s="112">
        <v>10</v>
      </c>
      <c r="BL11" s="113">
        <v>4292.8999999999996</v>
      </c>
      <c r="BM11" s="114" cm="1">
        <f t="array" ref="BM11">SUMPRODUCT((MOD(COLUMN(C11:BL11)-COLUMN(C11),2)=0)*C11:BL11)</f>
        <v>207</v>
      </c>
      <c r="BN11" s="113" cm="1">
        <f t="array" ref="BN11">SUMPRODUCT((MOD(COLUMN(D11:BM11)-COLUMN(D11),2)=0)*D11:BM11)</f>
        <v>129198.9</v>
      </c>
      <c r="BO11" s="99"/>
      <c r="BP11" s="99"/>
      <c r="BQ11" s="99"/>
      <c r="BR11" s="99"/>
      <c r="BS11" s="99"/>
      <c r="BT11" s="99"/>
      <c r="BU11" s="99"/>
      <c r="BV11" s="99"/>
      <c r="BW11" s="99"/>
      <c r="BX11" s="99"/>
      <c r="CA11" s="83"/>
      <c r="CB11" s="83"/>
      <c r="CC11" s="83"/>
      <c r="CD11" s="83"/>
      <c r="CE11" s="83"/>
      <c r="CF11" s="83"/>
      <c r="CG11" s="83"/>
      <c r="CH11" s="83"/>
      <c r="CI11" s="83"/>
      <c r="CJ11" s="83"/>
      <c r="CK11" s="83"/>
      <c r="CL11" s="83"/>
      <c r="CM11" s="83"/>
      <c r="CN11" s="83"/>
      <c r="CO11" s="83"/>
      <c r="CP11" s="83"/>
    </row>
    <row r="12" spans="1:94" x14ac:dyDescent="0.25">
      <c r="A12" s="79" t="s">
        <v>11</v>
      </c>
      <c r="B12" s="98" t="s">
        <v>9</v>
      </c>
      <c r="C12" s="112">
        <v>2</v>
      </c>
      <c r="D12" s="113">
        <v>1571.7</v>
      </c>
      <c r="E12" s="112">
        <v>5</v>
      </c>
      <c r="F12" s="113">
        <v>2834.9</v>
      </c>
      <c r="G12" s="112">
        <v>0</v>
      </c>
      <c r="H12" s="113">
        <v>0</v>
      </c>
      <c r="I12" s="112">
        <v>2</v>
      </c>
      <c r="J12" s="113">
        <v>2291.1</v>
      </c>
      <c r="K12" s="112">
        <v>5</v>
      </c>
      <c r="L12" s="113">
        <v>3112.5</v>
      </c>
      <c r="M12" s="112">
        <v>0</v>
      </c>
      <c r="N12" s="113">
        <v>0</v>
      </c>
      <c r="O12" s="112">
        <v>0</v>
      </c>
      <c r="P12" s="113">
        <v>0</v>
      </c>
      <c r="Q12" s="112">
        <v>1</v>
      </c>
      <c r="R12" s="113">
        <v>400</v>
      </c>
      <c r="S12" s="112">
        <v>2</v>
      </c>
      <c r="T12" s="113">
        <v>900</v>
      </c>
      <c r="U12" s="112">
        <v>2</v>
      </c>
      <c r="V12" s="113">
        <v>1000</v>
      </c>
      <c r="W12" s="112">
        <v>5</v>
      </c>
      <c r="X12" s="113">
        <v>1508.6</v>
      </c>
      <c r="Y12" s="112">
        <v>2</v>
      </c>
      <c r="Z12" s="113">
        <v>1872.1</v>
      </c>
      <c r="AA12" s="112">
        <v>5</v>
      </c>
      <c r="AB12" s="113">
        <v>3857.6</v>
      </c>
      <c r="AC12" s="112">
        <v>3</v>
      </c>
      <c r="AD12" s="113">
        <v>1524.7</v>
      </c>
      <c r="AE12" s="112">
        <v>1</v>
      </c>
      <c r="AF12" s="113">
        <v>860.8</v>
      </c>
      <c r="AG12" s="112">
        <v>2</v>
      </c>
      <c r="AH12" s="113">
        <v>1956.3</v>
      </c>
      <c r="AI12" s="112">
        <v>8</v>
      </c>
      <c r="AJ12" s="113">
        <v>4183.8</v>
      </c>
      <c r="AK12" s="112">
        <v>4</v>
      </c>
      <c r="AL12" s="113">
        <v>1913.4</v>
      </c>
      <c r="AM12" s="112">
        <v>0</v>
      </c>
      <c r="AN12" s="113">
        <v>0</v>
      </c>
      <c r="AO12" s="112">
        <v>0</v>
      </c>
      <c r="AP12" s="113">
        <v>0</v>
      </c>
      <c r="AQ12" s="112">
        <v>4</v>
      </c>
      <c r="AR12" s="113">
        <v>2500</v>
      </c>
      <c r="AS12" s="112">
        <v>2</v>
      </c>
      <c r="AT12" s="113">
        <v>1027</v>
      </c>
      <c r="AU12" s="112">
        <v>3</v>
      </c>
      <c r="AV12" s="113">
        <v>2153.5</v>
      </c>
      <c r="AW12" s="112">
        <v>5</v>
      </c>
      <c r="AX12" s="113">
        <v>2625.5</v>
      </c>
      <c r="AY12" s="112">
        <v>1</v>
      </c>
      <c r="AZ12" s="113">
        <v>200</v>
      </c>
      <c r="BA12" s="112">
        <v>5</v>
      </c>
      <c r="BB12" s="113">
        <v>3027.6</v>
      </c>
      <c r="BC12" s="112">
        <v>2</v>
      </c>
      <c r="BD12" s="113">
        <v>600</v>
      </c>
      <c r="BE12" s="112">
        <v>2</v>
      </c>
      <c r="BF12" s="113">
        <v>1000</v>
      </c>
      <c r="BG12" s="112">
        <v>5</v>
      </c>
      <c r="BH12" s="113">
        <v>3958.7</v>
      </c>
      <c r="BI12" s="112">
        <v>0</v>
      </c>
      <c r="BJ12" s="113">
        <v>0</v>
      </c>
      <c r="BK12" s="112">
        <v>5</v>
      </c>
      <c r="BL12" s="113">
        <v>2626.9</v>
      </c>
      <c r="BM12" s="114" cm="1">
        <f t="array" ref="BM12">SUMPRODUCT((MOD(COLUMN(C12:BL12)-COLUMN(C12),2)=0)*C12:BL12)</f>
        <v>83</v>
      </c>
      <c r="BN12" s="113" cm="1">
        <f t="array" ref="BN12">SUMPRODUCT((MOD(COLUMN(D12:BM12)-COLUMN(D12),2)=0)*D12:BM12)</f>
        <v>49506.7</v>
      </c>
      <c r="BO12" s="99"/>
      <c r="BP12" s="99"/>
      <c r="BQ12" s="99"/>
      <c r="BR12" s="99"/>
      <c r="BS12" s="99"/>
      <c r="BT12" s="99"/>
      <c r="BU12" s="99"/>
      <c r="BV12" s="99"/>
      <c r="BW12" s="99"/>
      <c r="BX12" s="99"/>
      <c r="CA12" s="83"/>
      <c r="CB12" s="83"/>
      <c r="CC12" s="83"/>
      <c r="CD12" s="83"/>
      <c r="CE12" s="83"/>
      <c r="CF12" s="83"/>
      <c r="CG12" s="83"/>
      <c r="CH12" s="83"/>
      <c r="CI12" s="83"/>
      <c r="CJ12" s="83"/>
      <c r="CK12" s="83"/>
      <c r="CL12" s="83"/>
      <c r="CM12" s="83"/>
      <c r="CN12" s="83"/>
      <c r="CO12" s="83"/>
      <c r="CP12" s="83"/>
    </row>
    <row r="13" spans="1:94" x14ac:dyDescent="0.25">
      <c r="A13" s="79" t="s">
        <v>12</v>
      </c>
      <c r="B13" s="98" t="s">
        <v>9</v>
      </c>
      <c r="C13" s="112">
        <v>4</v>
      </c>
      <c r="D13" s="113">
        <v>2346.4</v>
      </c>
      <c r="E13" s="112">
        <v>1</v>
      </c>
      <c r="F13" s="113">
        <v>500</v>
      </c>
      <c r="G13" s="112">
        <v>9</v>
      </c>
      <c r="H13" s="113">
        <v>4807.8</v>
      </c>
      <c r="I13" s="112">
        <v>5</v>
      </c>
      <c r="J13" s="113">
        <v>3672.6</v>
      </c>
      <c r="K13" s="112">
        <v>3</v>
      </c>
      <c r="L13" s="113">
        <v>1981.4</v>
      </c>
      <c r="M13" s="112">
        <v>1</v>
      </c>
      <c r="N13" s="113">
        <v>769.2</v>
      </c>
      <c r="O13" s="112">
        <v>5</v>
      </c>
      <c r="P13" s="113">
        <v>2210</v>
      </c>
      <c r="Q13" s="112">
        <v>7</v>
      </c>
      <c r="R13" s="113">
        <v>4297.8999999999996</v>
      </c>
      <c r="S13" s="112">
        <v>5</v>
      </c>
      <c r="T13" s="113">
        <v>1900.2</v>
      </c>
      <c r="U13" s="112">
        <v>12</v>
      </c>
      <c r="V13" s="113">
        <v>6315.4</v>
      </c>
      <c r="W13" s="112">
        <v>3</v>
      </c>
      <c r="X13" s="113">
        <v>1966.1</v>
      </c>
      <c r="Y13" s="112">
        <v>6</v>
      </c>
      <c r="Z13" s="113">
        <v>3433</v>
      </c>
      <c r="AA13" s="112">
        <v>6</v>
      </c>
      <c r="AB13" s="113">
        <v>2897.1</v>
      </c>
      <c r="AC13" s="112">
        <v>1</v>
      </c>
      <c r="AD13" s="113">
        <v>500</v>
      </c>
      <c r="AE13" s="112">
        <v>3</v>
      </c>
      <c r="AF13" s="113">
        <v>1792.1</v>
      </c>
      <c r="AG13" s="112">
        <v>7</v>
      </c>
      <c r="AH13" s="113">
        <v>3400</v>
      </c>
      <c r="AI13" s="112">
        <v>11</v>
      </c>
      <c r="AJ13" s="113">
        <v>5981.9</v>
      </c>
      <c r="AK13" s="112">
        <v>7</v>
      </c>
      <c r="AL13" s="113">
        <v>5612.1</v>
      </c>
      <c r="AM13" s="112">
        <v>4</v>
      </c>
      <c r="AN13" s="113">
        <v>3385.6</v>
      </c>
      <c r="AO13" s="112">
        <v>0</v>
      </c>
      <c r="AP13" s="113">
        <v>0</v>
      </c>
      <c r="AQ13" s="112">
        <v>10</v>
      </c>
      <c r="AR13" s="113">
        <v>6172</v>
      </c>
      <c r="AS13" s="112">
        <v>3</v>
      </c>
      <c r="AT13" s="113">
        <v>1375.2</v>
      </c>
      <c r="AU13" s="112">
        <v>2</v>
      </c>
      <c r="AV13" s="113">
        <v>1300</v>
      </c>
      <c r="AW13" s="112">
        <v>8</v>
      </c>
      <c r="AX13" s="113">
        <v>4076.2</v>
      </c>
      <c r="AY13" s="112">
        <v>6</v>
      </c>
      <c r="AZ13" s="113">
        <v>3684.2</v>
      </c>
      <c r="BA13" s="112">
        <v>5</v>
      </c>
      <c r="BB13" s="113">
        <v>3620.8</v>
      </c>
      <c r="BC13" s="112">
        <v>5</v>
      </c>
      <c r="BD13" s="113">
        <v>2458.9</v>
      </c>
      <c r="BE13" s="112">
        <v>7</v>
      </c>
      <c r="BF13" s="113">
        <v>2616.6999999999998</v>
      </c>
      <c r="BG13" s="112">
        <v>5</v>
      </c>
      <c r="BH13" s="113">
        <v>1627.3</v>
      </c>
      <c r="BI13" s="112">
        <v>9</v>
      </c>
      <c r="BJ13" s="113">
        <v>5400</v>
      </c>
      <c r="BK13" s="112">
        <v>11</v>
      </c>
      <c r="BL13" s="113">
        <v>5486.4</v>
      </c>
      <c r="BM13" s="114" cm="1">
        <f t="array" ref="BM13">SUMPRODUCT((MOD(COLUMN(C13:BL13)-COLUMN(C13),2)=0)*C13:BL13)</f>
        <v>171</v>
      </c>
      <c r="BN13" s="113" cm="1">
        <f t="array" ref="BN13">SUMPRODUCT((MOD(COLUMN(D13:BM13)-COLUMN(D13),2)=0)*D13:BM13)</f>
        <v>95586.499999999985</v>
      </c>
      <c r="BO13" s="99"/>
      <c r="BP13" s="99"/>
      <c r="BQ13" s="99"/>
      <c r="BR13" s="99"/>
      <c r="BS13" s="99"/>
      <c r="BT13" s="99"/>
      <c r="BU13" s="99"/>
      <c r="BV13" s="99"/>
      <c r="BW13" s="99"/>
      <c r="BX13" s="99"/>
      <c r="CA13" s="83"/>
      <c r="CB13" s="83"/>
      <c r="CC13" s="83"/>
      <c r="CD13" s="83"/>
      <c r="CE13" s="83"/>
      <c r="CF13" s="83"/>
      <c r="CG13" s="83"/>
      <c r="CH13" s="83"/>
      <c r="CI13" s="83"/>
      <c r="CJ13" s="83"/>
      <c r="CK13" s="83"/>
      <c r="CL13" s="83"/>
      <c r="CM13" s="83"/>
      <c r="CN13" s="83"/>
      <c r="CO13" s="83"/>
      <c r="CP13" s="83"/>
    </row>
    <row r="14" spans="1:94" x14ac:dyDescent="0.25">
      <c r="A14" s="79" t="s">
        <v>13</v>
      </c>
      <c r="B14" s="98" t="s">
        <v>9</v>
      </c>
      <c r="C14" s="112">
        <v>9</v>
      </c>
      <c r="D14" s="113">
        <v>4333.3</v>
      </c>
      <c r="E14" s="112">
        <v>7</v>
      </c>
      <c r="F14" s="113">
        <v>3514.7</v>
      </c>
      <c r="G14" s="112">
        <v>14</v>
      </c>
      <c r="H14" s="113">
        <v>6710.1</v>
      </c>
      <c r="I14" s="112">
        <v>7</v>
      </c>
      <c r="J14" s="113">
        <v>5507.7</v>
      </c>
      <c r="K14" s="112">
        <v>15</v>
      </c>
      <c r="L14" s="113">
        <v>7240.4</v>
      </c>
      <c r="M14" s="112">
        <v>15</v>
      </c>
      <c r="N14" s="113">
        <v>8123.8</v>
      </c>
      <c r="O14" s="112">
        <v>8</v>
      </c>
      <c r="P14" s="113">
        <v>5686.9</v>
      </c>
      <c r="Q14" s="112">
        <v>10</v>
      </c>
      <c r="R14" s="113">
        <v>7624.8</v>
      </c>
      <c r="S14" s="112">
        <v>4</v>
      </c>
      <c r="T14" s="113">
        <v>2971.6</v>
      </c>
      <c r="U14" s="112">
        <v>13</v>
      </c>
      <c r="V14" s="113">
        <v>6110.5</v>
      </c>
      <c r="W14" s="112">
        <v>7</v>
      </c>
      <c r="X14" s="113">
        <v>4657</v>
      </c>
      <c r="Y14" s="112">
        <v>9</v>
      </c>
      <c r="Z14" s="113">
        <v>4733.7</v>
      </c>
      <c r="AA14" s="112">
        <v>4</v>
      </c>
      <c r="AB14" s="113">
        <v>3066.6</v>
      </c>
      <c r="AC14" s="112">
        <v>6</v>
      </c>
      <c r="AD14" s="113">
        <v>2549</v>
      </c>
      <c r="AE14" s="112">
        <v>12</v>
      </c>
      <c r="AF14" s="113">
        <v>7386</v>
      </c>
      <c r="AG14" s="112">
        <v>6</v>
      </c>
      <c r="AH14" s="113">
        <v>4104.8999999999996</v>
      </c>
      <c r="AI14" s="112">
        <v>12</v>
      </c>
      <c r="AJ14" s="113">
        <v>6639.3</v>
      </c>
      <c r="AK14" s="112">
        <v>7</v>
      </c>
      <c r="AL14" s="113">
        <v>3848.1</v>
      </c>
      <c r="AM14" s="112">
        <v>16</v>
      </c>
      <c r="AN14" s="113">
        <v>12302.6</v>
      </c>
      <c r="AO14" s="112">
        <v>1</v>
      </c>
      <c r="AP14" s="113">
        <v>1407.6</v>
      </c>
      <c r="AQ14" s="112">
        <v>4</v>
      </c>
      <c r="AR14" s="113">
        <v>2465.6</v>
      </c>
      <c r="AS14" s="112">
        <v>14</v>
      </c>
      <c r="AT14" s="113">
        <v>6793.5</v>
      </c>
      <c r="AU14" s="112">
        <v>5</v>
      </c>
      <c r="AV14" s="113">
        <v>2149.1999999999998</v>
      </c>
      <c r="AW14" s="112">
        <v>11</v>
      </c>
      <c r="AX14" s="113">
        <v>5816.9</v>
      </c>
      <c r="AY14" s="112">
        <v>7</v>
      </c>
      <c r="AZ14" s="113">
        <v>4073.5</v>
      </c>
      <c r="BA14" s="112">
        <v>10</v>
      </c>
      <c r="BB14" s="113">
        <v>8972.7999999999993</v>
      </c>
      <c r="BC14" s="112">
        <v>16</v>
      </c>
      <c r="BD14" s="113">
        <v>13075.8</v>
      </c>
      <c r="BE14" s="112">
        <v>7</v>
      </c>
      <c r="BF14" s="113">
        <v>4190.8999999999996</v>
      </c>
      <c r="BG14" s="112">
        <v>6</v>
      </c>
      <c r="BH14" s="113">
        <v>3955.9</v>
      </c>
      <c r="BI14" s="112">
        <v>3</v>
      </c>
      <c r="BJ14" s="113">
        <v>1180.2</v>
      </c>
      <c r="BK14" s="112">
        <v>8</v>
      </c>
      <c r="BL14" s="113">
        <v>4957</v>
      </c>
      <c r="BM14" s="114" cm="1">
        <f t="array" ref="BM14">SUMPRODUCT((MOD(COLUMN(C14:BL14)-COLUMN(C14),2)=0)*C14:BL14)</f>
        <v>273</v>
      </c>
      <c r="BN14" s="113" cm="1">
        <f t="array" ref="BN14">SUMPRODUCT((MOD(COLUMN(D14:BM14)-COLUMN(D14),2)=0)*D14:BM14)</f>
        <v>166149.9</v>
      </c>
      <c r="BO14" s="99"/>
      <c r="BP14" s="99"/>
      <c r="BQ14" s="99"/>
      <c r="BR14" s="99"/>
      <c r="BS14" s="99"/>
      <c r="BT14" s="99"/>
      <c r="BU14" s="99"/>
      <c r="BV14" s="99"/>
      <c r="BW14" s="99"/>
      <c r="BX14" s="99"/>
      <c r="CA14" s="83"/>
      <c r="CB14" s="83"/>
      <c r="CC14" s="83"/>
      <c r="CD14" s="83"/>
      <c r="CE14" s="83"/>
      <c r="CF14" s="83"/>
      <c r="CG14" s="83"/>
      <c r="CH14" s="83"/>
      <c r="CI14" s="83"/>
      <c r="CJ14" s="83"/>
      <c r="CK14" s="83"/>
      <c r="CL14" s="83"/>
      <c r="CM14" s="83"/>
      <c r="CN14" s="83"/>
      <c r="CO14" s="83"/>
      <c r="CP14" s="83"/>
    </row>
    <row r="15" spans="1:94" x14ac:dyDescent="0.25">
      <c r="A15" s="79" t="s">
        <v>14</v>
      </c>
      <c r="B15" s="98" t="s">
        <v>9</v>
      </c>
      <c r="C15" s="112">
        <v>7</v>
      </c>
      <c r="D15" s="113">
        <v>4494.3999999999996</v>
      </c>
      <c r="E15" s="112">
        <v>8</v>
      </c>
      <c r="F15" s="113">
        <v>4634.5</v>
      </c>
      <c r="G15" s="112">
        <v>17</v>
      </c>
      <c r="H15" s="113">
        <v>9475.7999999999993</v>
      </c>
      <c r="I15" s="112">
        <v>18</v>
      </c>
      <c r="J15" s="113">
        <v>11095.3</v>
      </c>
      <c r="K15" s="112">
        <v>12</v>
      </c>
      <c r="L15" s="113">
        <v>7946.4</v>
      </c>
      <c r="M15" s="112">
        <v>14</v>
      </c>
      <c r="N15" s="113">
        <v>10954.3</v>
      </c>
      <c r="O15" s="112">
        <v>16</v>
      </c>
      <c r="P15" s="113">
        <v>8388.7000000000007</v>
      </c>
      <c r="Q15" s="112">
        <v>11</v>
      </c>
      <c r="R15" s="113">
        <v>7852.1</v>
      </c>
      <c r="S15" s="112">
        <v>11</v>
      </c>
      <c r="T15" s="113">
        <v>6826.6</v>
      </c>
      <c r="U15" s="112">
        <v>15</v>
      </c>
      <c r="V15" s="113">
        <v>9120.2999999999993</v>
      </c>
      <c r="W15" s="112">
        <v>19</v>
      </c>
      <c r="X15" s="113">
        <v>13175.3</v>
      </c>
      <c r="Y15" s="112">
        <v>14</v>
      </c>
      <c r="Z15" s="113">
        <v>9610.7999999999993</v>
      </c>
      <c r="AA15" s="112">
        <v>10</v>
      </c>
      <c r="AB15" s="113">
        <v>8756</v>
      </c>
      <c r="AC15" s="112">
        <v>7</v>
      </c>
      <c r="AD15" s="113">
        <v>3560.5</v>
      </c>
      <c r="AE15" s="112">
        <v>13</v>
      </c>
      <c r="AF15" s="113">
        <v>8249.7999999999993</v>
      </c>
      <c r="AG15" s="112">
        <v>9</v>
      </c>
      <c r="AH15" s="113">
        <v>5369</v>
      </c>
      <c r="AI15" s="112">
        <v>15</v>
      </c>
      <c r="AJ15" s="113">
        <v>8219.9</v>
      </c>
      <c r="AK15" s="112">
        <v>18</v>
      </c>
      <c r="AL15" s="113">
        <v>13796.9</v>
      </c>
      <c r="AM15" s="112">
        <v>17</v>
      </c>
      <c r="AN15" s="113">
        <v>13454.1</v>
      </c>
      <c r="AO15" s="112">
        <v>1</v>
      </c>
      <c r="AP15" s="113">
        <v>696.1</v>
      </c>
      <c r="AQ15" s="112">
        <v>10</v>
      </c>
      <c r="AR15" s="113">
        <v>5829.5</v>
      </c>
      <c r="AS15" s="112">
        <v>12</v>
      </c>
      <c r="AT15" s="113">
        <v>8377.7999999999993</v>
      </c>
      <c r="AU15" s="112">
        <v>10</v>
      </c>
      <c r="AV15" s="113">
        <v>5619.7</v>
      </c>
      <c r="AW15" s="112">
        <v>12</v>
      </c>
      <c r="AX15" s="113">
        <v>6452.3</v>
      </c>
      <c r="AY15" s="112">
        <v>16</v>
      </c>
      <c r="AZ15" s="113">
        <v>11834.8</v>
      </c>
      <c r="BA15" s="112">
        <v>16</v>
      </c>
      <c r="BB15" s="113">
        <v>9770.7000000000007</v>
      </c>
      <c r="BC15" s="112">
        <v>10</v>
      </c>
      <c r="BD15" s="113">
        <v>7258.5</v>
      </c>
      <c r="BE15" s="112">
        <v>14</v>
      </c>
      <c r="BF15" s="113">
        <v>6810</v>
      </c>
      <c r="BG15" s="112">
        <v>18</v>
      </c>
      <c r="BH15" s="113">
        <v>11750.6</v>
      </c>
      <c r="BI15" s="112">
        <v>10</v>
      </c>
      <c r="BJ15" s="113">
        <v>6346.5</v>
      </c>
      <c r="BK15" s="112">
        <v>16</v>
      </c>
      <c r="BL15" s="113">
        <v>6612</v>
      </c>
      <c r="BM15" s="114" cm="1">
        <f t="array" ref="BM15">SUMPRODUCT((MOD(COLUMN(C15:BL15)-COLUMN(C15),2)=0)*C15:BL15)</f>
        <v>396</v>
      </c>
      <c r="BN15" s="113" cm="1">
        <f t="array" ref="BN15">SUMPRODUCT((MOD(COLUMN(D15:BM15)-COLUMN(D15),2)=0)*D15:BM15)</f>
        <v>252339.20000000001</v>
      </c>
      <c r="BO15" s="99"/>
      <c r="BP15" s="99"/>
      <c r="BQ15" s="99"/>
      <c r="BR15" s="99"/>
      <c r="BS15" s="99"/>
      <c r="BT15" s="99"/>
      <c r="BU15" s="99"/>
      <c r="BV15" s="99"/>
      <c r="BW15" s="99"/>
      <c r="BX15" s="99"/>
      <c r="CA15" s="83"/>
      <c r="CB15" s="83"/>
      <c r="CC15" s="83"/>
      <c r="CD15" s="83"/>
      <c r="CE15" s="83"/>
      <c r="CF15" s="83"/>
      <c r="CG15" s="83"/>
      <c r="CH15" s="83"/>
      <c r="CI15" s="83"/>
      <c r="CJ15" s="83"/>
      <c r="CK15" s="83"/>
      <c r="CL15" s="83"/>
      <c r="CM15" s="83"/>
      <c r="CN15" s="83"/>
      <c r="CO15" s="83"/>
      <c r="CP15" s="83"/>
    </row>
    <row r="16" spans="1:94" x14ac:dyDescent="0.25">
      <c r="A16" s="79" t="s">
        <v>7</v>
      </c>
      <c r="B16" s="98" t="s">
        <v>9</v>
      </c>
      <c r="C16" s="112">
        <v>25</v>
      </c>
      <c r="D16" s="113">
        <v>14893.2</v>
      </c>
      <c r="E16" s="112">
        <v>17</v>
      </c>
      <c r="F16" s="113">
        <v>7348.8</v>
      </c>
      <c r="G16" s="112">
        <v>43</v>
      </c>
      <c r="H16" s="113">
        <v>22693.200000000001</v>
      </c>
      <c r="I16" s="112">
        <v>26</v>
      </c>
      <c r="J16" s="113">
        <v>18579.400000000001</v>
      </c>
      <c r="K16" s="112">
        <v>27</v>
      </c>
      <c r="L16" s="113">
        <v>16096.5</v>
      </c>
      <c r="M16" s="112">
        <v>32</v>
      </c>
      <c r="N16" s="113">
        <v>20605.2</v>
      </c>
      <c r="O16" s="112">
        <v>19</v>
      </c>
      <c r="P16" s="113">
        <v>9171.2999999999993</v>
      </c>
      <c r="Q16" s="112">
        <v>26</v>
      </c>
      <c r="R16" s="113">
        <v>17636.3</v>
      </c>
      <c r="S16" s="112">
        <v>28</v>
      </c>
      <c r="T16" s="113">
        <v>16183.1</v>
      </c>
      <c r="U16" s="112">
        <v>28</v>
      </c>
      <c r="V16" s="113">
        <v>14465</v>
      </c>
      <c r="W16" s="112">
        <v>25</v>
      </c>
      <c r="X16" s="113">
        <v>17122.3</v>
      </c>
      <c r="Y16" s="112">
        <v>33</v>
      </c>
      <c r="Z16" s="113">
        <v>17339.2</v>
      </c>
      <c r="AA16" s="112">
        <v>27</v>
      </c>
      <c r="AB16" s="113">
        <v>15811.9</v>
      </c>
      <c r="AC16" s="112">
        <v>22</v>
      </c>
      <c r="AD16" s="113">
        <v>12062.5</v>
      </c>
      <c r="AE16" s="112">
        <v>24</v>
      </c>
      <c r="AF16" s="113">
        <v>12853.4</v>
      </c>
      <c r="AG16" s="112">
        <v>25</v>
      </c>
      <c r="AH16" s="113">
        <v>13118.5</v>
      </c>
      <c r="AI16" s="112">
        <v>40</v>
      </c>
      <c r="AJ16" s="113">
        <v>21767.599999999999</v>
      </c>
      <c r="AK16" s="112">
        <v>21</v>
      </c>
      <c r="AL16" s="113">
        <v>13971.5</v>
      </c>
      <c r="AM16" s="112">
        <v>33</v>
      </c>
      <c r="AN16" s="113">
        <v>24236.7</v>
      </c>
      <c r="AO16" s="112">
        <v>5</v>
      </c>
      <c r="AP16" s="113">
        <v>4213.8999999999996</v>
      </c>
      <c r="AQ16" s="112">
        <v>29</v>
      </c>
      <c r="AR16" s="113">
        <v>15022.9</v>
      </c>
      <c r="AS16" s="112">
        <v>31</v>
      </c>
      <c r="AT16" s="113">
        <v>21109.7</v>
      </c>
      <c r="AU16" s="112">
        <v>29</v>
      </c>
      <c r="AV16" s="113">
        <v>12681.6</v>
      </c>
      <c r="AW16" s="112">
        <v>27</v>
      </c>
      <c r="AX16" s="113">
        <v>14417.1</v>
      </c>
      <c r="AY16" s="112">
        <v>31</v>
      </c>
      <c r="AZ16" s="113">
        <v>20251.2</v>
      </c>
      <c r="BA16" s="112">
        <v>33</v>
      </c>
      <c r="BB16" s="113">
        <v>19766.599999999999</v>
      </c>
      <c r="BC16" s="112">
        <v>32</v>
      </c>
      <c r="BD16" s="113">
        <v>15657.9</v>
      </c>
      <c r="BE16" s="112">
        <v>24</v>
      </c>
      <c r="BF16" s="113">
        <v>12164.2</v>
      </c>
      <c r="BG16" s="112">
        <v>22</v>
      </c>
      <c r="BH16" s="113">
        <v>12720.2</v>
      </c>
      <c r="BI16" s="112">
        <v>21</v>
      </c>
      <c r="BJ16" s="113">
        <v>10811.2</v>
      </c>
      <c r="BK16" s="112">
        <v>27</v>
      </c>
      <c r="BL16" s="113">
        <v>15353.5</v>
      </c>
      <c r="BM16" s="114" cm="1">
        <f t="array" ref="BM16">SUMPRODUCT((MOD(COLUMN(C16:BL16)-COLUMN(C16),2)=0)*C16:BL16)</f>
        <v>832</v>
      </c>
      <c r="BN16" s="113" cm="1">
        <f t="array" ref="BN16">SUMPRODUCT((MOD(COLUMN(D16:BM16)-COLUMN(D16),2)=0)*D16:BM16)</f>
        <v>480125.60000000003</v>
      </c>
      <c r="BO16" s="99"/>
      <c r="BP16" s="99"/>
      <c r="BQ16" s="99"/>
      <c r="BR16" s="99"/>
      <c r="BS16" s="99"/>
      <c r="BT16" s="99"/>
      <c r="BU16" s="99"/>
      <c r="BV16" s="99"/>
      <c r="BW16" s="99"/>
      <c r="BX16" s="99"/>
      <c r="CA16" s="83"/>
      <c r="CB16" s="83"/>
      <c r="CC16" s="83"/>
      <c r="CD16" s="83"/>
      <c r="CE16" s="83"/>
      <c r="CF16" s="83"/>
      <c r="CG16" s="83"/>
      <c r="CH16" s="83"/>
      <c r="CI16" s="83"/>
      <c r="CJ16" s="83"/>
      <c r="CK16" s="83"/>
      <c r="CL16" s="83"/>
      <c r="CM16" s="83"/>
      <c r="CN16" s="83"/>
      <c r="CO16" s="83"/>
      <c r="CP16" s="83"/>
    </row>
    <row r="17" spans="1:94" x14ac:dyDescent="0.25">
      <c r="A17" s="100" t="s">
        <v>15</v>
      </c>
      <c r="B17" s="101"/>
      <c r="C17" s="115">
        <f>SUM(C10:C16)</f>
        <v>61</v>
      </c>
      <c r="D17" s="116">
        <f>SUM(D10:D16)</f>
        <v>36344.199999999997</v>
      </c>
      <c r="E17" s="115">
        <f t="shared" ref="E17:BN17" si="1">SUM(E10:E16)</f>
        <v>52</v>
      </c>
      <c r="F17" s="116">
        <f t="shared" si="1"/>
        <v>26076.2</v>
      </c>
      <c r="G17" s="115">
        <f t="shared" si="1"/>
        <v>95</v>
      </c>
      <c r="H17" s="116">
        <f t="shared" si="1"/>
        <v>49573.4</v>
      </c>
      <c r="I17" s="115">
        <f t="shared" si="1"/>
        <v>71</v>
      </c>
      <c r="J17" s="116">
        <f t="shared" si="1"/>
        <v>48451.199999999997</v>
      </c>
      <c r="K17" s="115">
        <f t="shared" si="1"/>
        <v>70</v>
      </c>
      <c r="L17" s="116">
        <f t="shared" si="1"/>
        <v>39556.1</v>
      </c>
      <c r="M17" s="115">
        <f t="shared" si="1"/>
        <v>71</v>
      </c>
      <c r="N17" s="116">
        <f t="shared" si="1"/>
        <v>46174.8</v>
      </c>
      <c r="O17" s="115">
        <f t="shared" si="1"/>
        <v>58</v>
      </c>
      <c r="P17" s="116">
        <f t="shared" si="1"/>
        <v>30028.7</v>
      </c>
      <c r="Q17" s="115">
        <f t="shared" si="1"/>
        <v>66</v>
      </c>
      <c r="R17" s="116">
        <f t="shared" si="1"/>
        <v>45443.5</v>
      </c>
      <c r="S17" s="115">
        <f t="shared" si="1"/>
        <v>63</v>
      </c>
      <c r="T17" s="116">
        <f t="shared" si="1"/>
        <v>35443.300000000003</v>
      </c>
      <c r="U17" s="115">
        <f t="shared" si="1"/>
        <v>79</v>
      </c>
      <c r="V17" s="116">
        <f t="shared" si="1"/>
        <v>41610.699999999997</v>
      </c>
      <c r="W17" s="115">
        <f t="shared" si="1"/>
        <v>72</v>
      </c>
      <c r="X17" s="116">
        <f t="shared" si="1"/>
        <v>49168.2</v>
      </c>
      <c r="Y17" s="115">
        <f t="shared" si="1"/>
        <v>72</v>
      </c>
      <c r="Z17" s="116">
        <f t="shared" si="1"/>
        <v>40975.300000000003</v>
      </c>
      <c r="AA17" s="115">
        <f t="shared" si="1"/>
        <v>60</v>
      </c>
      <c r="AB17" s="116">
        <f t="shared" si="1"/>
        <v>40059.200000000004</v>
      </c>
      <c r="AC17" s="115">
        <f t="shared" si="1"/>
        <v>44</v>
      </c>
      <c r="AD17" s="116">
        <f t="shared" si="1"/>
        <v>22910.9</v>
      </c>
      <c r="AE17" s="115">
        <f t="shared" si="1"/>
        <v>59</v>
      </c>
      <c r="AF17" s="116">
        <f t="shared" si="1"/>
        <v>34915.699999999997</v>
      </c>
      <c r="AG17" s="115">
        <f t="shared" si="1"/>
        <v>60</v>
      </c>
      <c r="AH17" s="116">
        <f t="shared" si="1"/>
        <v>34117</v>
      </c>
      <c r="AI17" s="115">
        <f t="shared" si="1"/>
        <v>99</v>
      </c>
      <c r="AJ17" s="116">
        <f t="shared" si="1"/>
        <v>52221.4</v>
      </c>
      <c r="AK17" s="115">
        <f t="shared" si="1"/>
        <v>77</v>
      </c>
      <c r="AL17" s="116">
        <f t="shared" si="1"/>
        <v>54482.3</v>
      </c>
      <c r="AM17" s="115">
        <f t="shared" si="1"/>
        <v>84</v>
      </c>
      <c r="AN17" s="116">
        <f t="shared" si="1"/>
        <v>62611</v>
      </c>
      <c r="AO17" s="115">
        <f t="shared" si="1"/>
        <v>10</v>
      </c>
      <c r="AP17" s="116">
        <f t="shared" si="1"/>
        <v>7126.1999999999989</v>
      </c>
      <c r="AQ17" s="115">
        <f t="shared" si="1"/>
        <v>66</v>
      </c>
      <c r="AR17" s="116">
        <f t="shared" si="1"/>
        <v>37645.699999999997</v>
      </c>
      <c r="AS17" s="115">
        <f t="shared" si="1"/>
        <v>67</v>
      </c>
      <c r="AT17" s="116">
        <f t="shared" si="1"/>
        <v>41581.699999999997</v>
      </c>
      <c r="AU17" s="115">
        <f t="shared" si="1"/>
        <v>56</v>
      </c>
      <c r="AV17" s="116">
        <f t="shared" si="1"/>
        <v>26677.199999999997</v>
      </c>
      <c r="AW17" s="115">
        <f t="shared" si="1"/>
        <v>74</v>
      </c>
      <c r="AX17" s="116">
        <f t="shared" si="1"/>
        <v>39751.800000000003</v>
      </c>
      <c r="AY17" s="115">
        <f t="shared" si="1"/>
        <v>66</v>
      </c>
      <c r="AZ17" s="116">
        <f t="shared" si="1"/>
        <v>43736.7</v>
      </c>
      <c r="BA17" s="115">
        <f t="shared" si="1"/>
        <v>75</v>
      </c>
      <c r="BB17" s="116">
        <f t="shared" si="1"/>
        <v>49022.3</v>
      </c>
      <c r="BC17" s="115">
        <f t="shared" si="1"/>
        <v>76</v>
      </c>
      <c r="BD17" s="116">
        <f t="shared" si="1"/>
        <v>44721.3</v>
      </c>
      <c r="BE17" s="115">
        <f t="shared" si="1"/>
        <v>59</v>
      </c>
      <c r="BF17" s="116">
        <f t="shared" si="1"/>
        <v>29606</v>
      </c>
      <c r="BG17" s="115">
        <f t="shared" si="1"/>
        <v>61</v>
      </c>
      <c r="BH17" s="116">
        <f t="shared" si="1"/>
        <v>38079.800000000003</v>
      </c>
      <c r="BI17" s="115">
        <f t="shared" si="1"/>
        <v>58</v>
      </c>
      <c r="BJ17" s="116">
        <f t="shared" si="1"/>
        <v>31434.100000000002</v>
      </c>
      <c r="BK17" s="115">
        <f t="shared" si="1"/>
        <v>79</v>
      </c>
      <c r="BL17" s="116">
        <f t="shared" si="1"/>
        <v>40455.800000000003</v>
      </c>
      <c r="BM17" s="117">
        <f t="shared" si="1"/>
        <v>2060</v>
      </c>
      <c r="BN17" s="116">
        <f t="shared" si="1"/>
        <v>1220001.7000000002</v>
      </c>
      <c r="BO17" s="102"/>
      <c r="BP17" s="102"/>
      <c r="BQ17" s="102"/>
      <c r="BR17" s="102"/>
      <c r="BS17" s="102"/>
      <c r="BT17" s="102"/>
      <c r="BU17" s="102"/>
      <c r="BV17" s="102"/>
      <c r="BW17" s="102"/>
      <c r="BX17" s="102"/>
      <c r="CA17" s="83"/>
      <c r="CB17" s="83"/>
      <c r="CC17" s="83"/>
      <c r="CD17" s="83"/>
      <c r="CE17" s="83"/>
      <c r="CF17" s="83"/>
      <c r="CG17" s="83"/>
      <c r="CH17" s="83"/>
      <c r="CI17" s="83"/>
      <c r="CJ17" s="83"/>
      <c r="CK17" s="83"/>
      <c r="CL17" s="83"/>
      <c r="CM17" s="83"/>
      <c r="CN17" s="83"/>
      <c r="CO17" s="83"/>
      <c r="CP17" s="83"/>
    </row>
    <row r="18" spans="1:94" x14ac:dyDescent="0.25">
      <c r="C18" s="118"/>
      <c r="D18" s="119"/>
      <c r="E18" s="118"/>
      <c r="F18" s="119"/>
      <c r="G18" s="118"/>
      <c r="H18" s="119"/>
      <c r="I18" s="118"/>
      <c r="J18" s="119"/>
      <c r="K18" s="118"/>
      <c r="L18" s="119"/>
      <c r="M18" s="118"/>
      <c r="N18" s="119"/>
      <c r="O18" s="118"/>
      <c r="P18" s="119"/>
      <c r="Q18" s="118"/>
      <c r="R18" s="119"/>
      <c r="S18" s="118"/>
      <c r="T18" s="119"/>
      <c r="U18" s="118"/>
      <c r="V18" s="119"/>
      <c r="W18" s="118"/>
      <c r="X18" s="119"/>
      <c r="Y18" s="118"/>
      <c r="Z18" s="119"/>
      <c r="AA18" s="118"/>
      <c r="AB18" s="119"/>
      <c r="AC18" s="118"/>
      <c r="AD18" s="119"/>
      <c r="AE18" s="118"/>
      <c r="AF18" s="119"/>
      <c r="AG18" s="118"/>
      <c r="AH18" s="119"/>
      <c r="AI18" s="118"/>
      <c r="AJ18" s="119"/>
      <c r="AK18" s="118"/>
      <c r="AL18" s="119"/>
      <c r="AM18" s="118"/>
      <c r="AN18" s="119"/>
      <c r="AO18" s="118"/>
      <c r="AP18" s="119"/>
      <c r="AQ18" s="118"/>
      <c r="AR18" s="119"/>
      <c r="AS18" s="118"/>
      <c r="AT18" s="119"/>
      <c r="AU18" s="118"/>
      <c r="AV18" s="119"/>
      <c r="AW18" s="118"/>
      <c r="AX18" s="119"/>
      <c r="AY18" s="118"/>
      <c r="AZ18" s="119"/>
      <c r="BA18" s="118"/>
      <c r="BB18" s="119"/>
      <c r="BC18" s="118"/>
      <c r="BD18" s="119"/>
      <c r="BE18" s="118"/>
      <c r="BF18" s="119"/>
      <c r="BG18" s="118"/>
      <c r="BH18" s="119"/>
      <c r="BI18" s="118"/>
      <c r="BJ18" s="119"/>
      <c r="BK18" s="118"/>
      <c r="BL18" s="119"/>
      <c r="BM18" s="120"/>
      <c r="BN18" s="119"/>
      <c r="CA18" s="83"/>
      <c r="CB18" s="83"/>
      <c r="CC18" s="83"/>
      <c r="CD18" s="83"/>
      <c r="CE18" s="83"/>
      <c r="CF18" s="83"/>
      <c r="CG18" s="83"/>
      <c r="CH18" s="83"/>
      <c r="CI18" s="83"/>
      <c r="CJ18" s="83"/>
      <c r="CK18" s="83"/>
      <c r="CL18" s="83"/>
      <c r="CM18" s="83"/>
      <c r="CN18" s="83"/>
      <c r="CO18" s="83"/>
      <c r="CP18" s="83"/>
    </row>
    <row r="19" spans="1:94" x14ac:dyDescent="0.25">
      <c r="A19" s="92" t="s">
        <v>16</v>
      </c>
      <c r="B19" s="93"/>
      <c r="C19" s="121"/>
      <c r="D19" s="122"/>
      <c r="E19" s="121"/>
      <c r="F19" s="122"/>
      <c r="G19" s="121"/>
      <c r="H19" s="122"/>
      <c r="I19" s="121"/>
      <c r="J19" s="122"/>
      <c r="K19" s="121"/>
      <c r="L19" s="122"/>
      <c r="M19" s="121"/>
      <c r="N19" s="122"/>
      <c r="O19" s="121"/>
      <c r="P19" s="122"/>
      <c r="Q19" s="121"/>
      <c r="R19" s="122"/>
      <c r="S19" s="121"/>
      <c r="T19" s="122"/>
      <c r="U19" s="121"/>
      <c r="V19" s="122"/>
      <c r="W19" s="121"/>
      <c r="X19" s="122"/>
      <c r="Y19" s="121"/>
      <c r="Z19" s="122"/>
      <c r="AA19" s="121"/>
      <c r="AB19" s="122"/>
      <c r="AC19" s="121"/>
      <c r="AD19" s="122"/>
      <c r="AE19" s="121"/>
      <c r="AF19" s="122"/>
      <c r="AG19" s="121"/>
      <c r="AH19" s="122"/>
      <c r="AI19" s="121"/>
      <c r="AJ19" s="122"/>
      <c r="AK19" s="121"/>
      <c r="AL19" s="122"/>
      <c r="AM19" s="121"/>
      <c r="AN19" s="122"/>
      <c r="AO19" s="121"/>
      <c r="AP19" s="122"/>
      <c r="AQ19" s="121"/>
      <c r="AR19" s="122"/>
      <c r="AS19" s="121"/>
      <c r="AT19" s="122"/>
      <c r="AU19" s="121"/>
      <c r="AV19" s="122"/>
      <c r="AW19" s="121"/>
      <c r="AX19" s="122"/>
      <c r="AY19" s="121"/>
      <c r="AZ19" s="122"/>
      <c r="BA19" s="121"/>
      <c r="BB19" s="122"/>
      <c r="BC19" s="121"/>
      <c r="BD19" s="122"/>
      <c r="BE19" s="121"/>
      <c r="BF19" s="122"/>
      <c r="BG19" s="121"/>
      <c r="BH19" s="122"/>
      <c r="BI19" s="121"/>
      <c r="BJ19" s="122"/>
      <c r="BK19" s="121"/>
      <c r="BL19" s="122"/>
      <c r="BM19" s="123"/>
      <c r="BN19" s="122"/>
      <c r="CA19" s="83"/>
      <c r="CB19" s="83"/>
      <c r="CC19" s="83"/>
      <c r="CD19" s="83"/>
      <c r="CE19" s="83"/>
      <c r="CF19" s="83"/>
      <c r="CG19" s="83"/>
      <c r="CH19" s="83"/>
      <c r="CI19" s="83"/>
      <c r="CJ19" s="83"/>
      <c r="CK19" s="83"/>
      <c r="CL19" s="83"/>
      <c r="CM19" s="83"/>
      <c r="CN19" s="83"/>
      <c r="CO19" s="83"/>
      <c r="CP19" s="83"/>
    </row>
    <row r="20" spans="1:94" x14ac:dyDescent="0.25">
      <c r="A20" s="79" t="s">
        <v>17</v>
      </c>
      <c r="B20" s="98" t="s">
        <v>9</v>
      </c>
      <c r="C20" s="112">
        <v>7</v>
      </c>
      <c r="D20" s="113">
        <v>2822.8</v>
      </c>
      <c r="E20" s="112">
        <v>4</v>
      </c>
      <c r="F20" s="113">
        <v>2200</v>
      </c>
      <c r="G20" s="112">
        <v>5</v>
      </c>
      <c r="H20" s="113">
        <v>3126</v>
      </c>
      <c r="I20" s="112">
        <v>7</v>
      </c>
      <c r="J20" s="113">
        <v>3807.2</v>
      </c>
      <c r="K20" s="112">
        <v>5</v>
      </c>
      <c r="L20" s="113">
        <v>2103.6999999999998</v>
      </c>
      <c r="M20" s="112">
        <v>6</v>
      </c>
      <c r="N20" s="113">
        <v>3032.8</v>
      </c>
      <c r="O20" s="112">
        <v>2</v>
      </c>
      <c r="P20" s="113">
        <v>724.4</v>
      </c>
      <c r="Q20" s="112">
        <v>10</v>
      </c>
      <c r="R20" s="113">
        <v>4442.6000000000004</v>
      </c>
      <c r="S20" s="112">
        <v>1</v>
      </c>
      <c r="T20" s="113">
        <v>500</v>
      </c>
      <c r="U20" s="112">
        <v>10</v>
      </c>
      <c r="V20" s="113">
        <v>5451.6</v>
      </c>
      <c r="W20" s="112">
        <v>5</v>
      </c>
      <c r="X20" s="113">
        <v>3022.1</v>
      </c>
      <c r="Y20" s="112">
        <v>5</v>
      </c>
      <c r="Z20" s="113">
        <v>2337.1</v>
      </c>
      <c r="AA20" s="112">
        <v>1</v>
      </c>
      <c r="AB20" s="113">
        <v>500</v>
      </c>
      <c r="AC20" s="112">
        <v>1</v>
      </c>
      <c r="AD20" s="113">
        <v>39</v>
      </c>
      <c r="AE20" s="112">
        <v>7</v>
      </c>
      <c r="AF20" s="113">
        <v>3965.4</v>
      </c>
      <c r="AG20" s="112">
        <v>2</v>
      </c>
      <c r="AH20" s="113">
        <v>1171</v>
      </c>
      <c r="AI20" s="112">
        <v>3</v>
      </c>
      <c r="AJ20" s="113">
        <v>1573.3</v>
      </c>
      <c r="AK20" s="112">
        <v>8</v>
      </c>
      <c r="AL20" s="113">
        <v>4552.1000000000004</v>
      </c>
      <c r="AM20" s="112">
        <v>8</v>
      </c>
      <c r="AN20" s="113">
        <v>4461.1000000000004</v>
      </c>
      <c r="AO20" s="112">
        <v>0</v>
      </c>
      <c r="AP20" s="113">
        <v>0</v>
      </c>
      <c r="AQ20" s="112">
        <v>4</v>
      </c>
      <c r="AR20" s="113">
        <v>1982.4</v>
      </c>
      <c r="AS20" s="112">
        <v>9</v>
      </c>
      <c r="AT20" s="113">
        <v>6731.5</v>
      </c>
      <c r="AU20" s="112">
        <v>5</v>
      </c>
      <c r="AV20" s="113">
        <v>2484.3000000000002</v>
      </c>
      <c r="AW20" s="112">
        <v>7</v>
      </c>
      <c r="AX20" s="113">
        <v>4609.1000000000004</v>
      </c>
      <c r="AY20" s="112">
        <v>7</v>
      </c>
      <c r="AZ20" s="113">
        <v>5058.3999999999996</v>
      </c>
      <c r="BA20" s="112">
        <v>5</v>
      </c>
      <c r="BB20" s="113">
        <v>2051.4</v>
      </c>
      <c r="BC20" s="112">
        <v>4</v>
      </c>
      <c r="BD20" s="113">
        <v>2062.1</v>
      </c>
      <c r="BE20" s="112">
        <v>5</v>
      </c>
      <c r="BF20" s="113">
        <v>2454</v>
      </c>
      <c r="BG20" s="112">
        <v>6</v>
      </c>
      <c r="BH20" s="113">
        <v>3993.5</v>
      </c>
      <c r="BI20" s="112">
        <v>3</v>
      </c>
      <c r="BJ20" s="113">
        <v>1629.8</v>
      </c>
      <c r="BK20" s="112">
        <v>8</v>
      </c>
      <c r="BL20" s="113">
        <v>4262.7</v>
      </c>
      <c r="BM20" s="114" cm="1">
        <f t="array" ref="BM20">SUMPRODUCT((MOD(COLUMN(C20:BL20)-COLUMN(C20),2)=0)*C20:BL20)</f>
        <v>160</v>
      </c>
      <c r="BN20" s="113" cm="1">
        <f t="array" ref="BN20">SUMPRODUCT((MOD(COLUMN(D20:BM20)-COLUMN(D20),2)=0)*D20:BM20)</f>
        <v>87151.4</v>
      </c>
      <c r="CA20" s="83"/>
      <c r="CB20" s="83"/>
      <c r="CC20" s="83"/>
      <c r="CD20" s="83"/>
      <c r="CE20" s="83"/>
      <c r="CF20" s="83"/>
      <c r="CG20" s="83"/>
      <c r="CH20" s="83"/>
      <c r="CI20" s="83"/>
      <c r="CJ20" s="83"/>
      <c r="CK20" s="83"/>
      <c r="CL20" s="83"/>
      <c r="CM20" s="83"/>
      <c r="CN20" s="83"/>
      <c r="CO20" s="83"/>
      <c r="CP20" s="83"/>
    </row>
    <row r="21" spans="1:94" x14ac:dyDescent="0.25">
      <c r="A21" s="79" t="s">
        <v>18</v>
      </c>
      <c r="B21" s="98" t="s">
        <v>9</v>
      </c>
      <c r="C21" s="112">
        <v>0</v>
      </c>
      <c r="D21" s="113">
        <v>0</v>
      </c>
      <c r="E21" s="112">
        <v>1</v>
      </c>
      <c r="F21" s="113">
        <v>620</v>
      </c>
      <c r="G21" s="112">
        <v>0</v>
      </c>
      <c r="H21" s="113">
        <v>0</v>
      </c>
      <c r="I21" s="112">
        <v>0</v>
      </c>
      <c r="J21" s="113">
        <v>0</v>
      </c>
      <c r="K21" s="112">
        <v>1</v>
      </c>
      <c r="L21" s="113">
        <v>500</v>
      </c>
      <c r="M21" s="112">
        <v>1</v>
      </c>
      <c r="N21" s="113">
        <v>500</v>
      </c>
      <c r="O21" s="112">
        <v>1</v>
      </c>
      <c r="P21" s="113">
        <v>852.3</v>
      </c>
      <c r="Q21" s="112">
        <v>2</v>
      </c>
      <c r="R21" s="113">
        <v>1144.3</v>
      </c>
      <c r="S21" s="112">
        <v>1</v>
      </c>
      <c r="T21" s="113">
        <v>500</v>
      </c>
      <c r="U21" s="112">
        <v>1</v>
      </c>
      <c r="V21" s="113">
        <v>694.2</v>
      </c>
      <c r="W21" s="112">
        <v>0</v>
      </c>
      <c r="X21" s="113">
        <v>0</v>
      </c>
      <c r="Y21" s="112">
        <v>1</v>
      </c>
      <c r="Z21" s="113">
        <v>500</v>
      </c>
      <c r="AA21" s="112">
        <v>0</v>
      </c>
      <c r="AB21" s="113">
        <v>0</v>
      </c>
      <c r="AC21" s="112">
        <v>1</v>
      </c>
      <c r="AD21" s="113">
        <v>500</v>
      </c>
      <c r="AE21" s="112">
        <v>1</v>
      </c>
      <c r="AF21" s="113">
        <v>800</v>
      </c>
      <c r="AG21" s="112">
        <v>2</v>
      </c>
      <c r="AH21" s="113">
        <v>1000</v>
      </c>
      <c r="AI21" s="112">
        <v>1</v>
      </c>
      <c r="AJ21" s="113">
        <v>500</v>
      </c>
      <c r="AK21" s="112">
        <v>0</v>
      </c>
      <c r="AL21" s="113">
        <v>0</v>
      </c>
      <c r="AM21" s="112">
        <v>2</v>
      </c>
      <c r="AN21" s="113">
        <v>1000</v>
      </c>
      <c r="AO21" s="112">
        <v>0</v>
      </c>
      <c r="AP21" s="113">
        <v>0</v>
      </c>
      <c r="AQ21" s="112">
        <v>0</v>
      </c>
      <c r="AR21" s="113">
        <v>0</v>
      </c>
      <c r="AS21" s="112">
        <v>3</v>
      </c>
      <c r="AT21" s="113">
        <v>1700</v>
      </c>
      <c r="AU21" s="112">
        <v>0</v>
      </c>
      <c r="AV21" s="113">
        <v>0</v>
      </c>
      <c r="AW21" s="112">
        <v>1</v>
      </c>
      <c r="AX21" s="113">
        <v>500</v>
      </c>
      <c r="AY21" s="112">
        <v>2</v>
      </c>
      <c r="AZ21" s="113">
        <v>1000</v>
      </c>
      <c r="BA21" s="112">
        <v>1</v>
      </c>
      <c r="BB21" s="113">
        <v>500</v>
      </c>
      <c r="BC21" s="112">
        <v>0</v>
      </c>
      <c r="BD21" s="113">
        <v>0</v>
      </c>
      <c r="BE21" s="112">
        <v>0</v>
      </c>
      <c r="BF21" s="113">
        <v>0</v>
      </c>
      <c r="BG21" s="112">
        <v>0</v>
      </c>
      <c r="BH21" s="113">
        <v>0</v>
      </c>
      <c r="BI21" s="112">
        <v>0</v>
      </c>
      <c r="BJ21" s="113">
        <v>0</v>
      </c>
      <c r="BK21" s="112">
        <v>1</v>
      </c>
      <c r="BL21" s="113">
        <v>500</v>
      </c>
      <c r="BM21" s="114" cm="1">
        <f t="array" ref="BM21">SUMPRODUCT((MOD(COLUMN(C21:BL21)-COLUMN(C21),2)=0)*C21:BL21)</f>
        <v>24</v>
      </c>
      <c r="BN21" s="113" cm="1">
        <f t="array" ref="BN21">SUMPRODUCT((MOD(COLUMN(D21:BM21)-COLUMN(D21),2)=0)*D21:BM21)</f>
        <v>13310.8</v>
      </c>
      <c r="CA21" s="83"/>
      <c r="CB21" s="83"/>
      <c r="CC21" s="83"/>
      <c r="CD21" s="83"/>
      <c r="CE21" s="83"/>
      <c r="CF21" s="83"/>
      <c r="CG21" s="83"/>
      <c r="CH21" s="83"/>
      <c r="CI21" s="83"/>
      <c r="CJ21" s="83"/>
      <c r="CK21" s="83"/>
      <c r="CL21" s="83"/>
      <c r="CM21" s="83"/>
      <c r="CN21" s="83"/>
      <c r="CO21" s="83"/>
      <c r="CP21" s="83"/>
    </row>
    <row r="22" spans="1:94" x14ac:dyDescent="0.25">
      <c r="A22" s="79" t="s">
        <v>19</v>
      </c>
      <c r="B22" s="98" t="s">
        <v>9</v>
      </c>
      <c r="C22" s="112">
        <v>7</v>
      </c>
      <c r="D22" s="113">
        <v>3367.5</v>
      </c>
      <c r="E22" s="112">
        <v>2</v>
      </c>
      <c r="F22" s="113">
        <v>1000</v>
      </c>
      <c r="G22" s="112">
        <v>1</v>
      </c>
      <c r="H22" s="113">
        <v>278.10000000000002</v>
      </c>
      <c r="I22" s="112">
        <v>2</v>
      </c>
      <c r="J22" s="113">
        <v>1968.3</v>
      </c>
      <c r="K22" s="112">
        <v>3</v>
      </c>
      <c r="L22" s="113">
        <v>1089.4000000000001</v>
      </c>
      <c r="M22" s="112">
        <v>3</v>
      </c>
      <c r="N22" s="113">
        <v>1651.9</v>
      </c>
      <c r="O22" s="112">
        <v>1</v>
      </c>
      <c r="P22" s="113">
        <v>500</v>
      </c>
      <c r="Q22" s="112">
        <v>4</v>
      </c>
      <c r="R22" s="113">
        <v>3143.3</v>
      </c>
      <c r="S22" s="112">
        <v>1</v>
      </c>
      <c r="T22" s="113">
        <v>500</v>
      </c>
      <c r="U22" s="112">
        <v>2</v>
      </c>
      <c r="V22" s="113">
        <v>1282.0999999999999</v>
      </c>
      <c r="W22" s="112">
        <v>3</v>
      </c>
      <c r="X22" s="113">
        <v>1792.7</v>
      </c>
      <c r="Y22" s="112">
        <v>2</v>
      </c>
      <c r="Z22" s="113">
        <v>685.5</v>
      </c>
      <c r="AA22" s="112">
        <v>3</v>
      </c>
      <c r="AB22" s="113">
        <v>1757.6</v>
      </c>
      <c r="AC22" s="112">
        <v>0</v>
      </c>
      <c r="AD22" s="113">
        <v>0</v>
      </c>
      <c r="AE22" s="112">
        <v>2</v>
      </c>
      <c r="AF22" s="113">
        <v>769.2</v>
      </c>
      <c r="AG22" s="112">
        <v>2</v>
      </c>
      <c r="AH22" s="113">
        <v>1161.9000000000001</v>
      </c>
      <c r="AI22" s="112">
        <v>5</v>
      </c>
      <c r="AJ22" s="113">
        <v>1772.4</v>
      </c>
      <c r="AK22" s="112">
        <v>3</v>
      </c>
      <c r="AL22" s="113">
        <v>1227.8</v>
      </c>
      <c r="AM22" s="112">
        <v>2</v>
      </c>
      <c r="AN22" s="113">
        <v>1099.0999999999999</v>
      </c>
      <c r="AO22" s="112">
        <v>0</v>
      </c>
      <c r="AP22" s="113">
        <v>0</v>
      </c>
      <c r="AQ22" s="112">
        <v>1</v>
      </c>
      <c r="AR22" s="113">
        <v>500</v>
      </c>
      <c r="AS22" s="112">
        <v>2</v>
      </c>
      <c r="AT22" s="113">
        <v>953.1</v>
      </c>
      <c r="AU22" s="112">
        <v>2</v>
      </c>
      <c r="AV22" s="113">
        <v>612.20000000000005</v>
      </c>
      <c r="AW22" s="112">
        <v>2</v>
      </c>
      <c r="AX22" s="113">
        <v>1281.5999999999999</v>
      </c>
      <c r="AY22" s="112">
        <v>0</v>
      </c>
      <c r="AZ22" s="113">
        <v>0</v>
      </c>
      <c r="BA22" s="112">
        <v>5</v>
      </c>
      <c r="BB22" s="113">
        <v>1701.7</v>
      </c>
      <c r="BC22" s="112">
        <v>3</v>
      </c>
      <c r="BD22" s="113">
        <v>896</v>
      </c>
      <c r="BE22" s="112">
        <v>2</v>
      </c>
      <c r="BF22" s="113">
        <v>665.6</v>
      </c>
      <c r="BG22" s="112">
        <v>2</v>
      </c>
      <c r="BH22" s="113">
        <v>1313.2</v>
      </c>
      <c r="BI22" s="112">
        <v>2</v>
      </c>
      <c r="BJ22" s="113">
        <v>1000</v>
      </c>
      <c r="BK22" s="112">
        <v>5</v>
      </c>
      <c r="BL22" s="113">
        <v>1942</v>
      </c>
      <c r="BM22" s="114" cm="1">
        <f t="array" ref="BM22">SUMPRODUCT((MOD(COLUMN(C22:BL22)-COLUMN(C22),2)=0)*C22:BL22)</f>
        <v>74</v>
      </c>
      <c r="BN22" s="113" cm="1">
        <f t="array" ref="BN22">SUMPRODUCT((MOD(COLUMN(D22:BM22)-COLUMN(D22),2)=0)*D22:BM22)</f>
        <v>35912.199999999997</v>
      </c>
      <c r="CA22" s="83"/>
      <c r="CB22" s="83"/>
      <c r="CC22" s="83"/>
      <c r="CD22" s="83"/>
      <c r="CE22" s="83"/>
      <c r="CF22" s="83"/>
      <c r="CG22" s="83"/>
      <c r="CH22" s="83"/>
      <c r="CI22" s="83"/>
      <c r="CJ22" s="83"/>
      <c r="CK22" s="83"/>
      <c r="CL22" s="83"/>
      <c r="CM22" s="83"/>
      <c r="CN22" s="83"/>
      <c r="CO22" s="83"/>
      <c r="CP22" s="83"/>
    </row>
    <row r="23" spans="1:94" x14ac:dyDescent="0.25">
      <c r="A23" s="79" t="s">
        <v>20</v>
      </c>
      <c r="B23" s="98" t="s">
        <v>9</v>
      </c>
      <c r="C23" s="112">
        <v>13</v>
      </c>
      <c r="D23" s="113">
        <v>8052.3</v>
      </c>
      <c r="E23" s="112">
        <v>6</v>
      </c>
      <c r="F23" s="113">
        <v>6098</v>
      </c>
      <c r="G23" s="112">
        <v>20</v>
      </c>
      <c r="H23" s="113">
        <v>10816.9</v>
      </c>
      <c r="I23" s="112">
        <v>18</v>
      </c>
      <c r="J23" s="113">
        <v>9965.2999999999993</v>
      </c>
      <c r="K23" s="112">
        <v>20</v>
      </c>
      <c r="L23" s="113">
        <v>12676.9</v>
      </c>
      <c r="M23" s="112">
        <v>17</v>
      </c>
      <c r="N23" s="113">
        <v>9706.1</v>
      </c>
      <c r="O23" s="112">
        <v>8</v>
      </c>
      <c r="P23" s="113">
        <v>3284.8</v>
      </c>
      <c r="Q23" s="112">
        <v>18</v>
      </c>
      <c r="R23" s="113">
        <v>13688.8</v>
      </c>
      <c r="S23" s="112">
        <v>10</v>
      </c>
      <c r="T23" s="113">
        <v>5300</v>
      </c>
      <c r="U23" s="112">
        <v>18</v>
      </c>
      <c r="V23" s="113">
        <v>9161.6</v>
      </c>
      <c r="W23" s="112">
        <v>14</v>
      </c>
      <c r="X23" s="113">
        <v>8699.1</v>
      </c>
      <c r="Y23" s="112">
        <v>24</v>
      </c>
      <c r="Z23" s="113">
        <v>12106.1</v>
      </c>
      <c r="AA23" s="112">
        <v>14</v>
      </c>
      <c r="AB23" s="113">
        <v>7301.4</v>
      </c>
      <c r="AC23" s="112">
        <v>6</v>
      </c>
      <c r="AD23" s="113">
        <v>2541.3000000000002</v>
      </c>
      <c r="AE23" s="112">
        <v>17</v>
      </c>
      <c r="AF23" s="113">
        <v>11594.2</v>
      </c>
      <c r="AG23" s="112">
        <v>13</v>
      </c>
      <c r="AH23" s="113">
        <v>8776.2999999999993</v>
      </c>
      <c r="AI23" s="112">
        <v>15</v>
      </c>
      <c r="AJ23" s="113">
        <v>7278.8</v>
      </c>
      <c r="AK23" s="112">
        <v>15</v>
      </c>
      <c r="AL23" s="113">
        <v>8661.2999999999993</v>
      </c>
      <c r="AM23" s="112">
        <v>16</v>
      </c>
      <c r="AN23" s="113">
        <v>8782.2999999999993</v>
      </c>
      <c r="AO23" s="112">
        <v>1</v>
      </c>
      <c r="AP23" s="113">
        <v>500</v>
      </c>
      <c r="AQ23" s="112">
        <v>9</v>
      </c>
      <c r="AR23" s="113">
        <v>6094.4</v>
      </c>
      <c r="AS23" s="112">
        <v>9</v>
      </c>
      <c r="AT23" s="113">
        <v>5534</v>
      </c>
      <c r="AU23" s="112">
        <v>12</v>
      </c>
      <c r="AV23" s="113">
        <v>5319.4</v>
      </c>
      <c r="AW23" s="112">
        <v>15</v>
      </c>
      <c r="AX23" s="113">
        <v>7934</v>
      </c>
      <c r="AY23" s="112">
        <v>11</v>
      </c>
      <c r="AZ23" s="113">
        <v>6114.8</v>
      </c>
      <c r="BA23" s="112">
        <v>20</v>
      </c>
      <c r="BB23" s="113">
        <v>8091.6</v>
      </c>
      <c r="BC23" s="112">
        <v>13</v>
      </c>
      <c r="BD23" s="113">
        <v>5488.8</v>
      </c>
      <c r="BE23" s="112">
        <v>12</v>
      </c>
      <c r="BF23" s="113">
        <v>6981.3</v>
      </c>
      <c r="BG23" s="112">
        <v>13</v>
      </c>
      <c r="BH23" s="113">
        <v>9434.5</v>
      </c>
      <c r="BI23" s="112">
        <v>8</v>
      </c>
      <c r="BJ23" s="113">
        <v>5277.2</v>
      </c>
      <c r="BK23" s="112">
        <v>10</v>
      </c>
      <c r="BL23" s="113">
        <v>5169</v>
      </c>
      <c r="BM23" s="114" cm="1">
        <f t="array" ref="BM23">SUMPRODUCT((MOD(COLUMN(C23:BL23)-COLUMN(C23),2)=0)*C23:BL23)</f>
        <v>415</v>
      </c>
      <c r="BN23" s="113" cm="1">
        <f t="array" ref="BN23">SUMPRODUCT((MOD(COLUMN(D23:BM23)-COLUMN(D23),2)=0)*D23:BM23)</f>
        <v>236430.49999999994</v>
      </c>
      <c r="CA23" s="83"/>
      <c r="CB23" s="83"/>
      <c r="CC23" s="83"/>
      <c r="CD23" s="83"/>
      <c r="CE23" s="83"/>
      <c r="CF23" s="83"/>
      <c r="CG23" s="83"/>
      <c r="CH23" s="83"/>
      <c r="CI23" s="83"/>
      <c r="CJ23" s="83"/>
      <c r="CK23" s="83"/>
      <c r="CL23" s="83"/>
      <c r="CM23" s="83"/>
      <c r="CN23" s="83"/>
      <c r="CO23" s="83"/>
      <c r="CP23" s="83"/>
    </row>
    <row r="24" spans="1:94" x14ac:dyDescent="0.25">
      <c r="A24" s="79" t="s">
        <v>21</v>
      </c>
      <c r="B24" s="98" t="s">
        <v>9</v>
      </c>
      <c r="C24" s="112">
        <v>7</v>
      </c>
      <c r="D24" s="113">
        <v>5108.3999999999996</v>
      </c>
      <c r="E24" s="112">
        <v>4</v>
      </c>
      <c r="F24" s="113">
        <v>2833.1</v>
      </c>
      <c r="G24" s="112">
        <v>5</v>
      </c>
      <c r="H24" s="113">
        <v>3590.8</v>
      </c>
      <c r="I24" s="112">
        <v>7</v>
      </c>
      <c r="J24" s="113">
        <v>5540.1</v>
      </c>
      <c r="K24" s="112">
        <v>6</v>
      </c>
      <c r="L24" s="113">
        <v>3671.6</v>
      </c>
      <c r="M24" s="112">
        <v>4</v>
      </c>
      <c r="N24" s="113">
        <v>2155.3000000000002</v>
      </c>
      <c r="O24" s="112">
        <v>3</v>
      </c>
      <c r="P24" s="113">
        <v>1300</v>
      </c>
      <c r="Q24" s="112">
        <v>4</v>
      </c>
      <c r="R24" s="113">
        <v>2181.8000000000002</v>
      </c>
      <c r="S24" s="112">
        <v>2</v>
      </c>
      <c r="T24" s="113">
        <v>1498.5</v>
      </c>
      <c r="U24" s="112">
        <v>9</v>
      </c>
      <c r="V24" s="113">
        <v>4564.3</v>
      </c>
      <c r="W24" s="112">
        <v>9</v>
      </c>
      <c r="X24" s="113">
        <v>6880</v>
      </c>
      <c r="Y24" s="112">
        <v>9</v>
      </c>
      <c r="Z24" s="113">
        <v>4500</v>
      </c>
      <c r="AA24" s="112">
        <v>8</v>
      </c>
      <c r="AB24" s="113">
        <v>4328.3999999999996</v>
      </c>
      <c r="AC24" s="112">
        <v>2</v>
      </c>
      <c r="AD24" s="113">
        <v>800</v>
      </c>
      <c r="AE24" s="112">
        <v>7</v>
      </c>
      <c r="AF24" s="113">
        <v>4904.8</v>
      </c>
      <c r="AG24" s="112">
        <v>6</v>
      </c>
      <c r="AH24" s="113">
        <v>3393.1</v>
      </c>
      <c r="AI24" s="112">
        <v>4</v>
      </c>
      <c r="AJ24" s="113">
        <v>2575.4</v>
      </c>
      <c r="AK24" s="112">
        <v>7</v>
      </c>
      <c r="AL24" s="113">
        <v>5038.1000000000004</v>
      </c>
      <c r="AM24" s="112">
        <v>11</v>
      </c>
      <c r="AN24" s="113">
        <v>4546.2</v>
      </c>
      <c r="AO24" s="112">
        <v>3</v>
      </c>
      <c r="AP24" s="113">
        <v>1866.2</v>
      </c>
      <c r="AQ24" s="112">
        <v>5</v>
      </c>
      <c r="AR24" s="113">
        <v>2823</v>
      </c>
      <c r="AS24" s="112">
        <v>8</v>
      </c>
      <c r="AT24" s="113">
        <v>5404.4</v>
      </c>
      <c r="AU24" s="112">
        <v>3</v>
      </c>
      <c r="AV24" s="113">
        <v>2781.7</v>
      </c>
      <c r="AW24" s="112">
        <v>5</v>
      </c>
      <c r="AX24" s="113">
        <v>1704.1</v>
      </c>
      <c r="AY24" s="112">
        <v>4</v>
      </c>
      <c r="AZ24" s="113">
        <v>2801.9</v>
      </c>
      <c r="BA24" s="112">
        <v>4</v>
      </c>
      <c r="BB24" s="113">
        <v>2961.3</v>
      </c>
      <c r="BC24" s="112">
        <v>5</v>
      </c>
      <c r="BD24" s="113">
        <v>3565.9</v>
      </c>
      <c r="BE24" s="112">
        <v>1</v>
      </c>
      <c r="BF24" s="113">
        <v>500</v>
      </c>
      <c r="BG24" s="112">
        <v>7</v>
      </c>
      <c r="BH24" s="113">
        <v>3424.4</v>
      </c>
      <c r="BI24" s="112">
        <v>4</v>
      </c>
      <c r="BJ24" s="113">
        <v>2213.1</v>
      </c>
      <c r="BK24" s="112">
        <v>4</v>
      </c>
      <c r="BL24" s="113">
        <v>2145.9</v>
      </c>
      <c r="BM24" s="114" cm="1">
        <f t="array" ref="BM24">SUMPRODUCT((MOD(COLUMN(C24:BL24)-COLUMN(C24),2)=0)*C24:BL24)</f>
        <v>167</v>
      </c>
      <c r="BN24" s="113" cm="1">
        <f t="array" ref="BN24">SUMPRODUCT((MOD(COLUMN(D24:BM24)-COLUMN(D24),2)=0)*D24:BM24)</f>
        <v>101601.79999999997</v>
      </c>
      <c r="CA24" s="83"/>
      <c r="CB24" s="83"/>
      <c r="CC24" s="83"/>
      <c r="CD24" s="83"/>
      <c r="CE24" s="83"/>
      <c r="CF24" s="83"/>
      <c r="CG24" s="83"/>
      <c r="CH24" s="83"/>
      <c r="CI24" s="83"/>
      <c r="CJ24" s="83"/>
      <c r="CK24" s="83"/>
      <c r="CL24" s="83"/>
      <c r="CM24" s="83"/>
      <c r="CN24" s="83"/>
      <c r="CO24" s="83"/>
      <c r="CP24" s="83"/>
    </row>
    <row r="25" spans="1:94" x14ac:dyDescent="0.25">
      <c r="A25" s="79" t="s">
        <v>16</v>
      </c>
      <c r="B25" s="98" t="s">
        <v>9</v>
      </c>
      <c r="C25" s="112">
        <v>31</v>
      </c>
      <c r="D25" s="113">
        <v>21600.2</v>
      </c>
      <c r="E25" s="112">
        <v>28</v>
      </c>
      <c r="F25" s="113">
        <v>14870.9</v>
      </c>
      <c r="G25" s="112">
        <v>37</v>
      </c>
      <c r="H25" s="113">
        <v>17823.7</v>
      </c>
      <c r="I25" s="112">
        <v>41</v>
      </c>
      <c r="J25" s="113">
        <v>24111.4</v>
      </c>
      <c r="K25" s="112">
        <v>43</v>
      </c>
      <c r="L25" s="113">
        <v>22335.1</v>
      </c>
      <c r="M25" s="112">
        <v>38</v>
      </c>
      <c r="N25" s="113">
        <v>20309.5</v>
      </c>
      <c r="O25" s="112">
        <v>26</v>
      </c>
      <c r="P25" s="113">
        <v>13305.8</v>
      </c>
      <c r="Q25" s="112">
        <v>35</v>
      </c>
      <c r="R25" s="113">
        <v>20564.2</v>
      </c>
      <c r="S25" s="112">
        <v>23</v>
      </c>
      <c r="T25" s="113">
        <v>13006</v>
      </c>
      <c r="U25" s="112">
        <v>33</v>
      </c>
      <c r="V25" s="113">
        <v>17811.900000000001</v>
      </c>
      <c r="W25" s="112">
        <v>41</v>
      </c>
      <c r="X25" s="113">
        <v>26287.599999999999</v>
      </c>
      <c r="Y25" s="112">
        <v>39</v>
      </c>
      <c r="Z25" s="113">
        <v>23116.2</v>
      </c>
      <c r="AA25" s="112">
        <v>38</v>
      </c>
      <c r="AB25" s="113">
        <v>18369.400000000001</v>
      </c>
      <c r="AC25" s="112">
        <v>28</v>
      </c>
      <c r="AD25" s="113">
        <v>15213.8</v>
      </c>
      <c r="AE25" s="112">
        <v>37</v>
      </c>
      <c r="AF25" s="113">
        <v>24514.799999999999</v>
      </c>
      <c r="AG25" s="112">
        <v>26</v>
      </c>
      <c r="AH25" s="113">
        <v>12160</v>
      </c>
      <c r="AI25" s="112">
        <v>54</v>
      </c>
      <c r="AJ25" s="113">
        <v>31995.3</v>
      </c>
      <c r="AK25" s="112">
        <v>37</v>
      </c>
      <c r="AL25" s="113">
        <v>23248.9</v>
      </c>
      <c r="AM25" s="112">
        <v>45</v>
      </c>
      <c r="AN25" s="113">
        <v>24849.3</v>
      </c>
      <c r="AO25" s="112">
        <v>8</v>
      </c>
      <c r="AP25" s="113">
        <v>4454.1000000000004</v>
      </c>
      <c r="AQ25" s="112">
        <v>24</v>
      </c>
      <c r="AR25" s="113">
        <v>13890.6</v>
      </c>
      <c r="AS25" s="112">
        <v>35</v>
      </c>
      <c r="AT25" s="113">
        <v>19400.900000000001</v>
      </c>
      <c r="AU25" s="112">
        <v>23</v>
      </c>
      <c r="AV25" s="113">
        <v>10276.299999999999</v>
      </c>
      <c r="AW25" s="112">
        <v>45</v>
      </c>
      <c r="AX25" s="113">
        <v>22481.200000000001</v>
      </c>
      <c r="AY25" s="112">
        <v>38</v>
      </c>
      <c r="AZ25" s="113">
        <v>22038.7</v>
      </c>
      <c r="BA25" s="112">
        <v>38</v>
      </c>
      <c r="BB25" s="113">
        <v>19460.2</v>
      </c>
      <c r="BC25" s="112">
        <v>39</v>
      </c>
      <c r="BD25" s="113">
        <v>17959.7</v>
      </c>
      <c r="BE25" s="112">
        <v>26</v>
      </c>
      <c r="BF25" s="113">
        <v>14685.1</v>
      </c>
      <c r="BG25" s="112">
        <v>39</v>
      </c>
      <c r="BH25" s="113">
        <v>27297.7</v>
      </c>
      <c r="BI25" s="112">
        <v>30</v>
      </c>
      <c r="BJ25" s="113">
        <v>14713.3</v>
      </c>
      <c r="BK25" s="112">
        <v>53</v>
      </c>
      <c r="BL25" s="113">
        <v>29097.3</v>
      </c>
      <c r="BM25" s="114" cm="1">
        <f t="array" ref="BM25">SUMPRODUCT((MOD(COLUMN(C25:BL25)-COLUMN(C25),2)=0)*C25:BL25)</f>
        <v>1078</v>
      </c>
      <c r="BN25" s="113" cm="1">
        <f t="array" ref="BN25">SUMPRODUCT((MOD(COLUMN(D25:BM25)-COLUMN(D25),2)=0)*D25:BM25)</f>
        <v>601249.10000000009</v>
      </c>
      <c r="CA25" s="83"/>
      <c r="CB25" s="83"/>
      <c r="CC25" s="83"/>
      <c r="CD25" s="83"/>
      <c r="CE25" s="83"/>
      <c r="CF25" s="83"/>
      <c r="CG25" s="83"/>
      <c r="CH25" s="83"/>
      <c r="CI25" s="83"/>
      <c r="CJ25" s="83"/>
      <c r="CK25" s="83"/>
      <c r="CL25" s="83"/>
      <c r="CM25" s="83"/>
      <c r="CN25" s="83"/>
      <c r="CO25" s="83"/>
      <c r="CP25" s="83"/>
    </row>
    <row r="26" spans="1:94" x14ac:dyDescent="0.25">
      <c r="A26" s="100" t="s">
        <v>22</v>
      </c>
      <c r="B26" s="101"/>
      <c r="C26" s="115">
        <f>SUM(C20:C25)</f>
        <v>65</v>
      </c>
      <c r="D26" s="116">
        <f>SUM(D20:D25)</f>
        <v>40951.199999999997</v>
      </c>
      <c r="E26" s="115">
        <f t="shared" ref="E26:BN26" si="2">SUM(E20:E25)</f>
        <v>45</v>
      </c>
      <c r="F26" s="116">
        <f t="shared" si="2"/>
        <v>27622</v>
      </c>
      <c r="G26" s="115">
        <f t="shared" si="2"/>
        <v>68</v>
      </c>
      <c r="H26" s="116">
        <f t="shared" si="2"/>
        <v>35635.5</v>
      </c>
      <c r="I26" s="115">
        <f t="shared" si="2"/>
        <v>75</v>
      </c>
      <c r="J26" s="116">
        <f t="shared" si="2"/>
        <v>45392.3</v>
      </c>
      <c r="K26" s="115">
        <f t="shared" si="2"/>
        <v>78</v>
      </c>
      <c r="L26" s="116">
        <f t="shared" si="2"/>
        <v>42376.7</v>
      </c>
      <c r="M26" s="115">
        <f t="shared" si="2"/>
        <v>69</v>
      </c>
      <c r="N26" s="116">
        <f t="shared" si="2"/>
        <v>37355.600000000006</v>
      </c>
      <c r="O26" s="115">
        <f t="shared" si="2"/>
        <v>41</v>
      </c>
      <c r="P26" s="116">
        <f t="shared" si="2"/>
        <v>19967.3</v>
      </c>
      <c r="Q26" s="115">
        <f t="shared" si="2"/>
        <v>73</v>
      </c>
      <c r="R26" s="116">
        <f t="shared" si="2"/>
        <v>45165</v>
      </c>
      <c r="S26" s="115">
        <f t="shared" si="2"/>
        <v>38</v>
      </c>
      <c r="T26" s="116">
        <f t="shared" si="2"/>
        <v>21304.5</v>
      </c>
      <c r="U26" s="115">
        <f t="shared" si="2"/>
        <v>73</v>
      </c>
      <c r="V26" s="116">
        <f t="shared" si="2"/>
        <v>38965.699999999997</v>
      </c>
      <c r="W26" s="115">
        <f t="shared" si="2"/>
        <v>72</v>
      </c>
      <c r="X26" s="116">
        <f t="shared" si="2"/>
        <v>46681.5</v>
      </c>
      <c r="Y26" s="115">
        <f t="shared" si="2"/>
        <v>80</v>
      </c>
      <c r="Z26" s="116">
        <f t="shared" si="2"/>
        <v>43244.9</v>
      </c>
      <c r="AA26" s="115">
        <f t="shared" si="2"/>
        <v>64</v>
      </c>
      <c r="AB26" s="116">
        <f t="shared" si="2"/>
        <v>32256.800000000003</v>
      </c>
      <c r="AC26" s="115">
        <f t="shared" si="2"/>
        <v>38</v>
      </c>
      <c r="AD26" s="116">
        <f t="shared" si="2"/>
        <v>19094.099999999999</v>
      </c>
      <c r="AE26" s="115">
        <f t="shared" si="2"/>
        <v>71</v>
      </c>
      <c r="AF26" s="116">
        <f t="shared" si="2"/>
        <v>46548.399999999994</v>
      </c>
      <c r="AG26" s="115">
        <f t="shared" si="2"/>
        <v>51</v>
      </c>
      <c r="AH26" s="116">
        <f t="shared" si="2"/>
        <v>27662.3</v>
      </c>
      <c r="AI26" s="115">
        <f t="shared" si="2"/>
        <v>82</v>
      </c>
      <c r="AJ26" s="116">
        <f t="shared" si="2"/>
        <v>45695.199999999997</v>
      </c>
      <c r="AK26" s="115">
        <f t="shared" si="2"/>
        <v>70</v>
      </c>
      <c r="AL26" s="116">
        <f t="shared" si="2"/>
        <v>42728.200000000004</v>
      </c>
      <c r="AM26" s="115">
        <f t="shared" si="2"/>
        <v>84</v>
      </c>
      <c r="AN26" s="116">
        <f t="shared" si="2"/>
        <v>44738</v>
      </c>
      <c r="AO26" s="115">
        <f t="shared" si="2"/>
        <v>12</v>
      </c>
      <c r="AP26" s="116">
        <f t="shared" si="2"/>
        <v>6820.3</v>
      </c>
      <c r="AQ26" s="115">
        <f t="shared" si="2"/>
        <v>43</v>
      </c>
      <c r="AR26" s="116">
        <f t="shared" si="2"/>
        <v>25290.400000000001</v>
      </c>
      <c r="AS26" s="115">
        <f t="shared" si="2"/>
        <v>66</v>
      </c>
      <c r="AT26" s="116">
        <f t="shared" si="2"/>
        <v>39723.9</v>
      </c>
      <c r="AU26" s="115">
        <f t="shared" si="2"/>
        <v>45</v>
      </c>
      <c r="AV26" s="116">
        <f t="shared" si="2"/>
        <v>21473.899999999998</v>
      </c>
      <c r="AW26" s="115">
        <f t="shared" si="2"/>
        <v>75</v>
      </c>
      <c r="AX26" s="116">
        <f t="shared" si="2"/>
        <v>38510</v>
      </c>
      <c r="AY26" s="115">
        <f t="shared" si="2"/>
        <v>62</v>
      </c>
      <c r="AZ26" s="116">
        <f t="shared" si="2"/>
        <v>37013.800000000003</v>
      </c>
      <c r="BA26" s="115">
        <f t="shared" si="2"/>
        <v>73</v>
      </c>
      <c r="BB26" s="116">
        <f t="shared" si="2"/>
        <v>34766.199999999997</v>
      </c>
      <c r="BC26" s="115">
        <f t="shared" si="2"/>
        <v>64</v>
      </c>
      <c r="BD26" s="116">
        <f t="shared" si="2"/>
        <v>29972.5</v>
      </c>
      <c r="BE26" s="115">
        <f t="shared" si="2"/>
        <v>46</v>
      </c>
      <c r="BF26" s="116">
        <f t="shared" si="2"/>
        <v>25286</v>
      </c>
      <c r="BG26" s="115">
        <f t="shared" si="2"/>
        <v>67</v>
      </c>
      <c r="BH26" s="116">
        <f t="shared" si="2"/>
        <v>45463.3</v>
      </c>
      <c r="BI26" s="115">
        <f t="shared" si="2"/>
        <v>47</v>
      </c>
      <c r="BJ26" s="116">
        <f t="shared" si="2"/>
        <v>24833.4</v>
      </c>
      <c r="BK26" s="115">
        <f t="shared" si="2"/>
        <v>81</v>
      </c>
      <c r="BL26" s="116">
        <f t="shared" si="2"/>
        <v>43116.9</v>
      </c>
      <c r="BM26" s="117">
        <f t="shared" si="2"/>
        <v>1918</v>
      </c>
      <c r="BN26" s="116">
        <f t="shared" si="2"/>
        <v>1075655.8</v>
      </c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CA26" s="83"/>
      <c r="CB26" s="83"/>
      <c r="CC26" s="83"/>
      <c r="CD26" s="83"/>
      <c r="CE26" s="83"/>
      <c r="CF26" s="83"/>
      <c r="CG26" s="83"/>
      <c r="CH26" s="83"/>
      <c r="CI26" s="83"/>
      <c r="CJ26" s="83"/>
      <c r="CK26" s="83"/>
      <c r="CL26" s="83"/>
      <c r="CM26" s="83"/>
      <c r="CN26" s="83"/>
      <c r="CO26" s="83"/>
      <c r="CP26" s="83"/>
    </row>
    <row r="27" spans="1:94" x14ac:dyDescent="0.25">
      <c r="C27" s="118"/>
      <c r="D27" s="119"/>
      <c r="E27" s="118"/>
      <c r="F27" s="119"/>
      <c r="G27" s="118"/>
      <c r="H27" s="119"/>
      <c r="I27" s="118"/>
      <c r="J27" s="119"/>
      <c r="K27" s="118"/>
      <c r="L27" s="119"/>
      <c r="M27" s="118"/>
      <c r="N27" s="119"/>
      <c r="O27" s="118"/>
      <c r="P27" s="119"/>
      <c r="Q27" s="118"/>
      <c r="R27" s="119"/>
      <c r="S27" s="118"/>
      <c r="T27" s="119"/>
      <c r="U27" s="118"/>
      <c r="V27" s="119"/>
      <c r="W27" s="118"/>
      <c r="X27" s="119"/>
      <c r="Y27" s="118"/>
      <c r="Z27" s="119"/>
      <c r="AA27" s="118"/>
      <c r="AB27" s="119"/>
      <c r="AC27" s="118"/>
      <c r="AD27" s="119"/>
      <c r="AE27" s="118"/>
      <c r="AF27" s="119"/>
      <c r="AG27" s="118"/>
      <c r="AH27" s="119"/>
      <c r="AI27" s="118"/>
      <c r="AJ27" s="119"/>
      <c r="AK27" s="118"/>
      <c r="AL27" s="119"/>
      <c r="AM27" s="118"/>
      <c r="AN27" s="119"/>
      <c r="AO27" s="118"/>
      <c r="AP27" s="119"/>
      <c r="AQ27" s="118"/>
      <c r="AR27" s="119"/>
      <c r="AS27" s="118"/>
      <c r="AT27" s="119"/>
      <c r="AU27" s="118"/>
      <c r="AV27" s="119"/>
      <c r="AW27" s="118"/>
      <c r="AX27" s="119"/>
      <c r="AY27" s="118"/>
      <c r="AZ27" s="119"/>
      <c r="BA27" s="118"/>
      <c r="BB27" s="119"/>
      <c r="BC27" s="118"/>
      <c r="BD27" s="119"/>
      <c r="BE27" s="118"/>
      <c r="BF27" s="119"/>
      <c r="BG27" s="118"/>
      <c r="BH27" s="119"/>
      <c r="BI27" s="118"/>
      <c r="BJ27" s="119"/>
      <c r="BK27" s="118"/>
      <c r="BL27" s="119"/>
      <c r="BM27" s="120"/>
      <c r="BN27" s="119"/>
      <c r="CA27" s="83"/>
      <c r="CB27" s="83"/>
      <c r="CC27" s="83"/>
      <c r="CD27" s="83"/>
      <c r="CE27" s="83"/>
      <c r="CF27" s="83"/>
      <c r="CG27" s="83"/>
      <c r="CH27" s="83"/>
      <c r="CI27" s="83"/>
      <c r="CJ27" s="83"/>
      <c r="CK27" s="83"/>
      <c r="CL27" s="83"/>
      <c r="CM27" s="83"/>
      <c r="CN27" s="83"/>
      <c r="CO27" s="83"/>
      <c r="CP27" s="83"/>
    </row>
    <row r="28" spans="1:94" x14ac:dyDescent="0.25">
      <c r="A28" s="92" t="s">
        <v>23</v>
      </c>
      <c r="B28" s="93"/>
      <c r="C28" s="121"/>
      <c r="D28" s="122"/>
      <c r="E28" s="121"/>
      <c r="F28" s="122"/>
      <c r="G28" s="121"/>
      <c r="H28" s="122"/>
      <c r="I28" s="121"/>
      <c r="J28" s="122"/>
      <c r="K28" s="121"/>
      <c r="L28" s="122"/>
      <c r="M28" s="121"/>
      <c r="N28" s="122"/>
      <c r="O28" s="121"/>
      <c r="P28" s="122"/>
      <c r="Q28" s="121"/>
      <c r="R28" s="122"/>
      <c r="S28" s="121"/>
      <c r="T28" s="122"/>
      <c r="U28" s="121"/>
      <c r="V28" s="122"/>
      <c r="W28" s="121"/>
      <c r="X28" s="122"/>
      <c r="Y28" s="121"/>
      <c r="Z28" s="122"/>
      <c r="AA28" s="121"/>
      <c r="AB28" s="122"/>
      <c r="AC28" s="121"/>
      <c r="AD28" s="122"/>
      <c r="AE28" s="121"/>
      <c r="AF28" s="122"/>
      <c r="AG28" s="121"/>
      <c r="AH28" s="122"/>
      <c r="AI28" s="121"/>
      <c r="AJ28" s="122"/>
      <c r="AK28" s="121"/>
      <c r="AL28" s="122"/>
      <c r="AM28" s="121"/>
      <c r="AN28" s="122"/>
      <c r="AO28" s="121"/>
      <c r="AP28" s="122"/>
      <c r="AQ28" s="121"/>
      <c r="AR28" s="122"/>
      <c r="AS28" s="121"/>
      <c r="AT28" s="122"/>
      <c r="AU28" s="121"/>
      <c r="AV28" s="122"/>
      <c r="AW28" s="121"/>
      <c r="AX28" s="122"/>
      <c r="AY28" s="121"/>
      <c r="AZ28" s="122"/>
      <c r="BA28" s="121"/>
      <c r="BB28" s="122"/>
      <c r="BC28" s="121"/>
      <c r="BD28" s="122"/>
      <c r="BE28" s="121"/>
      <c r="BF28" s="122"/>
      <c r="BG28" s="121"/>
      <c r="BH28" s="122"/>
      <c r="BI28" s="121"/>
      <c r="BJ28" s="122"/>
      <c r="BK28" s="121"/>
      <c r="BL28" s="122"/>
      <c r="BM28" s="123"/>
      <c r="BN28" s="122"/>
      <c r="CA28" s="83"/>
      <c r="CB28" s="83"/>
      <c r="CC28" s="83"/>
      <c r="CD28" s="83"/>
      <c r="CE28" s="83"/>
      <c r="CF28" s="83"/>
      <c r="CG28" s="83"/>
      <c r="CH28" s="83"/>
      <c r="CI28" s="83"/>
      <c r="CJ28" s="83"/>
      <c r="CK28" s="83"/>
      <c r="CL28" s="83"/>
      <c r="CM28" s="83"/>
      <c r="CN28" s="83"/>
      <c r="CO28" s="83"/>
      <c r="CP28" s="83"/>
    </row>
    <row r="29" spans="1:94" x14ac:dyDescent="0.25">
      <c r="A29" s="79" t="s">
        <v>24</v>
      </c>
      <c r="B29" s="98" t="s">
        <v>9</v>
      </c>
      <c r="C29" s="112">
        <v>0</v>
      </c>
      <c r="D29" s="113">
        <v>0</v>
      </c>
      <c r="E29" s="112">
        <v>1</v>
      </c>
      <c r="F29" s="113">
        <v>67</v>
      </c>
      <c r="G29" s="112">
        <v>0</v>
      </c>
      <c r="H29" s="113">
        <v>0</v>
      </c>
      <c r="I29" s="112">
        <v>0</v>
      </c>
      <c r="J29" s="113">
        <v>0</v>
      </c>
      <c r="K29" s="112">
        <v>1</v>
      </c>
      <c r="L29" s="113">
        <v>58.7</v>
      </c>
      <c r="M29" s="112">
        <v>4</v>
      </c>
      <c r="N29" s="113">
        <v>1598.6</v>
      </c>
      <c r="O29" s="112">
        <v>0</v>
      </c>
      <c r="P29" s="113">
        <v>0</v>
      </c>
      <c r="Q29" s="112">
        <v>2</v>
      </c>
      <c r="R29" s="113">
        <v>1579.2</v>
      </c>
      <c r="S29" s="112">
        <v>0</v>
      </c>
      <c r="T29" s="113">
        <v>0</v>
      </c>
      <c r="U29" s="112">
        <v>0</v>
      </c>
      <c r="V29" s="113">
        <v>0</v>
      </c>
      <c r="W29" s="112">
        <v>1</v>
      </c>
      <c r="X29" s="113">
        <v>1000</v>
      </c>
      <c r="Y29" s="112">
        <v>0</v>
      </c>
      <c r="Z29" s="113">
        <v>0</v>
      </c>
      <c r="AA29" s="112">
        <v>2</v>
      </c>
      <c r="AB29" s="113">
        <v>571.1</v>
      </c>
      <c r="AC29" s="112">
        <v>0</v>
      </c>
      <c r="AD29" s="113">
        <v>0</v>
      </c>
      <c r="AE29" s="112">
        <v>2</v>
      </c>
      <c r="AF29" s="113">
        <v>647.1</v>
      </c>
      <c r="AG29" s="112">
        <v>2</v>
      </c>
      <c r="AH29" s="113">
        <v>1250</v>
      </c>
      <c r="AI29" s="112">
        <v>1</v>
      </c>
      <c r="AJ29" s="113">
        <v>57.1</v>
      </c>
      <c r="AK29" s="112">
        <v>2</v>
      </c>
      <c r="AL29" s="113">
        <v>1442.7</v>
      </c>
      <c r="AM29" s="112">
        <v>0</v>
      </c>
      <c r="AN29" s="113">
        <v>0</v>
      </c>
      <c r="AO29" s="112">
        <v>0</v>
      </c>
      <c r="AP29" s="113">
        <v>0</v>
      </c>
      <c r="AQ29" s="112">
        <v>0</v>
      </c>
      <c r="AR29" s="113">
        <v>0</v>
      </c>
      <c r="AS29" s="112">
        <v>0</v>
      </c>
      <c r="AT29" s="113">
        <v>0</v>
      </c>
      <c r="AU29" s="112">
        <v>0</v>
      </c>
      <c r="AV29" s="113">
        <v>0</v>
      </c>
      <c r="AW29" s="112">
        <v>0</v>
      </c>
      <c r="AX29" s="113">
        <v>0</v>
      </c>
      <c r="AY29" s="112">
        <v>0</v>
      </c>
      <c r="AZ29" s="113">
        <v>0</v>
      </c>
      <c r="BA29" s="112">
        <v>0</v>
      </c>
      <c r="BB29" s="113">
        <v>0</v>
      </c>
      <c r="BC29" s="112">
        <v>1</v>
      </c>
      <c r="BD29" s="113">
        <v>250</v>
      </c>
      <c r="BE29" s="112">
        <v>0</v>
      </c>
      <c r="BF29" s="113">
        <v>0</v>
      </c>
      <c r="BG29" s="112">
        <v>0</v>
      </c>
      <c r="BH29" s="113">
        <v>0</v>
      </c>
      <c r="BI29" s="112">
        <v>0</v>
      </c>
      <c r="BJ29" s="113">
        <v>0</v>
      </c>
      <c r="BK29" s="112">
        <v>0</v>
      </c>
      <c r="BL29" s="113">
        <v>0</v>
      </c>
      <c r="BM29" s="114" cm="1">
        <f t="array" ref="BM29">SUMPRODUCT((MOD(COLUMN(C29:BL29)-COLUMN(C29),2)=0)*C29:BL29)</f>
        <v>19</v>
      </c>
      <c r="BN29" s="113" cm="1">
        <f t="array" ref="BN29">SUMPRODUCT((MOD(COLUMN(D29:BM29)-COLUMN(D29),2)=0)*D29:BM29)</f>
        <v>8521.5000000000018</v>
      </c>
      <c r="CA29" s="83"/>
      <c r="CB29" s="83"/>
      <c r="CC29" s="83"/>
      <c r="CD29" s="83"/>
      <c r="CE29" s="83"/>
      <c r="CF29" s="83"/>
      <c r="CG29" s="83"/>
      <c r="CH29" s="83"/>
      <c r="CI29" s="83"/>
      <c r="CJ29" s="83"/>
      <c r="CK29" s="83"/>
      <c r="CL29" s="83"/>
      <c r="CM29" s="83"/>
      <c r="CN29" s="83"/>
      <c r="CO29" s="83"/>
      <c r="CP29" s="83"/>
    </row>
    <row r="30" spans="1:94" x14ac:dyDescent="0.25">
      <c r="A30" s="79" t="s">
        <v>25</v>
      </c>
      <c r="B30" s="98" t="s">
        <v>9</v>
      </c>
      <c r="C30" s="112">
        <v>0</v>
      </c>
      <c r="D30" s="113">
        <v>0</v>
      </c>
      <c r="E30" s="112">
        <v>0</v>
      </c>
      <c r="F30" s="113">
        <v>0</v>
      </c>
      <c r="G30" s="112">
        <v>0</v>
      </c>
      <c r="H30" s="113">
        <v>0</v>
      </c>
      <c r="I30" s="112">
        <v>0</v>
      </c>
      <c r="J30" s="113">
        <v>0</v>
      </c>
      <c r="K30" s="112">
        <v>0</v>
      </c>
      <c r="L30" s="113">
        <v>0</v>
      </c>
      <c r="M30" s="112">
        <v>0</v>
      </c>
      <c r="N30" s="113">
        <v>0</v>
      </c>
      <c r="O30" s="112">
        <v>0</v>
      </c>
      <c r="P30" s="113">
        <v>0</v>
      </c>
      <c r="Q30" s="112">
        <v>0</v>
      </c>
      <c r="R30" s="113">
        <v>0</v>
      </c>
      <c r="S30" s="112">
        <v>1</v>
      </c>
      <c r="T30" s="113">
        <v>500</v>
      </c>
      <c r="U30" s="112">
        <v>1</v>
      </c>
      <c r="V30" s="113">
        <v>500</v>
      </c>
      <c r="W30" s="112">
        <v>0</v>
      </c>
      <c r="X30" s="113">
        <v>0</v>
      </c>
      <c r="Y30" s="112">
        <v>0</v>
      </c>
      <c r="Z30" s="113">
        <v>0</v>
      </c>
      <c r="AA30" s="112">
        <v>0</v>
      </c>
      <c r="AB30" s="113">
        <v>0</v>
      </c>
      <c r="AC30" s="112">
        <v>0</v>
      </c>
      <c r="AD30" s="113">
        <v>0</v>
      </c>
      <c r="AE30" s="112">
        <v>0</v>
      </c>
      <c r="AF30" s="113">
        <v>0</v>
      </c>
      <c r="AG30" s="112">
        <v>0</v>
      </c>
      <c r="AH30" s="113">
        <v>0</v>
      </c>
      <c r="AI30" s="112">
        <v>0</v>
      </c>
      <c r="AJ30" s="113">
        <v>0</v>
      </c>
      <c r="AK30" s="112">
        <v>0</v>
      </c>
      <c r="AL30" s="113">
        <v>0</v>
      </c>
      <c r="AM30" s="112">
        <v>0</v>
      </c>
      <c r="AN30" s="113">
        <v>0</v>
      </c>
      <c r="AO30" s="112">
        <v>0</v>
      </c>
      <c r="AP30" s="113">
        <v>0</v>
      </c>
      <c r="AQ30" s="112">
        <v>0</v>
      </c>
      <c r="AR30" s="113">
        <v>0</v>
      </c>
      <c r="AS30" s="112">
        <v>1</v>
      </c>
      <c r="AT30" s="113">
        <v>400</v>
      </c>
      <c r="AU30" s="112">
        <v>0</v>
      </c>
      <c r="AV30" s="113">
        <v>0</v>
      </c>
      <c r="AW30" s="112">
        <v>0</v>
      </c>
      <c r="AX30" s="113">
        <v>0</v>
      </c>
      <c r="AY30" s="112">
        <v>0</v>
      </c>
      <c r="AZ30" s="113">
        <v>0</v>
      </c>
      <c r="BA30" s="112">
        <v>0</v>
      </c>
      <c r="BB30" s="113">
        <v>0</v>
      </c>
      <c r="BC30" s="112">
        <v>0</v>
      </c>
      <c r="BD30" s="113">
        <v>0</v>
      </c>
      <c r="BE30" s="112">
        <v>0</v>
      </c>
      <c r="BF30" s="113">
        <v>0</v>
      </c>
      <c r="BG30" s="112">
        <v>0</v>
      </c>
      <c r="BH30" s="113">
        <v>0</v>
      </c>
      <c r="BI30" s="112">
        <v>0</v>
      </c>
      <c r="BJ30" s="113">
        <v>0</v>
      </c>
      <c r="BK30" s="112">
        <v>0</v>
      </c>
      <c r="BL30" s="113">
        <v>0</v>
      </c>
      <c r="BM30" s="114" cm="1">
        <f t="array" ref="BM30">SUMPRODUCT((MOD(COLUMN(C30:BL30)-COLUMN(C30),2)=0)*C30:BL30)</f>
        <v>3</v>
      </c>
      <c r="BN30" s="113" cm="1">
        <f t="array" ref="BN30">SUMPRODUCT((MOD(COLUMN(D30:BM30)-COLUMN(D30),2)=0)*D30:BM30)</f>
        <v>1400</v>
      </c>
      <c r="CA30" s="83"/>
      <c r="CB30" s="83"/>
      <c r="CC30" s="83"/>
      <c r="CD30" s="83"/>
      <c r="CE30" s="83"/>
      <c r="CF30" s="83"/>
      <c r="CG30" s="83"/>
      <c r="CH30" s="83"/>
      <c r="CI30" s="83"/>
      <c r="CJ30" s="83"/>
      <c r="CK30" s="83"/>
      <c r="CL30" s="83"/>
      <c r="CM30" s="83"/>
      <c r="CN30" s="83"/>
      <c r="CO30" s="83"/>
      <c r="CP30" s="83"/>
    </row>
    <row r="31" spans="1:94" x14ac:dyDescent="0.25">
      <c r="A31" s="79" t="s">
        <v>23</v>
      </c>
      <c r="B31" s="98" t="s">
        <v>9</v>
      </c>
      <c r="C31" s="112">
        <v>2</v>
      </c>
      <c r="D31" s="113">
        <v>1400</v>
      </c>
      <c r="E31" s="112">
        <v>1</v>
      </c>
      <c r="F31" s="113">
        <v>383.9</v>
      </c>
      <c r="G31" s="112">
        <v>4</v>
      </c>
      <c r="H31" s="113">
        <v>1943.8</v>
      </c>
      <c r="I31" s="112">
        <v>1</v>
      </c>
      <c r="J31" s="113">
        <v>500</v>
      </c>
      <c r="K31" s="112">
        <v>4</v>
      </c>
      <c r="L31" s="113">
        <v>1700</v>
      </c>
      <c r="M31" s="112">
        <v>2</v>
      </c>
      <c r="N31" s="113">
        <v>1224.2</v>
      </c>
      <c r="O31" s="112">
        <v>0</v>
      </c>
      <c r="P31" s="113">
        <v>0</v>
      </c>
      <c r="Q31" s="112">
        <v>1</v>
      </c>
      <c r="R31" s="113">
        <v>857</v>
      </c>
      <c r="S31" s="112">
        <v>2</v>
      </c>
      <c r="T31" s="113">
        <v>608.70000000000005</v>
      </c>
      <c r="U31" s="112">
        <v>1</v>
      </c>
      <c r="V31" s="113">
        <v>820</v>
      </c>
      <c r="W31" s="112">
        <v>1</v>
      </c>
      <c r="X31" s="113">
        <v>624.29999999999995</v>
      </c>
      <c r="Y31" s="112">
        <v>4</v>
      </c>
      <c r="Z31" s="113">
        <v>2370.4</v>
      </c>
      <c r="AA31" s="112">
        <v>1</v>
      </c>
      <c r="AB31" s="113">
        <v>728.8</v>
      </c>
      <c r="AC31" s="112">
        <v>1</v>
      </c>
      <c r="AD31" s="113">
        <v>500</v>
      </c>
      <c r="AE31" s="112">
        <v>2</v>
      </c>
      <c r="AF31" s="113">
        <v>800</v>
      </c>
      <c r="AG31" s="112">
        <v>1</v>
      </c>
      <c r="AH31" s="113">
        <v>400</v>
      </c>
      <c r="AI31" s="112">
        <v>2</v>
      </c>
      <c r="AJ31" s="113">
        <v>1602.9</v>
      </c>
      <c r="AK31" s="112">
        <v>1</v>
      </c>
      <c r="AL31" s="113">
        <v>1313.5</v>
      </c>
      <c r="AM31" s="112">
        <v>3</v>
      </c>
      <c r="AN31" s="113">
        <v>1500</v>
      </c>
      <c r="AO31" s="112">
        <v>1</v>
      </c>
      <c r="AP31" s="113">
        <v>597.1</v>
      </c>
      <c r="AQ31" s="112">
        <v>0</v>
      </c>
      <c r="AR31" s="113">
        <v>0</v>
      </c>
      <c r="AS31" s="112">
        <v>8</v>
      </c>
      <c r="AT31" s="113">
        <v>5269.3</v>
      </c>
      <c r="AU31" s="112">
        <v>1</v>
      </c>
      <c r="AV31" s="113">
        <v>1000</v>
      </c>
      <c r="AW31" s="112">
        <v>3</v>
      </c>
      <c r="AX31" s="113">
        <v>1140.9000000000001</v>
      </c>
      <c r="AY31" s="112">
        <v>3</v>
      </c>
      <c r="AZ31" s="113">
        <v>1963</v>
      </c>
      <c r="BA31" s="112">
        <v>3</v>
      </c>
      <c r="BB31" s="113">
        <v>1500</v>
      </c>
      <c r="BC31" s="112">
        <v>4</v>
      </c>
      <c r="BD31" s="113">
        <v>2362.8000000000002</v>
      </c>
      <c r="BE31" s="112">
        <v>1</v>
      </c>
      <c r="BF31" s="113">
        <v>500</v>
      </c>
      <c r="BG31" s="112">
        <v>3</v>
      </c>
      <c r="BH31" s="113">
        <v>2141.1999999999998</v>
      </c>
      <c r="BI31" s="112">
        <v>3</v>
      </c>
      <c r="BJ31" s="113">
        <v>1700</v>
      </c>
      <c r="BK31" s="112">
        <v>3</v>
      </c>
      <c r="BL31" s="113">
        <v>1700.6</v>
      </c>
      <c r="BM31" s="114" cm="1">
        <f t="array" ref="BM31">SUMPRODUCT((MOD(COLUMN(C31:BL31)-COLUMN(C31),2)=0)*C31:BL31)</f>
        <v>67</v>
      </c>
      <c r="BN31" s="113" cm="1">
        <f t="array" ref="BN31">SUMPRODUCT((MOD(COLUMN(D31:BM31)-COLUMN(D31),2)=0)*D31:BM31)</f>
        <v>39152.399999999994</v>
      </c>
      <c r="CA31" s="83"/>
      <c r="CB31" s="83"/>
      <c r="CC31" s="83"/>
      <c r="CD31" s="83"/>
      <c r="CE31" s="83"/>
      <c r="CF31" s="83"/>
      <c r="CG31" s="83"/>
      <c r="CH31" s="83"/>
      <c r="CI31" s="83"/>
      <c r="CJ31" s="83"/>
      <c r="CK31" s="83"/>
      <c r="CL31" s="83"/>
      <c r="CM31" s="83"/>
      <c r="CN31" s="83"/>
      <c r="CO31" s="83"/>
      <c r="CP31" s="83"/>
    </row>
    <row r="32" spans="1:94" x14ac:dyDescent="0.25">
      <c r="A32" s="100" t="s">
        <v>26</v>
      </c>
      <c r="B32" s="101"/>
      <c r="C32" s="115">
        <f t="shared" ref="C32:BL32" si="3">SUM(C29:C31)</f>
        <v>2</v>
      </c>
      <c r="D32" s="116">
        <f t="shared" si="3"/>
        <v>1400</v>
      </c>
      <c r="E32" s="115">
        <f t="shared" si="3"/>
        <v>2</v>
      </c>
      <c r="F32" s="116">
        <f t="shared" si="3"/>
        <v>450.9</v>
      </c>
      <c r="G32" s="115">
        <f t="shared" si="3"/>
        <v>4</v>
      </c>
      <c r="H32" s="116">
        <f t="shared" si="3"/>
        <v>1943.8</v>
      </c>
      <c r="I32" s="115">
        <f t="shared" si="3"/>
        <v>1</v>
      </c>
      <c r="J32" s="116">
        <f t="shared" si="3"/>
        <v>500</v>
      </c>
      <c r="K32" s="115">
        <f t="shared" si="3"/>
        <v>5</v>
      </c>
      <c r="L32" s="116">
        <f t="shared" si="3"/>
        <v>1758.7</v>
      </c>
      <c r="M32" s="115">
        <f t="shared" si="3"/>
        <v>6</v>
      </c>
      <c r="N32" s="116">
        <f t="shared" si="3"/>
        <v>2822.8</v>
      </c>
      <c r="O32" s="115">
        <f t="shared" si="3"/>
        <v>0</v>
      </c>
      <c r="P32" s="116">
        <f t="shared" si="3"/>
        <v>0</v>
      </c>
      <c r="Q32" s="115">
        <f t="shared" si="3"/>
        <v>3</v>
      </c>
      <c r="R32" s="116">
        <f t="shared" si="3"/>
        <v>2436.1999999999998</v>
      </c>
      <c r="S32" s="115">
        <f t="shared" si="3"/>
        <v>3</v>
      </c>
      <c r="T32" s="116">
        <f t="shared" si="3"/>
        <v>1108.7</v>
      </c>
      <c r="U32" s="115">
        <f t="shared" si="3"/>
        <v>2</v>
      </c>
      <c r="V32" s="116">
        <f t="shared" si="3"/>
        <v>1320</v>
      </c>
      <c r="W32" s="115">
        <f t="shared" si="3"/>
        <v>2</v>
      </c>
      <c r="X32" s="116">
        <f t="shared" si="3"/>
        <v>1624.3</v>
      </c>
      <c r="Y32" s="115">
        <f t="shared" si="3"/>
        <v>4</v>
      </c>
      <c r="Z32" s="116">
        <f t="shared" si="3"/>
        <v>2370.4</v>
      </c>
      <c r="AA32" s="115">
        <f t="shared" si="3"/>
        <v>3</v>
      </c>
      <c r="AB32" s="116">
        <f t="shared" si="3"/>
        <v>1299.9000000000001</v>
      </c>
      <c r="AC32" s="115">
        <f t="shared" si="3"/>
        <v>1</v>
      </c>
      <c r="AD32" s="116">
        <f t="shared" si="3"/>
        <v>500</v>
      </c>
      <c r="AE32" s="115">
        <f t="shared" si="3"/>
        <v>4</v>
      </c>
      <c r="AF32" s="116">
        <f t="shared" si="3"/>
        <v>1447.1</v>
      </c>
      <c r="AG32" s="115">
        <f t="shared" si="3"/>
        <v>3</v>
      </c>
      <c r="AH32" s="116">
        <f t="shared" si="3"/>
        <v>1650</v>
      </c>
      <c r="AI32" s="115">
        <f t="shared" si="3"/>
        <v>3</v>
      </c>
      <c r="AJ32" s="116">
        <f t="shared" si="3"/>
        <v>1660</v>
      </c>
      <c r="AK32" s="115">
        <f t="shared" si="3"/>
        <v>3</v>
      </c>
      <c r="AL32" s="116">
        <f t="shared" si="3"/>
        <v>2756.2</v>
      </c>
      <c r="AM32" s="115">
        <f t="shared" si="3"/>
        <v>3</v>
      </c>
      <c r="AN32" s="116">
        <f t="shared" si="3"/>
        <v>1500</v>
      </c>
      <c r="AO32" s="115">
        <f t="shared" si="3"/>
        <v>1</v>
      </c>
      <c r="AP32" s="116">
        <f t="shared" si="3"/>
        <v>597.1</v>
      </c>
      <c r="AQ32" s="115">
        <f t="shared" si="3"/>
        <v>0</v>
      </c>
      <c r="AR32" s="116">
        <f t="shared" si="3"/>
        <v>0</v>
      </c>
      <c r="AS32" s="115">
        <f t="shared" si="3"/>
        <v>9</v>
      </c>
      <c r="AT32" s="116">
        <f t="shared" si="3"/>
        <v>5669.3</v>
      </c>
      <c r="AU32" s="115">
        <f t="shared" si="3"/>
        <v>1</v>
      </c>
      <c r="AV32" s="116">
        <f t="shared" si="3"/>
        <v>1000</v>
      </c>
      <c r="AW32" s="115">
        <f t="shared" si="3"/>
        <v>3</v>
      </c>
      <c r="AX32" s="116">
        <f t="shared" si="3"/>
        <v>1140.9000000000001</v>
      </c>
      <c r="AY32" s="115">
        <f t="shared" si="3"/>
        <v>3</v>
      </c>
      <c r="AZ32" s="116">
        <f t="shared" si="3"/>
        <v>1963</v>
      </c>
      <c r="BA32" s="115">
        <f t="shared" si="3"/>
        <v>3</v>
      </c>
      <c r="BB32" s="116">
        <f t="shared" si="3"/>
        <v>1500</v>
      </c>
      <c r="BC32" s="115">
        <f t="shared" si="3"/>
        <v>5</v>
      </c>
      <c r="BD32" s="116">
        <f t="shared" si="3"/>
        <v>2612.8000000000002</v>
      </c>
      <c r="BE32" s="115">
        <f t="shared" si="3"/>
        <v>1</v>
      </c>
      <c r="BF32" s="116">
        <f t="shared" si="3"/>
        <v>500</v>
      </c>
      <c r="BG32" s="115">
        <f t="shared" si="3"/>
        <v>3</v>
      </c>
      <c r="BH32" s="116">
        <f t="shared" si="3"/>
        <v>2141.1999999999998</v>
      </c>
      <c r="BI32" s="115">
        <f t="shared" si="3"/>
        <v>3</v>
      </c>
      <c r="BJ32" s="116">
        <f t="shared" si="3"/>
        <v>1700</v>
      </c>
      <c r="BK32" s="115">
        <f t="shared" si="3"/>
        <v>3</v>
      </c>
      <c r="BL32" s="116">
        <f t="shared" si="3"/>
        <v>1700.6</v>
      </c>
      <c r="BM32" s="117">
        <f t="shared" ref="BM32:BN32" si="4">SUM(BM29:BM31)</f>
        <v>89</v>
      </c>
      <c r="BN32" s="116">
        <f t="shared" si="4"/>
        <v>49073.899999999994</v>
      </c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</row>
    <row r="33" spans="1:94" x14ac:dyDescent="0.25">
      <c r="A33" s="103"/>
      <c r="C33" s="124"/>
      <c r="D33" s="125"/>
      <c r="E33" s="124"/>
      <c r="F33" s="125"/>
      <c r="G33" s="124"/>
      <c r="H33" s="125"/>
      <c r="I33" s="124"/>
      <c r="J33" s="125"/>
      <c r="K33" s="124"/>
      <c r="L33" s="125"/>
      <c r="M33" s="124"/>
      <c r="N33" s="125"/>
      <c r="O33" s="124"/>
      <c r="P33" s="125"/>
      <c r="Q33" s="124"/>
      <c r="R33" s="125"/>
      <c r="S33" s="124"/>
      <c r="T33" s="125"/>
      <c r="U33" s="124"/>
      <c r="V33" s="125"/>
      <c r="W33" s="124"/>
      <c r="X33" s="125"/>
      <c r="Y33" s="124"/>
      <c r="Z33" s="125"/>
      <c r="AA33" s="124"/>
      <c r="AB33" s="125"/>
      <c r="AC33" s="124"/>
      <c r="AD33" s="125"/>
      <c r="AE33" s="124"/>
      <c r="AF33" s="125"/>
      <c r="AG33" s="124"/>
      <c r="AH33" s="125"/>
      <c r="AI33" s="124"/>
      <c r="AJ33" s="125"/>
      <c r="AK33" s="124"/>
      <c r="AL33" s="125"/>
      <c r="AM33" s="124"/>
      <c r="AN33" s="125"/>
      <c r="AO33" s="124"/>
      <c r="AP33" s="125"/>
      <c r="AQ33" s="124"/>
      <c r="AR33" s="125"/>
      <c r="AS33" s="124"/>
      <c r="AT33" s="125"/>
      <c r="AU33" s="124"/>
      <c r="AV33" s="125"/>
      <c r="AW33" s="124"/>
      <c r="AX33" s="125"/>
      <c r="AY33" s="124"/>
      <c r="AZ33" s="125"/>
      <c r="BA33" s="124"/>
      <c r="BB33" s="125"/>
      <c r="BC33" s="124"/>
      <c r="BD33" s="125"/>
      <c r="BE33" s="124"/>
      <c r="BF33" s="125"/>
      <c r="BG33" s="124"/>
      <c r="BH33" s="125"/>
      <c r="BI33" s="124"/>
      <c r="BJ33" s="125"/>
      <c r="BK33" s="124"/>
      <c r="BL33" s="125"/>
      <c r="BM33" s="126"/>
      <c r="BN33" s="125"/>
      <c r="CA33" s="83"/>
      <c r="CB33" s="83"/>
      <c r="CC33" s="83"/>
      <c r="CD33" s="83"/>
      <c r="CE33" s="83"/>
      <c r="CF33" s="83"/>
      <c r="CG33" s="83"/>
      <c r="CH33" s="83"/>
      <c r="CI33" s="83"/>
      <c r="CJ33" s="83"/>
      <c r="CK33" s="83"/>
      <c r="CL33" s="83"/>
      <c r="CM33" s="83"/>
      <c r="CN33" s="83"/>
      <c r="CO33" s="83"/>
      <c r="CP33" s="83"/>
    </row>
    <row r="34" spans="1:94" x14ac:dyDescent="0.25">
      <c r="A34" s="92" t="s">
        <v>27</v>
      </c>
      <c r="B34" s="93"/>
      <c r="C34" s="121"/>
      <c r="D34" s="122"/>
      <c r="E34" s="121"/>
      <c r="F34" s="122"/>
      <c r="G34" s="121"/>
      <c r="H34" s="122"/>
      <c r="I34" s="121"/>
      <c r="J34" s="122"/>
      <c r="K34" s="121"/>
      <c r="L34" s="122"/>
      <c r="M34" s="121"/>
      <c r="N34" s="122"/>
      <c r="O34" s="121"/>
      <c r="P34" s="122"/>
      <c r="Q34" s="121"/>
      <c r="R34" s="122"/>
      <c r="S34" s="121"/>
      <c r="T34" s="122"/>
      <c r="U34" s="121"/>
      <c r="V34" s="122"/>
      <c r="W34" s="121"/>
      <c r="X34" s="122"/>
      <c r="Y34" s="121"/>
      <c r="Z34" s="122"/>
      <c r="AA34" s="121"/>
      <c r="AB34" s="122"/>
      <c r="AC34" s="121"/>
      <c r="AD34" s="122"/>
      <c r="AE34" s="121"/>
      <c r="AF34" s="122"/>
      <c r="AG34" s="121"/>
      <c r="AH34" s="122"/>
      <c r="AI34" s="121"/>
      <c r="AJ34" s="122"/>
      <c r="AK34" s="121"/>
      <c r="AL34" s="122"/>
      <c r="AM34" s="121"/>
      <c r="AN34" s="122"/>
      <c r="AO34" s="121"/>
      <c r="AP34" s="122"/>
      <c r="AQ34" s="121"/>
      <c r="AR34" s="122"/>
      <c r="AS34" s="121"/>
      <c r="AT34" s="122"/>
      <c r="AU34" s="121"/>
      <c r="AV34" s="122"/>
      <c r="AW34" s="121"/>
      <c r="AX34" s="122"/>
      <c r="AY34" s="121"/>
      <c r="AZ34" s="122"/>
      <c r="BA34" s="121"/>
      <c r="BB34" s="122"/>
      <c r="BC34" s="121"/>
      <c r="BD34" s="122"/>
      <c r="BE34" s="121"/>
      <c r="BF34" s="122"/>
      <c r="BG34" s="121"/>
      <c r="BH34" s="122"/>
      <c r="BI34" s="121"/>
      <c r="BJ34" s="122"/>
      <c r="BK34" s="121"/>
      <c r="BL34" s="122"/>
      <c r="BM34" s="123"/>
      <c r="BN34" s="122"/>
      <c r="CA34" s="83"/>
      <c r="CB34" s="83"/>
      <c r="CC34" s="83"/>
      <c r="CD34" s="83"/>
      <c r="CE34" s="83"/>
      <c r="CF34" s="83"/>
      <c r="CG34" s="83"/>
      <c r="CH34" s="83"/>
      <c r="CI34" s="83"/>
      <c r="CJ34" s="83"/>
      <c r="CK34" s="83"/>
      <c r="CL34" s="83"/>
      <c r="CM34" s="83"/>
      <c r="CN34" s="83"/>
      <c r="CO34" s="83"/>
      <c r="CP34" s="83"/>
    </row>
    <row r="35" spans="1:94" x14ac:dyDescent="0.25">
      <c r="A35" s="79" t="s">
        <v>28</v>
      </c>
      <c r="B35" s="98" t="s">
        <v>29</v>
      </c>
      <c r="C35" s="112">
        <v>25</v>
      </c>
      <c r="D35" s="113">
        <v>4401.6000000000004</v>
      </c>
      <c r="E35" s="112">
        <v>24</v>
      </c>
      <c r="F35" s="113">
        <v>4283.2</v>
      </c>
      <c r="G35" s="112">
        <v>43</v>
      </c>
      <c r="H35" s="113">
        <v>7945.5</v>
      </c>
      <c r="I35" s="112">
        <v>37</v>
      </c>
      <c r="J35" s="113">
        <v>6860.8</v>
      </c>
      <c r="K35" s="112">
        <v>35</v>
      </c>
      <c r="L35" s="113">
        <v>4227.6000000000004</v>
      </c>
      <c r="M35" s="112">
        <v>30</v>
      </c>
      <c r="N35" s="113">
        <v>5154.6000000000004</v>
      </c>
      <c r="O35" s="112">
        <v>43</v>
      </c>
      <c r="P35" s="113">
        <v>6143.2</v>
      </c>
      <c r="Q35" s="112">
        <v>41</v>
      </c>
      <c r="R35" s="113">
        <v>5036.3</v>
      </c>
      <c r="S35" s="112">
        <v>35</v>
      </c>
      <c r="T35" s="113">
        <v>4540.2</v>
      </c>
      <c r="U35" s="112">
        <v>36</v>
      </c>
      <c r="V35" s="113">
        <v>6985.9</v>
      </c>
      <c r="W35" s="112">
        <v>30</v>
      </c>
      <c r="X35" s="113">
        <v>5250.5</v>
      </c>
      <c r="Y35" s="112">
        <v>37</v>
      </c>
      <c r="Z35" s="113">
        <v>6435.6</v>
      </c>
      <c r="AA35" s="112">
        <v>22</v>
      </c>
      <c r="AB35" s="113">
        <v>2701.6</v>
      </c>
      <c r="AC35" s="112">
        <v>29</v>
      </c>
      <c r="AD35" s="113">
        <v>3652.1</v>
      </c>
      <c r="AE35" s="112">
        <v>38</v>
      </c>
      <c r="AF35" s="113">
        <v>5037.1000000000004</v>
      </c>
      <c r="AG35" s="112">
        <v>32</v>
      </c>
      <c r="AH35" s="113">
        <v>4111.2</v>
      </c>
      <c r="AI35" s="112">
        <v>42</v>
      </c>
      <c r="AJ35" s="113">
        <v>8368</v>
      </c>
      <c r="AK35" s="112">
        <v>28</v>
      </c>
      <c r="AL35" s="113">
        <v>3784.8</v>
      </c>
      <c r="AM35" s="112">
        <v>34</v>
      </c>
      <c r="AN35" s="113">
        <v>4793.5</v>
      </c>
      <c r="AO35" s="112">
        <v>6</v>
      </c>
      <c r="AP35" s="113">
        <v>766.7</v>
      </c>
      <c r="AQ35" s="112">
        <v>32</v>
      </c>
      <c r="AR35" s="113">
        <v>4749.2</v>
      </c>
      <c r="AS35" s="112">
        <v>33</v>
      </c>
      <c r="AT35" s="113">
        <v>6947.6</v>
      </c>
      <c r="AU35" s="112">
        <v>32</v>
      </c>
      <c r="AV35" s="113">
        <v>4101</v>
      </c>
      <c r="AW35" s="112">
        <v>43</v>
      </c>
      <c r="AX35" s="113">
        <v>5670.1</v>
      </c>
      <c r="AY35" s="112">
        <v>30</v>
      </c>
      <c r="AZ35" s="113">
        <v>3970.2</v>
      </c>
      <c r="BA35" s="112">
        <v>25</v>
      </c>
      <c r="BB35" s="113">
        <v>3744.4</v>
      </c>
      <c r="BC35" s="112">
        <v>21</v>
      </c>
      <c r="BD35" s="113">
        <v>2979.4</v>
      </c>
      <c r="BE35" s="112">
        <v>29</v>
      </c>
      <c r="BF35" s="113">
        <v>4337.7</v>
      </c>
      <c r="BG35" s="112">
        <v>35</v>
      </c>
      <c r="BH35" s="113">
        <v>4267.2</v>
      </c>
      <c r="BI35" s="112">
        <v>37</v>
      </c>
      <c r="BJ35" s="113">
        <v>6091.5</v>
      </c>
      <c r="BK35" s="112">
        <v>32</v>
      </c>
      <c r="BL35" s="113">
        <v>4601.3999999999996</v>
      </c>
      <c r="BM35" s="114" cm="1">
        <f t="array" ref="BM35">SUMPRODUCT((MOD(COLUMN(C35:BL35)-COLUMN(C35),2)=0)*C35:BL35)</f>
        <v>996</v>
      </c>
      <c r="BN35" s="113" cm="1">
        <f t="array" ref="BN35">SUMPRODUCT((MOD(COLUMN(D35:BM35)-COLUMN(D35),2)=0)*D35:BM35)</f>
        <v>151939.70000000004</v>
      </c>
      <c r="CA35" s="83"/>
      <c r="CB35" s="83"/>
      <c r="CC35" s="83"/>
      <c r="CD35" s="83"/>
      <c r="CE35" s="83"/>
      <c r="CF35" s="83"/>
      <c r="CG35" s="83"/>
      <c r="CH35" s="83"/>
      <c r="CI35" s="83"/>
      <c r="CJ35" s="83"/>
      <c r="CK35" s="83"/>
      <c r="CL35" s="83"/>
      <c r="CM35" s="83"/>
      <c r="CN35" s="83"/>
      <c r="CO35" s="83"/>
      <c r="CP35" s="83"/>
    </row>
    <row r="36" spans="1:94" x14ac:dyDescent="0.25">
      <c r="A36" s="79" t="s">
        <v>30</v>
      </c>
      <c r="B36" s="98" t="s">
        <v>29</v>
      </c>
      <c r="C36" s="112">
        <v>28</v>
      </c>
      <c r="D36" s="113">
        <v>4888.7</v>
      </c>
      <c r="E36" s="112">
        <v>25</v>
      </c>
      <c r="F36" s="113">
        <v>5227.7</v>
      </c>
      <c r="G36" s="112">
        <v>34</v>
      </c>
      <c r="H36" s="113">
        <v>5841.5</v>
      </c>
      <c r="I36" s="112">
        <v>21</v>
      </c>
      <c r="J36" s="113">
        <v>3406.3</v>
      </c>
      <c r="K36" s="112">
        <v>32</v>
      </c>
      <c r="L36" s="113">
        <v>10672.8</v>
      </c>
      <c r="M36" s="112">
        <v>36</v>
      </c>
      <c r="N36" s="113">
        <v>12340.8</v>
      </c>
      <c r="O36" s="112">
        <v>22</v>
      </c>
      <c r="P36" s="113">
        <v>3702.8</v>
      </c>
      <c r="Q36" s="112">
        <v>30</v>
      </c>
      <c r="R36" s="113">
        <v>4113.6000000000004</v>
      </c>
      <c r="S36" s="112">
        <v>18</v>
      </c>
      <c r="T36" s="113">
        <v>2144.1999999999998</v>
      </c>
      <c r="U36" s="112">
        <v>20</v>
      </c>
      <c r="V36" s="113">
        <v>2342.1999999999998</v>
      </c>
      <c r="W36" s="112">
        <v>21</v>
      </c>
      <c r="X36" s="113">
        <v>3124.3</v>
      </c>
      <c r="Y36" s="112">
        <v>41</v>
      </c>
      <c r="Z36" s="113">
        <v>17155.400000000001</v>
      </c>
      <c r="AA36" s="112">
        <v>40</v>
      </c>
      <c r="AB36" s="113">
        <v>12685.2</v>
      </c>
      <c r="AC36" s="112">
        <v>31</v>
      </c>
      <c r="AD36" s="113">
        <v>3743.1</v>
      </c>
      <c r="AE36" s="112">
        <v>26</v>
      </c>
      <c r="AF36" s="113">
        <v>2956.1</v>
      </c>
      <c r="AG36" s="112">
        <v>22</v>
      </c>
      <c r="AH36" s="113">
        <v>2829.5</v>
      </c>
      <c r="AI36" s="112">
        <v>32</v>
      </c>
      <c r="AJ36" s="113">
        <v>4563</v>
      </c>
      <c r="AK36" s="112">
        <v>30</v>
      </c>
      <c r="AL36" s="113">
        <v>3675.1</v>
      </c>
      <c r="AM36" s="112">
        <v>26</v>
      </c>
      <c r="AN36" s="113">
        <v>7902.2</v>
      </c>
      <c r="AO36" s="112">
        <v>8</v>
      </c>
      <c r="AP36" s="113">
        <v>1918.2</v>
      </c>
      <c r="AQ36" s="112">
        <v>31</v>
      </c>
      <c r="AR36" s="113">
        <v>5408</v>
      </c>
      <c r="AS36" s="112">
        <v>29</v>
      </c>
      <c r="AT36" s="113">
        <v>3332.5</v>
      </c>
      <c r="AU36" s="112">
        <v>23</v>
      </c>
      <c r="AV36" s="113">
        <v>2810.5</v>
      </c>
      <c r="AW36" s="112">
        <v>31</v>
      </c>
      <c r="AX36" s="113">
        <v>4698.6000000000004</v>
      </c>
      <c r="AY36" s="112">
        <v>23</v>
      </c>
      <c r="AZ36" s="113">
        <v>2731.7</v>
      </c>
      <c r="BA36" s="112">
        <v>44</v>
      </c>
      <c r="BB36" s="113">
        <v>12308.4</v>
      </c>
      <c r="BC36" s="112">
        <v>38</v>
      </c>
      <c r="BD36" s="113">
        <v>12561.8</v>
      </c>
      <c r="BE36" s="112">
        <v>28</v>
      </c>
      <c r="BF36" s="113">
        <v>4260.3999999999996</v>
      </c>
      <c r="BG36" s="112">
        <v>28</v>
      </c>
      <c r="BH36" s="113">
        <v>3699.8</v>
      </c>
      <c r="BI36" s="112">
        <v>28</v>
      </c>
      <c r="BJ36" s="113">
        <v>3162.6</v>
      </c>
      <c r="BK36" s="112">
        <v>29</v>
      </c>
      <c r="BL36" s="113">
        <v>3540.2</v>
      </c>
      <c r="BM36" s="114" cm="1">
        <f t="array" ref="BM36">SUMPRODUCT((MOD(COLUMN(C36:BL36)-COLUMN(C36),2)=0)*C36:BL36)</f>
        <v>875</v>
      </c>
      <c r="BN36" s="113" cm="1">
        <f t="array" ref="BN36">SUMPRODUCT((MOD(COLUMN(D36:BM36)-COLUMN(D36),2)=0)*D36:BM36)</f>
        <v>173747.20000000001</v>
      </c>
      <c r="CA36" s="83"/>
      <c r="CB36" s="83"/>
      <c r="CC36" s="83"/>
      <c r="CD36" s="83"/>
      <c r="CE36" s="83"/>
      <c r="CF36" s="83"/>
      <c r="CG36" s="83"/>
      <c r="CH36" s="83"/>
      <c r="CI36" s="83"/>
      <c r="CJ36" s="83"/>
      <c r="CK36" s="83"/>
      <c r="CL36" s="83"/>
      <c r="CM36" s="83"/>
      <c r="CN36" s="83"/>
      <c r="CO36" s="83"/>
      <c r="CP36" s="83"/>
    </row>
    <row r="37" spans="1:94" x14ac:dyDescent="0.25">
      <c r="A37" s="79" t="s">
        <v>31</v>
      </c>
      <c r="B37" s="98" t="s">
        <v>29</v>
      </c>
      <c r="C37" s="112">
        <v>1</v>
      </c>
      <c r="D37" s="113">
        <v>243.6</v>
      </c>
      <c r="E37" s="112">
        <v>3</v>
      </c>
      <c r="F37" s="113">
        <v>517.79999999999995</v>
      </c>
      <c r="G37" s="112">
        <v>0</v>
      </c>
      <c r="H37" s="113">
        <v>0</v>
      </c>
      <c r="I37" s="112">
        <v>2</v>
      </c>
      <c r="J37" s="113">
        <v>928.4</v>
      </c>
      <c r="K37" s="112">
        <v>3</v>
      </c>
      <c r="L37" s="113">
        <v>739.4</v>
      </c>
      <c r="M37" s="112">
        <v>4</v>
      </c>
      <c r="N37" s="113">
        <v>816.5</v>
      </c>
      <c r="O37" s="112">
        <v>1</v>
      </c>
      <c r="P37" s="113">
        <v>124</v>
      </c>
      <c r="Q37" s="112">
        <v>0</v>
      </c>
      <c r="R37" s="113">
        <v>0</v>
      </c>
      <c r="S37" s="112">
        <v>2</v>
      </c>
      <c r="T37" s="113">
        <v>819.8</v>
      </c>
      <c r="U37" s="112">
        <v>3</v>
      </c>
      <c r="V37" s="113">
        <v>1679.1</v>
      </c>
      <c r="W37" s="112">
        <v>1</v>
      </c>
      <c r="X37" s="113">
        <v>128.30000000000001</v>
      </c>
      <c r="Y37" s="112">
        <v>1</v>
      </c>
      <c r="Z37" s="113">
        <v>142.5</v>
      </c>
      <c r="AA37" s="112">
        <v>1</v>
      </c>
      <c r="AB37" s="113">
        <v>500</v>
      </c>
      <c r="AC37" s="112">
        <v>0</v>
      </c>
      <c r="AD37" s="113">
        <v>0</v>
      </c>
      <c r="AE37" s="112">
        <v>3</v>
      </c>
      <c r="AF37" s="113">
        <v>2468.4</v>
      </c>
      <c r="AG37" s="112">
        <v>0</v>
      </c>
      <c r="AH37" s="113">
        <v>0</v>
      </c>
      <c r="AI37" s="112">
        <v>1</v>
      </c>
      <c r="AJ37" s="113">
        <v>63.3</v>
      </c>
      <c r="AK37" s="112">
        <v>3</v>
      </c>
      <c r="AL37" s="113">
        <v>335</v>
      </c>
      <c r="AM37" s="112">
        <v>2</v>
      </c>
      <c r="AN37" s="113">
        <v>205</v>
      </c>
      <c r="AO37" s="112">
        <v>1</v>
      </c>
      <c r="AP37" s="113">
        <v>177.1</v>
      </c>
      <c r="AQ37" s="112">
        <v>1</v>
      </c>
      <c r="AR37" s="113">
        <v>64.2</v>
      </c>
      <c r="AS37" s="112">
        <v>6</v>
      </c>
      <c r="AT37" s="113">
        <v>918.7</v>
      </c>
      <c r="AU37" s="112">
        <v>0</v>
      </c>
      <c r="AV37" s="113">
        <v>0</v>
      </c>
      <c r="AW37" s="112">
        <v>2</v>
      </c>
      <c r="AX37" s="113">
        <v>334.7</v>
      </c>
      <c r="AY37" s="112">
        <v>2</v>
      </c>
      <c r="AZ37" s="113">
        <v>1571</v>
      </c>
      <c r="BA37" s="112">
        <v>3</v>
      </c>
      <c r="BB37" s="113">
        <v>721.9</v>
      </c>
      <c r="BC37" s="112">
        <v>1</v>
      </c>
      <c r="BD37" s="113">
        <v>716.2</v>
      </c>
      <c r="BE37" s="112">
        <v>2</v>
      </c>
      <c r="BF37" s="113">
        <v>570.6</v>
      </c>
      <c r="BG37" s="112">
        <v>1</v>
      </c>
      <c r="BH37" s="113">
        <v>1098.5999999999999</v>
      </c>
      <c r="BI37" s="112">
        <v>2</v>
      </c>
      <c r="BJ37" s="113">
        <v>210.4</v>
      </c>
      <c r="BK37" s="112">
        <v>2</v>
      </c>
      <c r="BL37" s="113">
        <v>243.2</v>
      </c>
      <c r="BM37" s="114" cm="1">
        <f t="array" ref="BM37">SUMPRODUCT((MOD(COLUMN(C37:BL37)-COLUMN(C37),2)=0)*C37:BL37)</f>
        <v>54</v>
      </c>
      <c r="BN37" s="113" cm="1">
        <f t="array" ref="BN37">SUMPRODUCT((MOD(COLUMN(D37:BM37)-COLUMN(D37),2)=0)*D37:BM37)</f>
        <v>16337.700000000004</v>
      </c>
      <c r="CA37" s="83"/>
      <c r="CB37" s="83"/>
      <c r="CC37" s="83"/>
      <c r="CD37" s="83"/>
      <c r="CE37" s="83"/>
      <c r="CF37" s="83"/>
      <c r="CG37" s="83"/>
      <c r="CH37" s="83"/>
      <c r="CI37" s="83"/>
      <c r="CJ37" s="83"/>
      <c r="CK37" s="83"/>
      <c r="CL37" s="83"/>
      <c r="CM37" s="83"/>
      <c r="CN37" s="83"/>
      <c r="CO37" s="83"/>
      <c r="CP37" s="83"/>
    </row>
    <row r="38" spans="1:94" x14ac:dyDescent="0.25">
      <c r="A38" s="79" t="s">
        <v>32</v>
      </c>
      <c r="B38" s="98" t="s">
        <v>29</v>
      </c>
      <c r="C38" s="112">
        <v>0</v>
      </c>
      <c r="D38" s="113">
        <v>0</v>
      </c>
      <c r="E38" s="112">
        <v>0</v>
      </c>
      <c r="F38" s="113">
        <v>0</v>
      </c>
      <c r="G38" s="112">
        <v>0</v>
      </c>
      <c r="H38" s="113">
        <v>0</v>
      </c>
      <c r="I38" s="112">
        <v>0</v>
      </c>
      <c r="J38" s="113">
        <v>0</v>
      </c>
      <c r="K38" s="112">
        <v>0</v>
      </c>
      <c r="L38" s="113">
        <v>0</v>
      </c>
      <c r="M38" s="112">
        <v>0</v>
      </c>
      <c r="N38" s="113">
        <v>0</v>
      </c>
      <c r="O38" s="112">
        <v>0</v>
      </c>
      <c r="P38" s="113">
        <v>0</v>
      </c>
      <c r="Q38" s="112">
        <v>0</v>
      </c>
      <c r="R38" s="113">
        <v>0</v>
      </c>
      <c r="S38" s="112">
        <v>0</v>
      </c>
      <c r="T38" s="113">
        <v>0</v>
      </c>
      <c r="U38" s="112">
        <v>0</v>
      </c>
      <c r="V38" s="113">
        <v>0</v>
      </c>
      <c r="W38" s="112">
        <v>0</v>
      </c>
      <c r="X38" s="113">
        <v>0</v>
      </c>
      <c r="Y38" s="112">
        <v>0</v>
      </c>
      <c r="Z38" s="113">
        <v>0</v>
      </c>
      <c r="AA38" s="112">
        <v>0</v>
      </c>
      <c r="AB38" s="113">
        <v>0</v>
      </c>
      <c r="AC38" s="112">
        <v>0</v>
      </c>
      <c r="AD38" s="113">
        <v>0</v>
      </c>
      <c r="AE38" s="112">
        <v>0</v>
      </c>
      <c r="AF38" s="113">
        <v>0</v>
      </c>
      <c r="AG38" s="112">
        <v>0</v>
      </c>
      <c r="AH38" s="113">
        <v>0</v>
      </c>
      <c r="AI38" s="112">
        <v>0</v>
      </c>
      <c r="AJ38" s="113">
        <v>0</v>
      </c>
      <c r="AK38" s="112">
        <v>0</v>
      </c>
      <c r="AL38" s="113">
        <v>0</v>
      </c>
      <c r="AM38" s="112">
        <v>0</v>
      </c>
      <c r="AN38" s="113">
        <v>0</v>
      </c>
      <c r="AO38" s="112">
        <v>0</v>
      </c>
      <c r="AP38" s="113">
        <v>0</v>
      </c>
      <c r="AQ38" s="112">
        <v>0</v>
      </c>
      <c r="AR38" s="113">
        <v>0</v>
      </c>
      <c r="AS38" s="112">
        <v>0</v>
      </c>
      <c r="AT38" s="113">
        <v>0</v>
      </c>
      <c r="AU38" s="112">
        <v>0</v>
      </c>
      <c r="AV38" s="113">
        <v>0</v>
      </c>
      <c r="AW38" s="112">
        <v>0</v>
      </c>
      <c r="AX38" s="113">
        <v>0</v>
      </c>
      <c r="AY38" s="112">
        <v>0</v>
      </c>
      <c r="AZ38" s="113">
        <v>0</v>
      </c>
      <c r="BA38" s="112">
        <v>0</v>
      </c>
      <c r="BB38" s="113">
        <v>0</v>
      </c>
      <c r="BC38" s="112">
        <v>0</v>
      </c>
      <c r="BD38" s="113">
        <v>0</v>
      </c>
      <c r="BE38" s="112">
        <v>0</v>
      </c>
      <c r="BF38" s="113">
        <v>0</v>
      </c>
      <c r="BG38" s="112">
        <v>0</v>
      </c>
      <c r="BH38" s="113">
        <v>0</v>
      </c>
      <c r="BI38" s="112">
        <v>0</v>
      </c>
      <c r="BJ38" s="113">
        <v>0</v>
      </c>
      <c r="BK38" s="112">
        <v>0</v>
      </c>
      <c r="BL38" s="113">
        <v>0</v>
      </c>
      <c r="BM38" s="114" cm="1">
        <f t="array" ref="BM38">SUMPRODUCT((MOD(COLUMN(C38:BL38)-COLUMN(C38),2)=0)*C38:BL38)</f>
        <v>0</v>
      </c>
      <c r="BN38" s="113" cm="1">
        <f t="array" ref="BN38">SUMPRODUCT((MOD(COLUMN(D38:BM38)-COLUMN(D38),2)=0)*D38:BM38)</f>
        <v>0</v>
      </c>
      <c r="CA38" s="83"/>
      <c r="CB38" s="83"/>
      <c r="CC38" s="83"/>
      <c r="CD38" s="83"/>
      <c r="CE38" s="83"/>
      <c r="CF38" s="83"/>
      <c r="CG38" s="83"/>
      <c r="CH38" s="83"/>
      <c r="CI38" s="83"/>
      <c r="CJ38" s="83"/>
      <c r="CK38" s="83"/>
      <c r="CL38" s="83"/>
      <c r="CM38" s="83"/>
      <c r="CN38" s="83"/>
      <c r="CO38" s="83"/>
      <c r="CP38" s="83"/>
    </row>
    <row r="39" spans="1:94" x14ac:dyDescent="0.25">
      <c r="A39" s="100" t="s">
        <v>33</v>
      </c>
      <c r="B39" s="101"/>
      <c r="C39" s="115">
        <f t="shared" ref="C39:BL39" si="5">SUM(C35:C38)</f>
        <v>54</v>
      </c>
      <c r="D39" s="116">
        <f t="shared" si="5"/>
        <v>9533.9</v>
      </c>
      <c r="E39" s="115">
        <f t="shared" si="5"/>
        <v>52</v>
      </c>
      <c r="F39" s="116">
        <f t="shared" si="5"/>
        <v>10028.699999999999</v>
      </c>
      <c r="G39" s="115">
        <f t="shared" si="5"/>
        <v>77</v>
      </c>
      <c r="H39" s="116">
        <f t="shared" si="5"/>
        <v>13787</v>
      </c>
      <c r="I39" s="115">
        <f t="shared" si="5"/>
        <v>60</v>
      </c>
      <c r="J39" s="116">
        <f t="shared" si="5"/>
        <v>11195.5</v>
      </c>
      <c r="K39" s="115">
        <f t="shared" si="5"/>
        <v>70</v>
      </c>
      <c r="L39" s="116">
        <f t="shared" si="5"/>
        <v>15639.8</v>
      </c>
      <c r="M39" s="115">
        <f t="shared" si="5"/>
        <v>70</v>
      </c>
      <c r="N39" s="116">
        <f t="shared" si="5"/>
        <v>18311.900000000001</v>
      </c>
      <c r="O39" s="115">
        <f t="shared" si="5"/>
        <v>66</v>
      </c>
      <c r="P39" s="116">
        <f t="shared" si="5"/>
        <v>9970</v>
      </c>
      <c r="Q39" s="115">
        <f t="shared" si="5"/>
        <v>71</v>
      </c>
      <c r="R39" s="116">
        <f t="shared" si="5"/>
        <v>9149.9000000000015</v>
      </c>
      <c r="S39" s="115">
        <f t="shared" si="5"/>
        <v>55</v>
      </c>
      <c r="T39" s="116">
        <f t="shared" si="5"/>
        <v>7504.2</v>
      </c>
      <c r="U39" s="115">
        <f t="shared" si="5"/>
        <v>59</v>
      </c>
      <c r="V39" s="116">
        <f t="shared" si="5"/>
        <v>11007.199999999999</v>
      </c>
      <c r="W39" s="115">
        <f t="shared" si="5"/>
        <v>52</v>
      </c>
      <c r="X39" s="116">
        <f t="shared" si="5"/>
        <v>8503.0999999999985</v>
      </c>
      <c r="Y39" s="115">
        <f t="shared" si="5"/>
        <v>79</v>
      </c>
      <c r="Z39" s="116">
        <f t="shared" si="5"/>
        <v>23733.5</v>
      </c>
      <c r="AA39" s="115">
        <f t="shared" si="5"/>
        <v>63</v>
      </c>
      <c r="AB39" s="116">
        <f t="shared" si="5"/>
        <v>15886.800000000001</v>
      </c>
      <c r="AC39" s="115">
        <f t="shared" si="5"/>
        <v>60</v>
      </c>
      <c r="AD39" s="116">
        <f t="shared" si="5"/>
        <v>7395.2</v>
      </c>
      <c r="AE39" s="115">
        <f t="shared" si="5"/>
        <v>67</v>
      </c>
      <c r="AF39" s="116">
        <f t="shared" si="5"/>
        <v>10461.6</v>
      </c>
      <c r="AG39" s="115">
        <f t="shared" si="5"/>
        <v>54</v>
      </c>
      <c r="AH39" s="116">
        <f t="shared" si="5"/>
        <v>6940.7</v>
      </c>
      <c r="AI39" s="115">
        <f t="shared" si="5"/>
        <v>75</v>
      </c>
      <c r="AJ39" s="116">
        <f t="shared" si="5"/>
        <v>12994.3</v>
      </c>
      <c r="AK39" s="115">
        <f t="shared" si="5"/>
        <v>61</v>
      </c>
      <c r="AL39" s="116">
        <f t="shared" si="5"/>
        <v>7794.9</v>
      </c>
      <c r="AM39" s="115">
        <f t="shared" si="5"/>
        <v>62</v>
      </c>
      <c r="AN39" s="116">
        <f t="shared" si="5"/>
        <v>12900.7</v>
      </c>
      <c r="AO39" s="115">
        <f t="shared" si="5"/>
        <v>15</v>
      </c>
      <c r="AP39" s="116">
        <f t="shared" si="5"/>
        <v>2862</v>
      </c>
      <c r="AQ39" s="115">
        <f t="shared" si="5"/>
        <v>64</v>
      </c>
      <c r="AR39" s="116">
        <f t="shared" si="5"/>
        <v>10221.400000000001</v>
      </c>
      <c r="AS39" s="115">
        <f t="shared" si="5"/>
        <v>68</v>
      </c>
      <c r="AT39" s="116">
        <f t="shared" si="5"/>
        <v>11198.800000000001</v>
      </c>
      <c r="AU39" s="115">
        <f t="shared" si="5"/>
        <v>55</v>
      </c>
      <c r="AV39" s="116">
        <f t="shared" si="5"/>
        <v>6911.5</v>
      </c>
      <c r="AW39" s="115">
        <f t="shared" si="5"/>
        <v>76</v>
      </c>
      <c r="AX39" s="116">
        <f t="shared" si="5"/>
        <v>10703.400000000001</v>
      </c>
      <c r="AY39" s="115">
        <f t="shared" si="5"/>
        <v>55</v>
      </c>
      <c r="AZ39" s="116">
        <f t="shared" si="5"/>
        <v>8272.9</v>
      </c>
      <c r="BA39" s="115">
        <f t="shared" si="5"/>
        <v>72</v>
      </c>
      <c r="BB39" s="116">
        <f t="shared" si="5"/>
        <v>16774.7</v>
      </c>
      <c r="BC39" s="115">
        <f t="shared" si="5"/>
        <v>60</v>
      </c>
      <c r="BD39" s="116">
        <f t="shared" si="5"/>
        <v>16257.4</v>
      </c>
      <c r="BE39" s="115">
        <f t="shared" si="5"/>
        <v>59</v>
      </c>
      <c r="BF39" s="116">
        <f t="shared" si="5"/>
        <v>9168.6999999999989</v>
      </c>
      <c r="BG39" s="115">
        <f t="shared" si="5"/>
        <v>64</v>
      </c>
      <c r="BH39" s="116">
        <f t="shared" si="5"/>
        <v>9065.6</v>
      </c>
      <c r="BI39" s="115">
        <f t="shared" si="5"/>
        <v>67</v>
      </c>
      <c r="BJ39" s="116">
        <f t="shared" si="5"/>
        <v>9464.5</v>
      </c>
      <c r="BK39" s="115">
        <f t="shared" si="5"/>
        <v>63</v>
      </c>
      <c r="BL39" s="116">
        <f t="shared" si="5"/>
        <v>8384.7999999999993</v>
      </c>
      <c r="BM39" s="117">
        <f t="shared" ref="BM39:BN39" si="6">SUM(BM35:BM38)</f>
        <v>1925</v>
      </c>
      <c r="BN39" s="116">
        <f t="shared" si="6"/>
        <v>342024.60000000003</v>
      </c>
      <c r="BO39" s="102"/>
      <c r="BP39" s="102"/>
      <c r="BQ39" s="102"/>
      <c r="BR39" s="102"/>
      <c r="BS39" s="102"/>
      <c r="BT39" s="102"/>
      <c r="BU39" s="102"/>
      <c r="BV39" s="102"/>
      <c r="BW39" s="102"/>
      <c r="BX39" s="102"/>
      <c r="CA39" s="83"/>
      <c r="CB39" s="83"/>
      <c r="CC39" s="83"/>
      <c r="CD39" s="83"/>
      <c r="CE39" s="83"/>
      <c r="CF39" s="83"/>
      <c r="CG39" s="83"/>
      <c r="CH39" s="83"/>
      <c r="CI39" s="83"/>
      <c r="CJ39" s="83"/>
      <c r="CK39" s="83"/>
      <c r="CL39" s="83"/>
      <c r="CM39" s="83"/>
      <c r="CN39" s="83"/>
      <c r="CO39" s="83"/>
      <c r="CP39" s="83"/>
    </row>
    <row r="40" spans="1:94" x14ac:dyDescent="0.25">
      <c r="C40" s="118"/>
      <c r="D40" s="119"/>
      <c r="E40" s="118"/>
      <c r="F40" s="119"/>
      <c r="G40" s="118"/>
      <c r="H40" s="119"/>
      <c r="I40" s="118"/>
      <c r="J40" s="119"/>
      <c r="K40" s="118"/>
      <c r="L40" s="119"/>
      <c r="M40" s="118"/>
      <c r="N40" s="119"/>
      <c r="O40" s="118"/>
      <c r="P40" s="119"/>
      <c r="Q40" s="118"/>
      <c r="R40" s="119"/>
      <c r="S40" s="118"/>
      <c r="T40" s="119"/>
      <c r="U40" s="118"/>
      <c r="V40" s="119"/>
      <c r="W40" s="118"/>
      <c r="X40" s="119"/>
      <c r="Y40" s="118"/>
      <c r="Z40" s="119"/>
      <c r="AA40" s="118"/>
      <c r="AB40" s="119"/>
      <c r="AC40" s="118"/>
      <c r="AD40" s="119"/>
      <c r="AE40" s="118"/>
      <c r="AF40" s="119"/>
      <c r="AG40" s="118"/>
      <c r="AH40" s="119"/>
      <c r="AI40" s="118"/>
      <c r="AJ40" s="119"/>
      <c r="AK40" s="118"/>
      <c r="AL40" s="119"/>
      <c r="AM40" s="118"/>
      <c r="AN40" s="119"/>
      <c r="AO40" s="118"/>
      <c r="AP40" s="119"/>
      <c r="AQ40" s="118"/>
      <c r="AR40" s="119"/>
      <c r="AS40" s="118"/>
      <c r="AT40" s="119"/>
      <c r="AU40" s="118"/>
      <c r="AV40" s="119"/>
      <c r="AW40" s="118"/>
      <c r="AX40" s="119"/>
      <c r="AY40" s="118"/>
      <c r="AZ40" s="119"/>
      <c r="BA40" s="118"/>
      <c r="BB40" s="119"/>
      <c r="BC40" s="118"/>
      <c r="BD40" s="119"/>
      <c r="BE40" s="118"/>
      <c r="BF40" s="119"/>
      <c r="BG40" s="118"/>
      <c r="BH40" s="119"/>
      <c r="BI40" s="118"/>
      <c r="BJ40" s="119"/>
      <c r="BK40" s="118"/>
      <c r="BL40" s="119"/>
      <c r="BM40" s="120"/>
      <c r="BN40" s="119"/>
      <c r="CA40" s="83"/>
      <c r="CB40" s="83"/>
      <c r="CC40" s="83"/>
      <c r="CD40" s="83"/>
      <c r="CE40" s="83"/>
      <c r="CF40" s="83"/>
      <c r="CG40" s="83"/>
      <c r="CH40" s="83"/>
      <c r="CI40" s="83"/>
      <c r="CJ40" s="83"/>
      <c r="CK40" s="83"/>
      <c r="CL40" s="83"/>
      <c r="CM40" s="83"/>
      <c r="CN40" s="83"/>
      <c r="CO40" s="83"/>
      <c r="CP40" s="83"/>
    </row>
    <row r="41" spans="1:94" x14ac:dyDescent="0.25">
      <c r="A41" s="92" t="s">
        <v>34</v>
      </c>
      <c r="B41" s="93"/>
      <c r="C41" s="121"/>
      <c r="D41" s="122"/>
      <c r="E41" s="121"/>
      <c r="F41" s="122"/>
      <c r="G41" s="121"/>
      <c r="H41" s="122"/>
      <c r="I41" s="121"/>
      <c r="J41" s="122"/>
      <c r="K41" s="121"/>
      <c r="L41" s="122"/>
      <c r="M41" s="121"/>
      <c r="N41" s="122"/>
      <c r="O41" s="121"/>
      <c r="P41" s="122"/>
      <c r="Q41" s="121"/>
      <c r="R41" s="122"/>
      <c r="S41" s="121"/>
      <c r="T41" s="122"/>
      <c r="U41" s="121"/>
      <c r="V41" s="122"/>
      <c r="W41" s="121"/>
      <c r="X41" s="122"/>
      <c r="Y41" s="121"/>
      <c r="Z41" s="122"/>
      <c r="AA41" s="121"/>
      <c r="AB41" s="122"/>
      <c r="AC41" s="121"/>
      <c r="AD41" s="122"/>
      <c r="AE41" s="121"/>
      <c r="AF41" s="122"/>
      <c r="AG41" s="121"/>
      <c r="AH41" s="122"/>
      <c r="AI41" s="121"/>
      <c r="AJ41" s="122"/>
      <c r="AK41" s="121"/>
      <c r="AL41" s="122"/>
      <c r="AM41" s="121"/>
      <c r="AN41" s="122"/>
      <c r="AO41" s="121"/>
      <c r="AP41" s="122"/>
      <c r="AQ41" s="121"/>
      <c r="AR41" s="122"/>
      <c r="AS41" s="121"/>
      <c r="AT41" s="122"/>
      <c r="AU41" s="121"/>
      <c r="AV41" s="122"/>
      <c r="AW41" s="121"/>
      <c r="AX41" s="122"/>
      <c r="AY41" s="121"/>
      <c r="AZ41" s="122"/>
      <c r="BA41" s="121"/>
      <c r="BB41" s="122"/>
      <c r="BC41" s="121"/>
      <c r="BD41" s="122"/>
      <c r="BE41" s="121"/>
      <c r="BF41" s="122"/>
      <c r="BG41" s="121"/>
      <c r="BH41" s="122"/>
      <c r="BI41" s="121"/>
      <c r="BJ41" s="122"/>
      <c r="BK41" s="121"/>
      <c r="BL41" s="122"/>
      <c r="BM41" s="123"/>
      <c r="BN41" s="122"/>
      <c r="CA41" s="83"/>
      <c r="CB41" s="83"/>
      <c r="CC41" s="83"/>
      <c r="CD41" s="83"/>
      <c r="CE41" s="83"/>
      <c r="CF41" s="83"/>
      <c r="CG41" s="83"/>
      <c r="CH41" s="83"/>
      <c r="CI41" s="83"/>
      <c r="CJ41" s="83"/>
      <c r="CK41" s="83"/>
      <c r="CL41" s="83"/>
      <c r="CM41" s="83"/>
      <c r="CN41" s="83"/>
      <c r="CO41" s="83"/>
      <c r="CP41" s="83"/>
    </row>
    <row r="42" spans="1:94" x14ac:dyDescent="0.25">
      <c r="A42" s="79" t="s">
        <v>35</v>
      </c>
      <c r="B42" s="98" t="s">
        <v>9</v>
      </c>
      <c r="C42" s="112">
        <v>0</v>
      </c>
      <c r="D42" s="113">
        <v>0</v>
      </c>
      <c r="E42" s="112">
        <v>0</v>
      </c>
      <c r="F42" s="113">
        <v>0</v>
      </c>
      <c r="G42" s="112">
        <v>0</v>
      </c>
      <c r="H42" s="113">
        <v>0</v>
      </c>
      <c r="I42" s="112">
        <v>0</v>
      </c>
      <c r="J42" s="113">
        <v>0</v>
      </c>
      <c r="K42" s="112">
        <v>1</v>
      </c>
      <c r="L42" s="113">
        <v>400</v>
      </c>
      <c r="M42" s="112">
        <v>0</v>
      </c>
      <c r="N42" s="113">
        <v>0</v>
      </c>
      <c r="O42" s="112">
        <v>0</v>
      </c>
      <c r="P42" s="113">
        <v>0</v>
      </c>
      <c r="Q42" s="112">
        <v>1</v>
      </c>
      <c r="R42" s="113">
        <v>1247.4000000000001</v>
      </c>
      <c r="S42" s="112">
        <v>0</v>
      </c>
      <c r="T42" s="113">
        <v>0</v>
      </c>
      <c r="U42" s="112">
        <v>0</v>
      </c>
      <c r="V42" s="113">
        <v>0</v>
      </c>
      <c r="W42" s="112">
        <v>0</v>
      </c>
      <c r="X42" s="113">
        <v>0</v>
      </c>
      <c r="Y42" s="112">
        <v>0</v>
      </c>
      <c r="Z42" s="113">
        <v>0</v>
      </c>
      <c r="AA42" s="112">
        <v>0</v>
      </c>
      <c r="AB42" s="113">
        <v>0</v>
      </c>
      <c r="AC42" s="112">
        <v>0</v>
      </c>
      <c r="AD42" s="113">
        <v>0</v>
      </c>
      <c r="AE42" s="112">
        <v>1</v>
      </c>
      <c r="AF42" s="113">
        <v>400</v>
      </c>
      <c r="AG42" s="112">
        <v>0</v>
      </c>
      <c r="AH42" s="113">
        <v>0</v>
      </c>
      <c r="AI42" s="112">
        <v>1</v>
      </c>
      <c r="AJ42" s="113">
        <v>1089.5</v>
      </c>
      <c r="AK42" s="112">
        <v>0</v>
      </c>
      <c r="AL42" s="113">
        <v>0</v>
      </c>
      <c r="AM42" s="112">
        <v>0</v>
      </c>
      <c r="AN42" s="113">
        <v>0</v>
      </c>
      <c r="AO42" s="112">
        <v>0</v>
      </c>
      <c r="AP42" s="113">
        <v>0</v>
      </c>
      <c r="AQ42" s="112">
        <v>0</v>
      </c>
      <c r="AR42" s="113">
        <v>0</v>
      </c>
      <c r="AS42" s="112">
        <v>0</v>
      </c>
      <c r="AT42" s="113">
        <v>0</v>
      </c>
      <c r="AU42" s="112">
        <v>0</v>
      </c>
      <c r="AV42" s="113">
        <v>0</v>
      </c>
      <c r="AW42" s="112">
        <v>0</v>
      </c>
      <c r="AX42" s="113">
        <v>0</v>
      </c>
      <c r="AY42" s="112">
        <v>0</v>
      </c>
      <c r="AZ42" s="113">
        <v>0</v>
      </c>
      <c r="BA42" s="112">
        <v>0</v>
      </c>
      <c r="BB42" s="113">
        <v>0</v>
      </c>
      <c r="BC42" s="112">
        <v>0</v>
      </c>
      <c r="BD42" s="113">
        <v>0</v>
      </c>
      <c r="BE42" s="112">
        <v>0</v>
      </c>
      <c r="BF42" s="113">
        <v>0</v>
      </c>
      <c r="BG42" s="112">
        <v>1</v>
      </c>
      <c r="BH42" s="113">
        <v>1358.8</v>
      </c>
      <c r="BI42" s="112">
        <v>0</v>
      </c>
      <c r="BJ42" s="113">
        <v>0</v>
      </c>
      <c r="BK42" s="112">
        <v>0</v>
      </c>
      <c r="BL42" s="113">
        <v>0</v>
      </c>
      <c r="BM42" s="114" cm="1">
        <f t="array" ref="BM42">SUMPRODUCT((MOD(COLUMN(C42:BL42)-COLUMN(C42),2)=0)*C42:BL42)</f>
        <v>5</v>
      </c>
      <c r="BN42" s="113" cm="1">
        <f t="array" ref="BN42">SUMPRODUCT((MOD(COLUMN(D42:BM42)-COLUMN(D42),2)=0)*D42:BM42)</f>
        <v>4495.7</v>
      </c>
      <c r="CA42" s="83"/>
      <c r="CB42" s="83"/>
      <c r="CC42" s="83"/>
      <c r="CD42" s="83"/>
      <c r="CE42" s="83"/>
      <c r="CF42" s="83"/>
      <c r="CG42" s="83"/>
      <c r="CH42" s="83"/>
      <c r="CI42" s="83"/>
      <c r="CJ42" s="83"/>
      <c r="CK42" s="83"/>
      <c r="CL42" s="83"/>
      <c r="CM42" s="83"/>
      <c r="CN42" s="83"/>
      <c r="CO42" s="83"/>
      <c r="CP42" s="83"/>
    </row>
    <row r="43" spans="1:94" x14ac:dyDescent="0.25">
      <c r="A43" s="79" t="s">
        <v>34</v>
      </c>
      <c r="B43" s="98" t="s">
        <v>9</v>
      </c>
      <c r="C43" s="112">
        <v>8</v>
      </c>
      <c r="D43" s="113">
        <v>5243.2</v>
      </c>
      <c r="E43" s="112">
        <v>10</v>
      </c>
      <c r="F43" s="113">
        <v>4802.7</v>
      </c>
      <c r="G43" s="112">
        <v>5</v>
      </c>
      <c r="H43" s="113">
        <v>2208.9</v>
      </c>
      <c r="I43" s="112">
        <v>15</v>
      </c>
      <c r="J43" s="113">
        <v>11065.2</v>
      </c>
      <c r="K43" s="112">
        <v>7</v>
      </c>
      <c r="L43" s="113">
        <v>4182.3999999999996</v>
      </c>
      <c r="M43" s="112">
        <v>7</v>
      </c>
      <c r="N43" s="113">
        <v>3947</v>
      </c>
      <c r="O43" s="112">
        <v>7</v>
      </c>
      <c r="P43" s="113">
        <v>3239.8</v>
      </c>
      <c r="Q43" s="112">
        <v>14</v>
      </c>
      <c r="R43" s="113">
        <v>11871.4</v>
      </c>
      <c r="S43" s="112">
        <v>4</v>
      </c>
      <c r="T43" s="113">
        <v>2128.4</v>
      </c>
      <c r="U43" s="112">
        <v>9</v>
      </c>
      <c r="V43" s="113">
        <v>6465.5</v>
      </c>
      <c r="W43" s="112">
        <v>6</v>
      </c>
      <c r="X43" s="113">
        <v>4144.3</v>
      </c>
      <c r="Y43" s="112">
        <v>7</v>
      </c>
      <c r="Z43" s="113">
        <v>5321.6</v>
      </c>
      <c r="AA43" s="112">
        <v>7</v>
      </c>
      <c r="AB43" s="113">
        <v>5512.4</v>
      </c>
      <c r="AC43" s="112">
        <v>5</v>
      </c>
      <c r="AD43" s="113">
        <v>2657</v>
      </c>
      <c r="AE43" s="112">
        <v>16</v>
      </c>
      <c r="AF43" s="113">
        <v>12141</v>
      </c>
      <c r="AG43" s="112">
        <v>2</v>
      </c>
      <c r="AH43" s="113">
        <v>1000</v>
      </c>
      <c r="AI43" s="112">
        <v>13</v>
      </c>
      <c r="AJ43" s="113">
        <v>7587.5</v>
      </c>
      <c r="AK43" s="112">
        <v>8</v>
      </c>
      <c r="AL43" s="113">
        <v>4577</v>
      </c>
      <c r="AM43" s="112">
        <v>14</v>
      </c>
      <c r="AN43" s="113">
        <v>9202.7000000000007</v>
      </c>
      <c r="AO43" s="112">
        <v>0</v>
      </c>
      <c r="AP43" s="113">
        <v>0</v>
      </c>
      <c r="AQ43" s="112">
        <v>5</v>
      </c>
      <c r="AR43" s="113">
        <v>3100</v>
      </c>
      <c r="AS43" s="112">
        <v>3</v>
      </c>
      <c r="AT43" s="113">
        <v>2218.4</v>
      </c>
      <c r="AU43" s="112">
        <v>8</v>
      </c>
      <c r="AV43" s="113">
        <v>4477.8999999999996</v>
      </c>
      <c r="AW43" s="112">
        <v>6</v>
      </c>
      <c r="AX43" s="113">
        <v>3004.9</v>
      </c>
      <c r="AY43" s="112">
        <v>11</v>
      </c>
      <c r="AZ43" s="113">
        <v>6871.8</v>
      </c>
      <c r="BA43" s="112">
        <v>8</v>
      </c>
      <c r="BB43" s="113">
        <v>4481.3</v>
      </c>
      <c r="BC43" s="112">
        <v>5</v>
      </c>
      <c r="BD43" s="113">
        <v>2342.4</v>
      </c>
      <c r="BE43" s="112">
        <v>4</v>
      </c>
      <c r="BF43" s="113">
        <v>2661.2</v>
      </c>
      <c r="BG43" s="112">
        <v>8</v>
      </c>
      <c r="BH43" s="113">
        <v>5947.1</v>
      </c>
      <c r="BI43" s="112">
        <v>4</v>
      </c>
      <c r="BJ43" s="113">
        <v>1588.9</v>
      </c>
      <c r="BK43" s="112">
        <v>13</v>
      </c>
      <c r="BL43" s="113">
        <v>7072.8</v>
      </c>
      <c r="BM43" s="114" cm="1">
        <f t="array" ref="BM43">SUMPRODUCT((MOD(COLUMN(C43:BL43)-COLUMN(C43),2)=0)*C43:BL43)</f>
        <v>239</v>
      </c>
      <c r="BN43" s="113" cm="1">
        <f t="array" ref="BN43">SUMPRODUCT((MOD(COLUMN(D43:BM43)-COLUMN(D43),2)=0)*D43:BM43)</f>
        <v>151064.69999999998</v>
      </c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</row>
    <row r="44" spans="1:94" x14ac:dyDescent="0.25">
      <c r="A44" s="100" t="s">
        <v>36</v>
      </c>
      <c r="B44" s="101"/>
      <c r="C44" s="115">
        <f t="shared" ref="C44:BL44" si="7">SUM(C42:C43)</f>
        <v>8</v>
      </c>
      <c r="D44" s="116">
        <f t="shared" si="7"/>
        <v>5243.2</v>
      </c>
      <c r="E44" s="115">
        <f t="shared" si="7"/>
        <v>10</v>
      </c>
      <c r="F44" s="116">
        <f t="shared" si="7"/>
        <v>4802.7</v>
      </c>
      <c r="G44" s="115">
        <f t="shared" si="7"/>
        <v>5</v>
      </c>
      <c r="H44" s="116">
        <f t="shared" si="7"/>
        <v>2208.9</v>
      </c>
      <c r="I44" s="115">
        <f t="shared" si="7"/>
        <v>15</v>
      </c>
      <c r="J44" s="116">
        <f t="shared" si="7"/>
        <v>11065.2</v>
      </c>
      <c r="K44" s="115">
        <f t="shared" si="7"/>
        <v>8</v>
      </c>
      <c r="L44" s="116">
        <f t="shared" si="7"/>
        <v>4582.3999999999996</v>
      </c>
      <c r="M44" s="115">
        <f t="shared" si="7"/>
        <v>7</v>
      </c>
      <c r="N44" s="116">
        <f t="shared" si="7"/>
        <v>3947</v>
      </c>
      <c r="O44" s="115">
        <f t="shared" si="7"/>
        <v>7</v>
      </c>
      <c r="P44" s="116">
        <f t="shared" si="7"/>
        <v>3239.8</v>
      </c>
      <c r="Q44" s="115">
        <f t="shared" si="7"/>
        <v>15</v>
      </c>
      <c r="R44" s="116">
        <f t="shared" si="7"/>
        <v>13118.8</v>
      </c>
      <c r="S44" s="115">
        <f t="shared" si="7"/>
        <v>4</v>
      </c>
      <c r="T44" s="116">
        <f t="shared" si="7"/>
        <v>2128.4</v>
      </c>
      <c r="U44" s="115">
        <f t="shared" si="7"/>
        <v>9</v>
      </c>
      <c r="V44" s="116">
        <f t="shared" si="7"/>
        <v>6465.5</v>
      </c>
      <c r="W44" s="115">
        <f t="shared" si="7"/>
        <v>6</v>
      </c>
      <c r="X44" s="116">
        <f t="shared" si="7"/>
        <v>4144.3</v>
      </c>
      <c r="Y44" s="115">
        <f t="shared" si="7"/>
        <v>7</v>
      </c>
      <c r="Z44" s="116">
        <f t="shared" si="7"/>
        <v>5321.6</v>
      </c>
      <c r="AA44" s="115">
        <f t="shared" si="7"/>
        <v>7</v>
      </c>
      <c r="AB44" s="116">
        <f t="shared" si="7"/>
        <v>5512.4</v>
      </c>
      <c r="AC44" s="115">
        <f t="shared" si="7"/>
        <v>5</v>
      </c>
      <c r="AD44" s="116">
        <f t="shared" si="7"/>
        <v>2657</v>
      </c>
      <c r="AE44" s="115">
        <f t="shared" si="7"/>
        <v>17</v>
      </c>
      <c r="AF44" s="116">
        <f t="shared" si="7"/>
        <v>12541</v>
      </c>
      <c r="AG44" s="115">
        <f t="shared" si="7"/>
        <v>2</v>
      </c>
      <c r="AH44" s="116">
        <f t="shared" si="7"/>
        <v>1000</v>
      </c>
      <c r="AI44" s="115">
        <f t="shared" si="7"/>
        <v>14</v>
      </c>
      <c r="AJ44" s="116">
        <f t="shared" si="7"/>
        <v>8677</v>
      </c>
      <c r="AK44" s="115">
        <f t="shared" si="7"/>
        <v>8</v>
      </c>
      <c r="AL44" s="116">
        <f t="shared" si="7"/>
        <v>4577</v>
      </c>
      <c r="AM44" s="115">
        <f t="shared" si="7"/>
        <v>14</v>
      </c>
      <c r="AN44" s="116">
        <f t="shared" si="7"/>
        <v>9202.7000000000007</v>
      </c>
      <c r="AO44" s="115">
        <f t="shared" si="7"/>
        <v>0</v>
      </c>
      <c r="AP44" s="116">
        <f t="shared" si="7"/>
        <v>0</v>
      </c>
      <c r="AQ44" s="115">
        <f t="shared" si="7"/>
        <v>5</v>
      </c>
      <c r="AR44" s="116">
        <f t="shared" si="7"/>
        <v>3100</v>
      </c>
      <c r="AS44" s="115">
        <f t="shared" si="7"/>
        <v>3</v>
      </c>
      <c r="AT44" s="116">
        <f t="shared" si="7"/>
        <v>2218.4</v>
      </c>
      <c r="AU44" s="115">
        <f t="shared" si="7"/>
        <v>8</v>
      </c>
      <c r="AV44" s="116">
        <f t="shared" si="7"/>
        <v>4477.8999999999996</v>
      </c>
      <c r="AW44" s="115">
        <f t="shared" si="7"/>
        <v>6</v>
      </c>
      <c r="AX44" s="116">
        <f t="shared" si="7"/>
        <v>3004.9</v>
      </c>
      <c r="AY44" s="115">
        <f t="shared" si="7"/>
        <v>11</v>
      </c>
      <c r="AZ44" s="116">
        <f t="shared" si="7"/>
        <v>6871.8</v>
      </c>
      <c r="BA44" s="115">
        <f t="shared" si="7"/>
        <v>8</v>
      </c>
      <c r="BB44" s="116">
        <f t="shared" si="7"/>
        <v>4481.3</v>
      </c>
      <c r="BC44" s="115">
        <f t="shared" si="7"/>
        <v>5</v>
      </c>
      <c r="BD44" s="116">
        <f t="shared" si="7"/>
        <v>2342.4</v>
      </c>
      <c r="BE44" s="115">
        <f t="shared" si="7"/>
        <v>4</v>
      </c>
      <c r="BF44" s="116">
        <f t="shared" si="7"/>
        <v>2661.2</v>
      </c>
      <c r="BG44" s="115">
        <f t="shared" si="7"/>
        <v>9</v>
      </c>
      <c r="BH44" s="116">
        <f t="shared" si="7"/>
        <v>7305.9000000000005</v>
      </c>
      <c r="BI44" s="115">
        <f t="shared" si="7"/>
        <v>4</v>
      </c>
      <c r="BJ44" s="116">
        <f t="shared" si="7"/>
        <v>1588.9</v>
      </c>
      <c r="BK44" s="115">
        <f t="shared" si="7"/>
        <v>13</v>
      </c>
      <c r="BL44" s="116">
        <f t="shared" si="7"/>
        <v>7072.8</v>
      </c>
      <c r="BM44" s="117">
        <f t="shared" ref="BM44:BN44" si="8">SUM(BM42:BM43)</f>
        <v>244</v>
      </c>
      <c r="BN44" s="116">
        <f t="shared" si="8"/>
        <v>155560.4</v>
      </c>
      <c r="BO44" s="102"/>
      <c r="BP44" s="102"/>
      <c r="BQ44" s="102"/>
      <c r="BR44" s="102"/>
      <c r="BS44" s="102"/>
      <c r="BT44" s="102"/>
      <c r="BU44" s="102"/>
      <c r="BV44" s="102"/>
      <c r="BW44" s="102"/>
      <c r="BX44" s="102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</row>
    <row r="45" spans="1:94" x14ac:dyDescent="0.25">
      <c r="C45" s="118"/>
      <c r="D45" s="119"/>
      <c r="E45" s="118"/>
      <c r="F45" s="119"/>
      <c r="G45" s="118"/>
      <c r="H45" s="119"/>
      <c r="I45" s="118"/>
      <c r="J45" s="119"/>
      <c r="K45" s="118"/>
      <c r="L45" s="119"/>
      <c r="M45" s="118"/>
      <c r="N45" s="119"/>
      <c r="O45" s="118"/>
      <c r="P45" s="119"/>
      <c r="Q45" s="118"/>
      <c r="R45" s="119"/>
      <c r="S45" s="118"/>
      <c r="T45" s="119"/>
      <c r="U45" s="118"/>
      <c r="V45" s="119"/>
      <c r="W45" s="118"/>
      <c r="X45" s="119"/>
      <c r="Y45" s="118"/>
      <c r="Z45" s="119"/>
      <c r="AA45" s="118"/>
      <c r="AB45" s="119"/>
      <c r="AC45" s="118"/>
      <c r="AD45" s="119"/>
      <c r="AE45" s="118"/>
      <c r="AF45" s="119"/>
      <c r="AG45" s="118"/>
      <c r="AH45" s="119"/>
      <c r="AI45" s="118"/>
      <c r="AJ45" s="119"/>
      <c r="AK45" s="118"/>
      <c r="AL45" s="119"/>
      <c r="AM45" s="118"/>
      <c r="AN45" s="119"/>
      <c r="AO45" s="118"/>
      <c r="AP45" s="119"/>
      <c r="AQ45" s="118"/>
      <c r="AR45" s="119"/>
      <c r="AS45" s="118"/>
      <c r="AT45" s="119"/>
      <c r="AU45" s="118"/>
      <c r="AV45" s="119"/>
      <c r="AW45" s="118"/>
      <c r="AX45" s="119"/>
      <c r="AY45" s="118"/>
      <c r="AZ45" s="119"/>
      <c r="BA45" s="118"/>
      <c r="BB45" s="119"/>
      <c r="BC45" s="118"/>
      <c r="BD45" s="119"/>
      <c r="BE45" s="118"/>
      <c r="BF45" s="119"/>
      <c r="BG45" s="118"/>
      <c r="BH45" s="119"/>
      <c r="BI45" s="118"/>
      <c r="BJ45" s="119"/>
      <c r="BK45" s="118"/>
      <c r="BL45" s="119"/>
      <c r="BM45" s="120"/>
      <c r="BN45" s="119"/>
      <c r="CA45" s="83"/>
      <c r="CB45" s="83"/>
      <c r="CC45" s="83"/>
      <c r="CD45" s="83"/>
      <c r="CE45" s="83"/>
      <c r="CF45" s="83"/>
      <c r="CG45" s="83"/>
      <c r="CH45" s="83"/>
      <c r="CI45" s="83"/>
      <c r="CJ45" s="83"/>
      <c r="CK45" s="83"/>
      <c r="CL45" s="83"/>
      <c r="CM45" s="83"/>
      <c r="CN45" s="83"/>
      <c r="CO45" s="83"/>
      <c r="CP45" s="83"/>
    </row>
    <row r="46" spans="1:94" x14ac:dyDescent="0.25">
      <c r="A46" s="92" t="s">
        <v>37</v>
      </c>
      <c r="B46" s="93"/>
      <c r="C46" s="121"/>
      <c r="D46" s="122"/>
      <c r="E46" s="121"/>
      <c r="F46" s="122"/>
      <c r="G46" s="121"/>
      <c r="H46" s="122"/>
      <c r="I46" s="121"/>
      <c r="J46" s="122"/>
      <c r="K46" s="121"/>
      <c r="L46" s="122"/>
      <c r="M46" s="121"/>
      <c r="N46" s="122"/>
      <c r="O46" s="121"/>
      <c r="P46" s="122"/>
      <c r="Q46" s="121"/>
      <c r="R46" s="122"/>
      <c r="S46" s="121"/>
      <c r="T46" s="122"/>
      <c r="U46" s="121"/>
      <c r="V46" s="122"/>
      <c r="W46" s="121"/>
      <c r="X46" s="122"/>
      <c r="Y46" s="121"/>
      <c r="Z46" s="122"/>
      <c r="AA46" s="121"/>
      <c r="AB46" s="122"/>
      <c r="AC46" s="121"/>
      <c r="AD46" s="122"/>
      <c r="AE46" s="121"/>
      <c r="AF46" s="122"/>
      <c r="AG46" s="121"/>
      <c r="AH46" s="122"/>
      <c r="AI46" s="121"/>
      <c r="AJ46" s="122"/>
      <c r="AK46" s="121"/>
      <c r="AL46" s="122"/>
      <c r="AM46" s="121"/>
      <c r="AN46" s="122"/>
      <c r="AO46" s="121"/>
      <c r="AP46" s="122"/>
      <c r="AQ46" s="121"/>
      <c r="AR46" s="122"/>
      <c r="AS46" s="121"/>
      <c r="AT46" s="122"/>
      <c r="AU46" s="121"/>
      <c r="AV46" s="122"/>
      <c r="AW46" s="121"/>
      <c r="AX46" s="122"/>
      <c r="AY46" s="121"/>
      <c r="AZ46" s="122"/>
      <c r="BA46" s="121"/>
      <c r="BB46" s="122"/>
      <c r="BC46" s="121"/>
      <c r="BD46" s="122"/>
      <c r="BE46" s="121"/>
      <c r="BF46" s="122"/>
      <c r="BG46" s="121"/>
      <c r="BH46" s="122"/>
      <c r="BI46" s="121"/>
      <c r="BJ46" s="122"/>
      <c r="BK46" s="121"/>
      <c r="BL46" s="122"/>
      <c r="BM46" s="123"/>
      <c r="BN46" s="122"/>
      <c r="CA46" s="83"/>
      <c r="CB46" s="83"/>
      <c r="CC46" s="83"/>
      <c r="CD46" s="83"/>
      <c r="CE46" s="83"/>
      <c r="CF46" s="83"/>
      <c r="CG46" s="83"/>
      <c r="CH46" s="83"/>
      <c r="CI46" s="83"/>
      <c r="CJ46" s="83"/>
      <c r="CK46" s="83"/>
      <c r="CL46" s="83"/>
      <c r="CM46" s="83"/>
      <c r="CN46" s="83"/>
      <c r="CO46" s="83"/>
      <c r="CP46" s="83"/>
    </row>
    <row r="47" spans="1:94" x14ac:dyDescent="0.25">
      <c r="A47" s="79" t="s">
        <v>38</v>
      </c>
      <c r="B47" s="98" t="s">
        <v>9</v>
      </c>
      <c r="C47" s="112">
        <v>6</v>
      </c>
      <c r="D47" s="113">
        <v>1122.5</v>
      </c>
      <c r="E47" s="112">
        <v>16</v>
      </c>
      <c r="F47" s="113">
        <v>2106.5</v>
      </c>
      <c r="G47" s="112">
        <v>14</v>
      </c>
      <c r="H47" s="113">
        <v>1849.7</v>
      </c>
      <c r="I47" s="112">
        <v>16</v>
      </c>
      <c r="J47" s="113">
        <v>2340.3000000000002</v>
      </c>
      <c r="K47" s="112">
        <v>18</v>
      </c>
      <c r="L47" s="113">
        <v>2808.2</v>
      </c>
      <c r="M47" s="112">
        <v>17</v>
      </c>
      <c r="N47" s="113">
        <v>3588.3</v>
      </c>
      <c r="O47" s="112">
        <v>20</v>
      </c>
      <c r="P47" s="113">
        <v>2986.4</v>
      </c>
      <c r="Q47" s="112">
        <v>15</v>
      </c>
      <c r="R47" s="113">
        <v>1266.5</v>
      </c>
      <c r="S47" s="112">
        <v>15</v>
      </c>
      <c r="T47" s="113">
        <v>2749.8</v>
      </c>
      <c r="U47" s="112">
        <v>14</v>
      </c>
      <c r="V47" s="113">
        <v>2639.5</v>
      </c>
      <c r="W47" s="112">
        <v>20</v>
      </c>
      <c r="X47" s="113">
        <v>2412.4</v>
      </c>
      <c r="Y47" s="112">
        <v>14</v>
      </c>
      <c r="Z47" s="113">
        <v>1776.3</v>
      </c>
      <c r="AA47" s="112">
        <v>12</v>
      </c>
      <c r="AB47" s="113">
        <v>2241.4</v>
      </c>
      <c r="AC47" s="112">
        <v>21</v>
      </c>
      <c r="AD47" s="113">
        <v>2611.8000000000002</v>
      </c>
      <c r="AE47" s="112">
        <v>14</v>
      </c>
      <c r="AF47" s="113">
        <v>2499.8000000000002</v>
      </c>
      <c r="AG47" s="112">
        <v>11</v>
      </c>
      <c r="AH47" s="113">
        <v>1648.9</v>
      </c>
      <c r="AI47" s="112">
        <v>18</v>
      </c>
      <c r="AJ47" s="113">
        <v>2049.1</v>
      </c>
      <c r="AK47" s="112">
        <v>13</v>
      </c>
      <c r="AL47" s="113">
        <v>1219</v>
      </c>
      <c r="AM47" s="112">
        <v>7</v>
      </c>
      <c r="AN47" s="113">
        <v>617.79999999999995</v>
      </c>
      <c r="AO47" s="112">
        <v>7</v>
      </c>
      <c r="AP47" s="113">
        <v>701.3</v>
      </c>
      <c r="AQ47" s="112">
        <v>20</v>
      </c>
      <c r="AR47" s="113">
        <v>3291.7</v>
      </c>
      <c r="AS47" s="112">
        <v>18</v>
      </c>
      <c r="AT47" s="113">
        <v>3822.8</v>
      </c>
      <c r="AU47" s="112">
        <v>11</v>
      </c>
      <c r="AV47" s="113">
        <v>981.1</v>
      </c>
      <c r="AW47" s="112">
        <v>18</v>
      </c>
      <c r="AX47" s="113">
        <v>2585.1999999999998</v>
      </c>
      <c r="AY47" s="112">
        <v>13</v>
      </c>
      <c r="AZ47" s="113">
        <v>1666.2</v>
      </c>
      <c r="BA47" s="112">
        <v>19</v>
      </c>
      <c r="BB47" s="113">
        <v>1977.2</v>
      </c>
      <c r="BC47" s="112">
        <v>12</v>
      </c>
      <c r="BD47" s="113">
        <v>749.5</v>
      </c>
      <c r="BE47" s="112">
        <v>29</v>
      </c>
      <c r="BF47" s="113">
        <v>3157.9</v>
      </c>
      <c r="BG47" s="112">
        <v>13</v>
      </c>
      <c r="BH47" s="113">
        <v>1792.4</v>
      </c>
      <c r="BI47" s="112">
        <v>21</v>
      </c>
      <c r="BJ47" s="113">
        <v>3226.6</v>
      </c>
      <c r="BK47" s="112">
        <v>20</v>
      </c>
      <c r="BL47" s="113">
        <v>3130.4</v>
      </c>
      <c r="BM47" s="114" cm="1">
        <f t="array" ref="BM47">SUMPRODUCT((MOD(COLUMN(C47:BL47)-COLUMN(C47),2)=0)*C47:BL47)</f>
        <v>482</v>
      </c>
      <c r="BN47" s="113" cm="1">
        <f t="array" ref="BN47">SUMPRODUCT((MOD(COLUMN(D47:BM47)-COLUMN(D47),2)=0)*D47:BM47)</f>
        <v>67616.5</v>
      </c>
      <c r="CA47" s="83"/>
      <c r="CB47" s="83"/>
      <c r="CC47" s="83"/>
      <c r="CD47" s="83"/>
      <c r="CE47" s="83"/>
      <c r="CF47" s="83"/>
      <c r="CG47" s="83"/>
      <c r="CH47" s="83"/>
      <c r="CI47" s="83"/>
      <c r="CJ47" s="83"/>
      <c r="CK47" s="83"/>
      <c r="CL47" s="83"/>
      <c r="CM47" s="83"/>
      <c r="CN47" s="83"/>
      <c r="CO47" s="83"/>
      <c r="CP47" s="83"/>
    </row>
    <row r="48" spans="1:94" x14ac:dyDescent="0.25">
      <c r="A48" s="79" t="s">
        <v>39</v>
      </c>
      <c r="B48" s="98" t="s">
        <v>9</v>
      </c>
      <c r="C48" s="112">
        <v>1</v>
      </c>
      <c r="D48" s="113">
        <v>940.4</v>
      </c>
      <c r="E48" s="112">
        <v>2</v>
      </c>
      <c r="F48" s="113">
        <v>508</v>
      </c>
      <c r="G48" s="112">
        <v>0</v>
      </c>
      <c r="H48" s="113">
        <v>0</v>
      </c>
      <c r="I48" s="112">
        <v>0</v>
      </c>
      <c r="J48" s="113">
        <v>0</v>
      </c>
      <c r="K48" s="112">
        <v>2</v>
      </c>
      <c r="L48" s="113">
        <v>1000</v>
      </c>
      <c r="M48" s="112">
        <v>0</v>
      </c>
      <c r="N48" s="113">
        <v>0</v>
      </c>
      <c r="O48" s="112">
        <v>1</v>
      </c>
      <c r="P48" s="113">
        <v>13</v>
      </c>
      <c r="Q48" s="112">
        <v>1</v>
      </c>
      <c r="R48" s="113">
        <v>58</v>
      </c>
      <c r="S48" s="112">
        <v>0</v>
      </c>
      <c r="T48" s="113">
        <v>0</v>
      </c>
      <c r="U48" s="112">
        <v>1</v>
      </c>
      <c r="V48" s="113">
        <v>105</v>
      </c>
      <c r="W48" s="112">
        <v>2</v>
      </c>
      <c r="X48" s="113">
        <v>193</v>
      </c>
      <c r="Y48" s="112">
        <v>3</v>
      </c>
      <c r="Z48" s="113">
        <v>813.3</v>
      </c>
      <c r="AA48" s="112">
        <v>1</v>
      </c>
      <c r="AB48" s="113">
        <v>43</v>
      </c>
      <c r="AC48" s="112">
        <v>2</v>
      </c>
      <c r="AD48" s="113">
        <v>1032.0999999999999</v>
      </c>
      <c r="AE48" s="112">
        <v>4</v>
      </c>
      <c r="AF48" s="113">
        <v>542</v>
      </c>
      <c r="AG48" s="112">
        <v>0</v>
      </c>
      <c r="AH48" s="113">
        <v>0</v>
      </c>
      <c r="AI48" s="112">
        <v>0</v>
      </c>
      <c r="AJ48" s="113">
        <v>0</v>
      </c>
      <c r="AK48" s="112">
        <v>2</v>
      </c>
      <c r="AL48" s="113">
        <v>1577.2</v>
      </c>
      <c r="AM48" s="112">
        <v>2</v>
      </c>
      <c r="AN48" s="113">
        <v>15</v>
      </c>
      <c r="AO48" s="112">
        <v>0</v>
      </c>
      <c r="AP48" s="113">
        <v>0</v>
      </c>
      <c r="AQ48" s="112">
        <v>1</v>
      </c>
      <c r="AR48" s="113">
        <v>13</v>
      </c>
      <c r="AS48" s="112">
        <v>1</v>
      </c>
      <c r="AT48" s="113">
        <v>310</v>
      </c>
      <c r="AU48" s="112">
        <v>2</v>
      </c>
      <c r="AV48" s="113">
        <v>176.2</v>
      </c>
      <c r="AW48" s="112">
        <v>0</v>
      </c>
      <c r="AX48" s="113">
        <v>0</v>
      </c>
      <c r="AY48" s="112">
        <v>2</v>
      </c>
      <c r="AZ48" s="113">
        <v>587.70000000000005</v>
      </c>
      <c r="BA48" s="112">
        <v>0</v>
      </c>
      <c r="BB48" s="113">
        <v>0</v>
      </c>
      <c r="BC48" s="112">
        <v>1</v>
      </c>
      <c r="BD48" s="113">
        <v>149.6</v>
      </c>
      <c r="BE48" s="112">
        <v>1</v>
      </c>
      <c r="BF48" s="113">
        <v>40</v>
      </c>
      <c r="BG48" s="112">
        <v>0</v>
      </c>
      <c r="BH48" s="113">
        <v>0</v>
      </c>
      <c r="BI48" s="112">
        <v>2</v>
      </c>
      <c r="BJ48" s="113">
        <v>131.30000000000001</v>
      </c>
      <c r="BK48" s="112">
        <v>4</v>
      </c>
      <c r="BL48" s="113">
        <v>440</v>
      </c>
      <c r="BM48" s="114" cm="1">
        <f t="array" ref="BM48">SUMPRODUCT((MOD(COLUMN(C48:BL48)-COLUMN(C48),2)=0)*C48:BL48)</f>
        <v>38</v>
      </c>
      <c r="BN48" s="113" cm="1">
        <f t="array" ref="BN48">SUMPRODUCT((MOD(COLUMN(D48:BM48)-COLUMN(D48),2)=0)*D48:BM48)</f>
        <v>8687.7999999999993</v>
      </c>
      <c r="CA48" s="83"/>
      <c r="CB48" s="83"/>
      <c r="CC48" s="83"/>
      <c r="CD48" s="83"/>
      <c r="CE48" s="83"/>
      <c r="CF48" s="83"/>
      <c r="CG48" s="83"/>
      <c r="CH48" s="83"/>
      <c r="CI48" s="83"/>
      <c r="CJ48" s="83"/>
      <c r="CK48" s="83"/>
      <c r="CL48" s="83"/>
      <c r="CM48" s="83"/>
      <c r="CN48" s="83"/>
      <c r="CO48" s="83"/>
      <c r="CP48" s="83"/>
    </row>
    <row r="49" spans="1:94" x14ac:dyDescent="0.25">
      <c r="A49" s="100" t="s">
        <v>40</v>
      </c>
      <c r="B49" s="104"/>
      <c r="C49" s="115">
        <f t="shared" ref="C49:BL49" si="9">SUM(C47:C48)</f>
        <v>7</v>
      </c>
      <c r="D49" s="116">
        <f t="shared" si="9"/>
        <v>2062.9</v>
      </c>
      <c r="E49" s="115">
        <f t="shared" si="9"/>
        <v>18</v>
      </c>
      <c r="F49" s="116">
        <f t="shared" si="9"/>
        <v>2614.5</v>
      </c>
      <c r="G49" s="115">
        <f t="shared" si="9"/>
        <v>14</v>
      </c>
      <c r="H49" s="116">
        <f t="shared" si="9"/>
        <v>1849.7</v>
      </c>
      <c r="I49" s="115">
        <f t="shared" si="9"/>
        <v>16</v>
      </c>
      <c r="J49" s="116">
        <f t="shared" si="9"/>
        <v>2340.3000000000002</v>
      </c>
      <c r="K49" s="115">
        <f t="shared" si="9"/>
        <v>20</v>
      </c>
      <c r="L49" s="116">
        <f t="shared" si="9"/>
        <v>3808.2</v>
      </c>
      <c r="M49" s="115">
        <f t="shared" si="9"/>
        <v>17</v>
      </c>
      <c r="N49" s="116">
        <f t="shared" si="9"/>
        <v>3588.3</v>
      </c>
      <c r="O49" s="115">
        <f t="shared" si="9"/>
        <v>21</v>
      </c>
      <c r="P49" s="116">
        <f t="shared" si="9"/>
        <v>2999.4</v>
      </c>
      <c r="Q49" s="115">
        <f t="shared" si="9"/>
        <v>16</v>
      </c>
      <c r="R49" s="116">
        <f t="shared" si="9"/>
        <v>1324.5</v>
      </c>
      <c r="S49" s="115">
        <f t="shared" si="9"/>
        <v>15</v>
      </c>
      <c r="T49" s="116">
        <f t="shared" si="9"/>
        <v>2749.8</v>
      </c>
      <c r="U49" s="115">
        <f t="shared" si="9"/>
        <v>15</v>
      </c>
      <c r="V49" s="116">
        <f t="shared" si="9"/>
        <v>2744.5</v>
      </c>
      <c r="W49" s="115">
        <f t="shared" si="9"/>
        <v>22</v>
      </c>
      <c r="X49" s="116">
        <f t="shared" si="9"/>
        <v>2605.4</v>
      </c>
      <c r="Y49" s="115">
        <f t="shared" si="9"/>
        <v>17</v>
      </c>
      <c r="Z49" s="116">
        <f t="shared" si="9"/>
        <v>2589.6</v>
      </c>
      <c r="AA49" s="115">
        <f t="shared" si="9"/>
        <v>13</v>
      </c>
      <c r="AB49" s="116">
        <f t="shared" si="9"/>
        <v>2284.4</v>
      </c>
      <c r="AC49" s="115">
        <f t="shared" si="9"/>
        <v>23</v>
      </c>
      <c r="AD49" s="116">
        <f t="shared" si="9"/>
        <v>3643.9</v>
      </c>
      <c r="AE49" s="115">
        <f t="shared" si="9"/>
        <v>18</v>
      </c>
      <c r="AF49" s="116">
        <f t="shared" si="9"/>
        <v>3041.8</v>
      </c>
      <c r="AG49" s="115">
        <f t="shared" si="9"/>
        <v>11</v>
      </c>
      <c r="AH49" s="116">
        <f t="shared" si="9"/>
        <v>1648.9</v>
      </c>
      <c r="AI49" s="115">
        <f t="shared" si="9"/>
        <v>18</v>
      </c>
      <c r="AJ49" s="116">
        <f t="shared" si="9"/>
        <v>2049.1</v>
      </c>
      <c r="AK49" s="115">
        <f t="shared" si="9"/>
        <v>15</v>
      </c>
      <c r="AL49" s="116">
        <f t="shared" si="9"/>
        <v>2796.2</v>
      </c>
      <c r="AM49" s="115">
        <f t="shared" si="9"/>
        <v>9</v>
      </c>
      <c r="AN49" s="116">
        <f t="shared" si="9"/>
        <v>632.79999999999995</v>
      </c>
      <c r="AO49" s="115">
        <f t="shared" si="9"/>
        <v>7</v>
      </c>
      <c r="AP49" s="116">
        <f t="shared" si="9"/>
        <v>701.3</v>
      </c>
      <c r="AQ49" s="115">
        <f t="shared" si="9"/>
        <v>21</v>
      </c>
      <c r="AR49" s="116">
        <f t="shared" si="9"/>
        <v>3304.7</v>
      </c>
      <c r="AS49" s="115">
        <f t="shared" si="9"/>
        <v>19</v>
      </c>
      <c r="AT49" s="116">
        <f t="shared" si="9"/>
        <v>4132.8</v>
      </c>
      <c r="AU49" s="115">
        <f t="shared" si="9"/>
        <v>13</v>
      </c>
      <c r="AV49" s="116">
        <f t="shared" si="9"/>
        <v>1157.3</v>
      </c>
      <c r="AW49" s="115">
        <f t="shared" si="9"/>
        <v>18</v>
      </c>
      <c r="AX49" s="116">
        <f t="shared" si="9"/>
        <v>2585.1999999999998</v>
      </c>
      <c r="AY49" s="115">
        <f t="shared" si="9"/>
        <v>15</v>
      </c>
      <c r="AZ49" s="116">
        <f t="shared" si="9"/>
        <v>2253.9</v>
      </c>
      <c r="BA49" s="115">
        <f t="shared" si="9"/>
        <v>19</v>
      </c>
      <c r="BB49" s="116">
        <f t="shared" si="9"/>
        <v>1977.2</v>
      </c>
      <c r="BC49" s="115">
        <f t="shared" si="9"/>
        <v>13</v>
      </c>
      <c r="BD49" s="116">
        <f t="shared" si="9"/>
        <v>899.1</v>
      </c>
      <c r="BE49" s="115">
        <f t="shared" si="9"/>
        <v>30</v>
      </c>
      <c r="BF49" s="116">
        <f t="shared" si="9"/>
        <v>3197.9</v>
      </c>
      <c r="BG49" s="115">
        <f t="shared" si="9"/>
        <v>13</v>
      </c>
      <c r="BH49" s="116">
        <f t="shared" si="9"/>
        <v>1792.4</v>
      </c>
      <c r="BI49" s="115">
        <f t="shared" si="9"/>
        <v>23</v>
      </c>
      <c r="BJ49" s="116">
        <f t="shared" si="9"/>
        <v>3357.9</v>
      </c>
      <c r="BK49" s="115">
        <f t="shared" si="9"/>
        <v>24</v>
      </c>
      <c r="BL49" s="116">
        <f t="shared" si="9"/>
        <v>3570.4</v>
      </c>
      <c r="BM49" s="117">
        <f t="shared" ref="BM49:BN49" si="10">SUM(BM47:BM48)</f>
        <v>520</v>
      </c>
      <c r="BN49" s="116">
        <f t="shared" si="10"/>
        <v>76304.3</v>
      </c>
      <c r="CA49" s="83"/>
      <c r="CB49" s="83"/>
      <c r="CC49" s="83"/>
      <c r="CD49" s="83"/>
      <c r="CE49" s="83"/>
      <c r="CF49" s="83"/>
      <c r="CG49" s="83"/>
      <c r="CH49" s="83"/>
      <c r="CI49" s="83"/>
      <c r="CJ49" s="83"/>
      <c r="CK49" s="83"/>
      <c r="CL49" s="83"/>
      <c r="CM49" s="83"/>
      <c r="CN49" s="83"/>
      <c r="CO49" s="83"/>
      <c r="CP49" s="83"/>
    </row>
    <row r="50" spans="1:94" x14ac:dyDescent="0.25">
      <c r="C50" s="118"/>
      <c r="D50" s="119"/>
      <c r="E50" s="118"/>
      <c r="F50" s="119"/>
      <c r="G50" s="118"/>
      <c r="H50" s="119"/>
      <c r="I50" s="118"/>
      <c r="J50" s="119"/>
      <c r="K50" s="118"/>
      <c r="L50" s="119"/>
      <c r="M50" s="118"/>
      <c r="N50" s="119"/>
      <c r="O50" s="118"/>
      <c r="P50" s="119"/>
      <c r="Q50" s="118"/>
      <c r="R50" s="119"/>
      <c r="S50" s="118"/>
      <c r="T50" s="119"/>
      <c r="U50" s="118"/>
      <c r="V50" s="119"/>
      <c r="W50" s="118"/>
      <c r="X50" s="119"/>
      <c r="Y50" s="118"/>
      <c r="Z50" s="119"/>
      <c r="AA50" s="118"/>
      <c r="AB50" s="119"/>
      <c r="AC50" s="118"/>
      <c r="AD50" s="119"/>
      <c r="AE50" s="118"/>
      <c r="AF50" s="119"/>
      <c r="AG50" s="118"/>
      <c r="AH50" s="119"/>
      <c r="AI50" s="118"/>
      <c r="AJ50" s="119"/>
      <c r="AK50" s="118"/>
      <c r="AL50" s="119"/>
      <c r="AM50" s="118"/>
      <c r="AN50" s="119"/>
      <c r="AO50" s="118"/>
      <c r="AP50" s="119"/>
      <c r="AQ50" s="118"/>
      <c r="AR50" s="119"/>
      <c r="AS50" s="118"/>
      <c r="AT50" s="119"/>
      <c r="AU50" s="118"/>
      <c r="AV50" s="119"/>
      <c r="AW50" s="118"/>
      <c r="AX50" s="119"/>
      <c r="AY50" s="118"/>
      <c r="AZ50" s="119"/>
      <c r="BA50" s="118"/>
      <c r="BB50" s="119"/>
      <c r="BC50" s="118"/>
      <c r="BD50" s="119"/>
      <c r="BE50" s="118"/>
      <c r="BF50" s="119"/>
      <c r="BG50" s="118"/>
      <c r="BH50" s="119"/>
      <c r="BI50" s="118"/>
      <c r="BJ50" s="119"/>
      <c r="BK50" s="118"/>
      <c r="BL50" s="119"/>
      <c r="BM50" s="120"/>
      <c r="BN50" s="119"/>
      <c r="CA50" s="83"/>
      <c r="CB50" s="83"/>
      <c r="CC50" s="83"/>
      <c r="CD50" s="83"/>
      <c r="CE50" s="83"/>
      <c r="CF50" s="83"/>
      <c r="CG50" s="83"/>
      <c r="CH50" s="83"/>
      <c r="CI50" s="83"/>
      <c r="CJ50" s="83"/>
      <c r="CK50" s="83"/>
      <c r="CL50" s="83"/>
      <c r="CM50" s="83"/>
      <c r="CN50" s="83"/>
      <c r="CO50" s="83"/>
      <c r="CP50" s="83"/>
    </row>
    <row r="51" spans="1:94" x14ac:dyDescent="0.25">
      <c r="A51" s="92" t="s">
        <v>41</v>
      </c>
      <c r="B51" s="93"/>
      <c r="C51" s="121"/>
      <c r="D51" s="122"/>
      <c r="E51" s="121"/>
      <c r="F51" s="122"/>
      <c r="G51" s="121"/>
      <c r="H51" s="122"/>
      <c r="I51" s="121"/>
      <c r="J51" s="122"/>
      <c r="K51" s="121"/>
      <c r="L51" s="122"/>
      <c r="M51" s="121"/>
      <c r="N51" s="122"/>
      <c r="O51" s="121"/>
      <c r="P51" s="122"/>
      <c r="Q51" s="121"/>
      <c r="R51" s="122"/>
      <c r="S51" s="121"/>
      <c r="T51" s="122"/>
      <c r="U51" s="121"/>
      <c r="V51" s="122"/>
      <c r="W51" s="121"/>
      <c r="X51" s="122"/>
      <c r="Y51" s="121"/>
      <c r="Z51" s="122"/>
      <c r="AA51" s="121"/>
      <c r="AB51" s="122"/>
      <c r="AC51" s="121"/>
      <c r="AD51" s="122"/>
      <c r="AE51" s="121"/>
      <c r="AF51" s="122"/>
      <c r="AG51" s="121"/>
      <c r="AH51" s="122"/>
      <c r="AI51" s="121"/>
      <c r="AJ51" s="122"/>
      <c r="AK51" s="121"/>
      <c r="AL51" s="122"/>
      <c r="AM51" s="121"/>
      <c r="AN51" s="122"/>
      <c r="AO51" s="121"/>
      <c r="AP51" s="122"/>
      <c r="AQ51" s="121"/>
      <c r="AR51" s="122"/>
      <c r="AS51" s="121"/>
      <c r="AT51" s="122"/>
      <c r="AU51" s="121"/>
      <c r="AV51" s="122"/>
      <c r="AW51" s="121"/>
      <c r="AX51" s="122"/>
      <c r="AY51" s="121"/>
      <c r="AZ51" s="122"/>
      <c r="BA51" s="121"/>
      <c r="BB51" s="122"/>
      <c r="BC51" s="121"/>
      <c r="BD51" s="122"/>
      <c r="BE51" s="121"/>
      <c r="BF51" s="122"/>
      <c r="BG51" s="121"/>
      <c r="BH51" s="122"/>
      <c r="BI51" s="121"/>
      <c r="BJ51" s="122"/>
      <c r="BK51" s="121"/>
      <c r="BL51" s="122"/>
      <c r="BM51" s="123"/>
      <c r="BN51" s="122"/>
      <c r="CA51" s="83"/>
      <c r="CB51" s="83"/>
      <c r="CC51" s="83"/>
      <c r="CD51" s="83"/>
      <c r="CE51" s="83"/>
      <c r="CF51" s="83"/>
      <c r="CG51" s="83"/>
      <c r="CH51" s="83"/>
      <c r="CI51" s="83"/>
      <c r="CJ51" s="83"/>
      <c r="CK51" s="83"/>
      <c r="CL51" s="83"/>
      <c r="CM51" s="83"/>
      <c r="CN51" s="83"/>
      <c r="CO51" s="83"/>
      <c r="CP51" s="83"/>
    </row>
    <row r="52" spans="1:94" x14ac:dyDescent="0.25">
      <c r="A52" s="103" t="s">
        <v>42</v>
      </c>
      <c r="B52" s="98" t="s">
        <v>9</v>
      </c>
      <c r="C52" s="112">
        <v>1</v>
      </c>
      <c r="D52" s="113">
        <v>360.4</v>
      </c>
      <c r="E52" s="112">
        <v>0</v>
      </c>
      <c r="F52" s="113">
        <v>0</v>
      </c>
      <c r="G52" s="112">
        <v>0</v>
      </c>
      <c r="H52" s="113">
        <v>0</v>
      </c>
      <c r="I52" s="112">
        <v>0</v>
      </c>
      <c r="J52" s="113">
        <v>0</v>
      </c>
      <c r="K52" s="112">
        <v>0</v>
      </c>
      <c r="L52" s="113">
        <v>0</v>
      </c>
      <c r="M52" s="112">
        <v>1</v>
      </c>
      <c r="N52" s="113">
        <v>699.4</v>
      </c>
      <c r="O52" s="112">
        <v>1</v>
      </c>
      <c r="P52" s="113">
        <v>1000</v>
      </c>
      <c r="Q52" s="112">
        <v>0</v>
      </c>
      <c r="R52" s="113">
        <v>0</v>
      </c>
      <c r="S52" s="112">
        <v>1</v>
      </c>
      <c r="T52" s="113">
        <v>359.7</v>
      </c>
      <c r="U52" s="112">
        <v>1</v>
      </c>
      <c r="V52" s="113">
        <v>1300</v>
      </c>
      <c r="W52" s="112">
        <v>2</v>
      </c>
      <c r="X52" s="113">
        <v>1289.5</v>
      </c>
      <c r="Y52" s="112">
        <v>0</v>
      </c>
      <c r="Z52" s="113">
        <v>0</v>
      </c>
      <c r="AA52" s="112">
        <v>0</v>
      </c>
      <c r="AB52" s="113">
        <v>0</v>
      </c>
      <c r="AC52" s="112">
        <v>1</v>
      </c>
      <c r="AD52" s="113">
        <v>1000</v>
      </c>
      <c r="AE52" s="112">
        <v>1</v>
      </c>
      <c r="AF52" s="113">
        <v>750</v>
      </c>
      <c r="AG52" s="112">
        <v>0</v>
      </c>
      <c r="AH52" s="113">
        <v>0</v>
      </c>
      <c r="AI52" s="112">
        <v>1</v>
      </c>
      <c r="AJ52" s="113">
        <v>569.70000000000005</v>
      </c>
      <c r="AK52" s="112">
        <v>0</v>
      </c>
      <c r="AL52" s="113">
        <v>0</v>
      </c>
      <c r="AM52" s="112">
        <v>0</v>
      </c>
      <c r="AN52" s="113">
        <v>0</v>
      </c>
      <c r="AO52" s="112">
        <v>0</v>
      </c>
      <c r="AP52" s="113">
        <v>0</v>
      </c>
      <c r="AQ52" s="112">
        <v>0</v>
      </c>
      <c r="AR52" s="113">
        <v>0</v>
      </c>
      <c r="AS52" s="112">
        <v>0</v>
      </c>
      <c r="AT52" s="113">
        <v>0</v>
      </c>
      <c r="AU52" s="112">
        <v>1</v>
      </c>
      <c r="AV52" s="113">
        <v>695.9</v>
      </c>
      <c r="AW52" s="112">
        <v>0</v>
      </c>
      <c r="AX52" s="113">
        <v>0</v>
      </c>
      <c r="AY52" s="112">
        <v>0</v>
      </c>
      <c r="AZ52" s="113">
        <v>0</v>
      </c>
      <c r="BA52" s="112">
        <v>0</v>
      </c>
      <c r="BB52" s="113">
        <v>0</v>
      </c>
      <c r="BC52" s="112">
        <v>1</v>
      </c>
      <c r="BD52" s="113">
        <v>543.20000000000005</v>
      </c>
      <c r="BE52" s="112">
        <v>1</v>
      </c>
      <c r="BF52" s="113">
        <v>800</v>
      </c>
      <c r="BG52" s="112">
        <v>0</v>
      </c>
      <c r="BH52" s="113">
        <v>0</v>
      </c>
      <c r="BI52" s="112">
        <v>0</v>
      </c>
      <c r="BJ52" s="113">
        <v>0</v>
      </c>
      <c r="BK52" s="112">
        <v>2</v>
      </c>
      <c r="BL52" s="113">
        <v>1286.5</v>
      </c>
      <c r="BM52" s="114" cm="1">
        <f t="array" ref="BM52">SUMPRODUCT((MOD(COLUMN(C52:BL52)-COLUMN(C52),2)=0)*C52:BL52)</f>
        <v>15</v>
      </c>
      <c r="BN52" s="113" cm="1">
        <f t="array" ref="BN52">SUMPRODUCT((MOD(COLUMN(D52:BM52)-COLUMN(D52),2)=0)*D52:BM52)</f>
        <v>10654.3</v>
      </c>
      <c r="CA52" s="83"/>
      <c r="CB52" s="83"/>
      <c r="CC52" s="83"/>
      <c r="CD52" s="83"/>
      <c r="CE52" s="83"/>
      <c r="CF52" s="83"/>
      <c r="CG52" s="83"/>
      <c r="CH52" s="83"/>
      <c r="CI52" s="83"/>
      <c r="CJ52" s="83"/>
      <c r="CK52" s="83"/>
      <c r="CL52" s="83"/>
      <c r="CM52" s="83"/>
      <c r="CN52" s="83"/>
      <c r="CO52" s="83"/>
      <c r="CP52" s="83"/>
    </row>
    <row r="53" spans="1:94" x14ac:dyDescent="0.25">
      <c r="A53" s="103" t="s">
        <v>43</v>
      </c>
      <c r="B53" s="98" t="s">
        <v>9</v>
      </c>
      <c r="C53" s="112">
        <v>0</v>
      </c>
      <c r="D53" s="113">
        <v>0</v>
      </c>
      <c r="E53" s="112">
        <v>0</v>
      </c>
      <c r="F53" s="113">
        <v>0</v>
      </c>
      <c r="G53" s="112">
        <v>0</v>
      </c>
      <c r="H53" s="113">
        <v>0</v>
      </c>
      <c r="I53" s="112">
        <v>0</v>
      </c>
      <c r="J53" s="113">
        <v>0</v>
      </c>
      <c r="K53" s="112">
        <v>0</v>
      </c>
      <c r="L53" s="113">
        <v>0</v>
      </c>
      <c r="M53" s="112">
        <v>0</v>
      </c>
      <c r="N53" s="113">
        <v>0</v>
      </c>
      <c r="O53" s="112">
        <v>0</v>
      </c>
      <c r="P53" s="113">
        <v>0</v>
      </c>
      <c r="Q53" s="112">
        <v>0</v>
      </c>
      <c r="R53" s="113">
        <v>0</v>
      </c>
      <c r="S53" s="112">
        <v>0</v>
      </c>
      <c r="T53" s="113">
        <v>0</v>
      </c>
      <c r="U53" s="112">
        <v>0</v>
      </c>
      <c r="V53" s="113">
        <v>0</v>
      </c>
      <c r="W53" s="112">
        <v>0</v>
      </c>
      <c r="X53" s="113">
        <v>0</v>
      </c>
      <c r="Y53" s="112">
        <v>0</v>
      </c>
      <c r="Z53" s="113">
        <v>0</v>
      </c>
      <c r="AA53" s="112">
        <v>0</v>
      </c>
      <c r="AB53" s="113">
        <v>0</v>
      </c>
      <c r="AC53" s="112">
        <v>0</v>
      </c>
      <c r="AD53" s="113">
        <v>0</v>
      </c>
      <c r="AE53" s="112">
        <v>0</v>
      </c>
      <c r="AF53" s="113">
        <v>0</v>
      </c>
      <c r="AG53" s="112">
        <v>0</v>
      </c>
      <c r="AH53" s="113">
        <v>0</v>
      </c>
      <c r="AI53" s="112">
        <v>0</v>
      </c>
      <c r="AJ53" s="113">
        <v>0</v>
      </c>
      <c r="AK53" s="112">
        <v>0</v>
      </c>
      <c r="AL53" s="113">
        <v>0</v>
      </c>
      <c r="AM53" s="112">
        <v>0</v>
      </c>
      <c r="AN53" s="113">
        <v>0</v>
      </c>
      <c r="AO53" s="112">
        <v>0</v>
      </c>
      <c r="AP53" s="113">
        <v>0</v>
      </c>
      <c r="AQ53" s="112">
        <v>0</v>
      </c>
      <c r="AR53" s="113">
        <v>0</v>
      </c>
      <c r="AS53" s="112">
        <v>0</v>
      </c>
      <c r="AT53" s="113">
        <v>0</v>
      </c>
      <c r="AU53" s="112">
        <v>0</v>
      </c>
      <c r="AV53" s="113">
        <v>0</v>
      </c>
      <c r="AW53" s="112">
        <v>0</v>
      </c>
      <c r="AX53" s="113">
        <v>0</v>
      </c>
      <c r="AY53" s="112">
        <v>0</v>
      </c>
      <c r="AZ53" s="113">
        <v>0</v>
      </c>
      <c r="BA53" s="112">
        <v>0</v>
      </c>
      <c r="BB53" s="113">
        <v>0</v>
      </c>
      <c r="BC53" s="112">
        <v>0</v>
      </c>
      <c r="BD53" s="113">
        <v>0</v>
      </c>
      <c r="BE53" s="112">
        <v>0</v>
      </c>
      <c r="BF53" s="113">
        <v>0</v>
      </c>
      <c r="BG53" s="112">
        <v>0</v>
      </c>
      <c r="BH53" s="113">
        <v>0</v>
      </c>
      <c r="BI53" s="112">
        <v>0</v>
      </c>
      <c r="BJ53" s="113">
        <v>0</v>
      </c>
      <c r="BK53" s="112">
        <v>0</v>
      </c>
      <c r="BL53" s="113">
        <v>0</v>
      </c>
      <c r="BM53" s="114" cm="1">
        <f t="array" ref="BM53">SUMPRODUCT((MOD(COLUMN(C53:BL53)-COLUMN(C53),2)=0)*C53:BL53)</f>
        <v>0</v>
      </c>
      <c r="BN53" s="113" cm="1">
        <f t="array" ref="BN53">SUMPRODUCT((MOD(COLUMN(D53:BM53)-COLUMN(D53),2)=0)*D53:BM53)</f>
        <v>0</v>
      </c>
      <c r="CA53" s="83"/>
      <c r="CB53" s="83"/>
      <c r="CC53" s="83"/>
      <c r="CD53" s="83"/>
      <c r="CE53" s="83"/>
      <c r="CF53" s="83"/>
      <c r="CG53" s="83"/>
      <c r="CH53" s="83"/>
      <c r="CI53" s="83"/>
      <c r="CJ53" s="83"/>
      <c r="CK53" s="83"/>
      <c r="CL53" s="83"/>
      <c r="CM53" s="83"/>
      <c r="CN53" s="83"/>
      <c r="CO53" s="83"/>
      <c r="CP53" s="83"/>
    </row>
    <row r="54" spans="1:94" x14ac:dyDescent="0.25">
      <c r="A54" s="103" t="s">
        <v>44</v>
      </c>
      <c r="B54" s="98" t="s">
        <v>9</v>
      </c>
      <c r="C54" s="112">
        <v>4</v>
      </c>
      <c r="D54" s="113">
        <v>2753.7</v>
      </c>
      <c r="E54" s="112">
        <v>1</v>
      </c>
      <c r="F54" s="113">
        <v>300</v>
      </c>
      <c r="G54" s="112">
        <v>1</v>
      </c>
      <c r="H54" s="113">
        <v>200</v>
      </c>
      <c r="I54" s="112">
        <v>5</v>
      </c>
      <c r="J54" s="113">
        <v>2056.9</v>
      </c>
      <c r="K54" s="112">
        <v>2</v>
      </c>
      <c r="L54" s="113">
        <v>596.70000000000005</v>
      </c>
      <c r="M54" s="112">
        <v>1</v>
      </c>
      <c r="N54" s="113">
        <v>500</v>
      </c>
      <c r="O54" s="112">
        <v>1</v>
      </c>
      <c r="P54" s="113">
        <v>500</v>
      </c>
      <c r="Q54" s="112">
        <v>2</v>
      </c>
      <c r="R54" s="113">
        <v>292.2</v>
      </c>
      <c r="S54" s="112">
        <v>4</v>
      </c>
      <c r="T54" s="113">
        <v>5285.8</v>
      </c>
      <c r="U54" s="112">
        <v>2</v>
      </c>
      <c r="V54" s="113">
        <v>1700</v>
      </c>
      <c r="W54" s="112">
        <v>3</v>
      </c>
      <c r="X54" s="113">
        <v>890.9</v>
      </c>
      <c r="Y54" s="112">
        <v>1</v>
      </c>
      <c r="Z54" s="113">
        <v>465.5</v>
      </c>
      <c r="AA54" s="112">
        <v>1</v>
      </c>
      <c r="AB54" s="113">
        <v>200</v>
      </c>
      <c r="AC54" s="112">
        <v>4</v>
      </c>
      <c r="AD54" s="113">
        <v>1790.7</v>
      </c>
      <c r="AE54" s="112">
        <v>3</v>
      </c>
      <c r="AF54" s="113">
        <v>796.5</v>
      </c>
      <c r="AG54" s="112">
        <v>1</v>
      </c>
      <c r="AH54" s="113">
        <v>500</v>
      </c>
      <c r="AI54" s="112">
        <v>4</v>
      </c>
      <c r="AJ54" s="113">
        <v>1350.5</v>
      </c>
      <c r="AK54" s="112">
        <v>4</v>
      </c>
      <c r="AL54" s="113">
        <v>887.8</v>
      </c>
      <c r="AM54" s="112">
        <v>4</v>
      </c>
      <c r="AN54" s="113">
        <v>1728</v>
      </c>
      <c r="AO54" s="112">
        <v>0</v>
      </c>
      <c r="AP54" s="113">
        <v>0</v>
      </c>
      <c r="AQ54" s="112">
        <v>0</v>
      </c>
      <c r="AR54" s="113">
        <v>0</v>
      </c>
      <c r="AS54" s="112">
        <v>0</v>
      </c>
      <c r="AT54" s="113">
        <v>0</v>
      </c>
      <c r="AU54" s="112">
        <v>3</v>
      </c>
      <c r="AV54" s="113">
        <v>1878.7</v>
      </c>
      <c r="AW54" s="112">
        <v>1</v>
      </c>
      <c r="AX54" s="113">
        <v>500</v>
      </c>
      <c r="AY54" s="112">
        <v>3</v>
      </c>
      <c r="AZ54" s="113">
        <v>562.5</v>
      </c>
      <c r="BA54" s="112">
        <v>2</v>
      </c>
      <c r="BB54" s="113">
        <v>578.5</v>
      </c>
      <c r="BC54" s="112">
        <v>1</v>
      </c>
      <c r="BD54" s="113">
        <v>216.7</v>
      </c>
      <c r="BE54" s="112">
        <v>4</v>
      </c>
      <c r="BF54" s="113">
        <v>2372.1999999999998</v>
      </c>
      <c r="BG54" s="112">
        <v>2</v>
      </c>
      <c r="BH54" s="113">
        <v>656.2</v>
      </c>
      <c r="BI54" s="112">
        <v>2</v>
      </c>
      <c r="BJ54" s="113">
        <v>1000</v>
      </c>
      <c r="BK54" s="112">
        <v>4</v>
      </c>
      <c r="BL54" s="113">
        <v>2044.7</v>
      </c>
      <c r="BM54" s="114" cm="1">
        <f t="array" ref="BM54">SUMPRODUCT((MOD(COLUMN(C54:BL54)-COLUMN(C54),2)=0)*C54:BL54)</f>
        <v>70</v>
      </c>
      <c r="BN54" s="113" cm="1">
        <f t="array" ref="BN54">SUMPRODUCT((MOD(COLUMN(D54:BM54)-COLUMN(D54),2)=0)*D54:BM54)</f>
        <v>32604.7</v>
      </c>
      <c r="CA54" s="83"/>
      <c r="CB54" s="83"/>
      <c r="CC54" s="83"/>
      <c r="CD54" s="83"/>
      <c r="CE54" s="83"/>
      <c r="CF54" s="83"/>
      <c r="CG54" s="83"/>
      <c r="CH54" s="83"/>
      <c r="CI54" s="83"/>
      <c r="CJ54" s="83"/>
      <c r="CK54" s="83"/>
      <c r="CL54" s="83"/>
      <c r="CM54" s="83"/>
      <c r="CN54" s="83"/>
      <c r="CO54" s="83"/>
      <c r="CP54" s="83"/>
    </row>
    <row r="55" spans="1:94" x14ac:dyDescent="0.25">
      <c r="A55" s="100" t="s">
        <v>45</v>
      </c>
      <c r="B55" s="104"/>
      <c r="C55" s="127">
        <f>SUM(C52:C54)</f>
        <v>5</v>
      </c>
      <c r="D55" s="127">
        <f>SUM(D52:D54)</f>
        <v>3114.1</v>
      </c>
      <c r="E55" s="127">
        <f t="shared" ref="E55:BN55" si="11">SUM(E52:E54)</f>
        <v>1</v>
      </c>
      <c r="F55" s="127">
        <f t="shared" si="11"/>
        <v>300</v>
      </c>
      <c r="G55" s="127">
        <f t="shared" si="11"/>
        <v>1</v>
      </c>
      <c r="H55" s="127">
        <f t="shared" si="11"/>
        <v>200</v>
      </c>
      <c r="I55" s="127">
        <f t="shared" si="11"/>
        <v>5</v>
      </c>
      <c r="J55" s="127">
        <f t="shared" si="11"/>
        <v>2056.9</v>
      </c>
      <c r="K55" s="127">
        <f t="shared" si="11"/>
        <v>2</v>
      </c>
      <c r="L55" s="127">
        <f t="shared" si="11"/>
        <v>596.70000000000005</v>
      </c>
      <c r="M55" s="127">
        <f t="shared" si="11"/>
        <v>2</v>
      </c>
      <c r="N55" s="127">
        <f t="shared" si="11"/>
        <v>1199.4000000000001</v>
      </c>
      <c r="O55" s="127">
        <f t="shared" si="11"/>
        <v>2</v>
      </c>
      <c r="P55" s="127">
        <f t="shared" si="11"/>
        <v>1500</v>
      </c>
      <c r="Q55" s="127">
        <f t="shared" si="11"/>
        <v>2</v>
      </c>
      <c r="R55" s="127">
        <f t="shared" si="11"/>
        <v>292.2</v>
      </c>
      <c r="S55" s="127">
        <f t="shared" si="11"/>
        <v>5</v>
      </c>
      <c r="T55" s="127">
        <f t="shared" si="11"/>
        <v>5645.5</v>
      </c>
      <c r="U55" s="127">
        <f t="shared" si="11"/>
        <v>3</v>
      </c>
      <c r="V55" s="127">
        <f t="shared" si="11"/>
        <v>3000</v>
      </c>
      <c r="W55" s="127">
        <f t="shared" si="11"/>
        <v>5</v>
      </c>
      <c r="X55" s="127">
        <f t="shared" si="11"/>
        <v>2180.4</v>
      </c>
      <c r="Y55" s="127">
        <f t="shared" si="11"/>
        <v>1</v>
      </c>
      <c r="Z55" s="127">
        <f t="shared" si="11"/>
        <v>465.5</v>
      </c>
      <c r="AA55" s="127">
        <f t="shared" si="11"/>
        <v>1</v>
      </c>
      <c r="AB55" s="127">
        <f t="shared" si="11"/>
        <v>200</v>
      </c>
      <c r="AC55" s="127">
        <f t="shared" si="11"/>
        <v>5</v>
      </c>
      <c r="AD55" s="127">
        <f t="shared" si="11"/>
        <v>2790.7</v>
      </c>
      <c r="AE55" s="127">
        <f t="shared" si="11"/>
        <v>4</v>
      </c>
      <c r="AF55" s="127">
        <f t="shared" si="11"/>
        <v>1546.5</v>
      </c>
      <c r="AG55" s="127">
        <f t="shared" si="11"/>
        <v>1</v>
      </c>
      <c r="AH55" s="127">
        <f t="shared" si="11"/>
        <v>500</v>
      </c>
      <c r="AI55" s="127">
        <f t="shared" si="11"/>
        <v>5</v>
      </c>
      <c r="AJ55" s="127">
        <f t="shared" si="11"/>
        <v>1920.2</v>
      </c>
      <c r="AK55" s="127">
        <f t="shared" si="11"/>
        <v>4</v>
      </c>
      <c r="AL55" s="127">
        <f t="shared" si="11"/>
        <v>887.8</v>
      </c>
      <c r="AM55" s="127">
        <f t="shared" si="11"/>
        <v>4</v>
      </c>
      <c r="AN55" s="127">
        <f t="shared" si="11"/>
        <v>1728</v>
      </c>
      <c r="AO55" s="127">
        <f t="shared" si="11"/>
        <v>0</v>
      </c>
      <c r="AP55" s="127">
        <f t="shared" si="11"/>
        <v>0</v>
      </c>
      <c r="AQ55" s="127">
        <f t="shared" si="11"/>
        <v>0</v>
      </c>
      <c r="AR55" s="127">
        <f t="shared" si="11"/>
        <v>0</v>
      </c>
      <c r="AS55" s="127">
        <f t="shared" si="11"/>
        <v>0</v>
      </c>
      <c r="AT55" s="127">
        <f t="shared" si="11"/>
        <v>0</v>
      </c>
      <c r="AU55" s="127">
        <f t="shared" si="11"/>
        <v>4</v>
      </c>
      <c r="AV55" s="127">
        <f t="shared" si="11"/>
        <v>2574.6</v>
      </c>
      <c r="AW55" s="127">
        <f t="shared" si="11"/>
        <v>1</v>
      </c>
      <c r="AX55" s="127">
        <f t="shared" si="11"/>
        <v>500</v>
      </c>
      <c r="AY55" s="127">
        <f t="shared" si="11"/>
        <v>3</v>
      </c>
      <c r="AZ55" s="127">
        <f t="shared" si="11"/>
        <v>562.5</v>
      </c>
      <c r="BA55" s="127">
        <f t="shared" si="11"/>
        <v>2</v>
      </c>
      <c r="BB55" s="127">
        <f t="shared" si="11"/>
        <v>578.5</v>
      </c>
      <c r="BC55" s="127">
        <f t="shared" si="11"/>
        <v>2</v>
      </c>
      <c r="BD55" s="127">
        <f t="shared" si="11"/>
        <v>759.90000000000009</v>
      </c>
      <c r="BE55" s="127">
        <f t="shared" si="11"/>
        <v>5</v>
      </c>
      <c r="BF55" s="127">
        <f t="shared" si="11"/>
        <v>3172.2</v>
      </c>
      <c r="BG55" s="127">
        <f t="shared" si="11"/>
        <v>2</v>
      </c>
      <c r="BH55" s="127">
        <f t="shared" si="11"/>
        <v>656.2</v>
      </c>
      <c r="BI55" s="127">
        <f t="shared" si="11"/>
        <v>2</v>
      </c>
      <c r="BJ55" s="127">
        <f t="shared" si="11"/>
        <v>1000</v>
      </c>
      <c r="BK55" s="127">
        <f t="shared" si="11"/>
        <v>6</v>
      </c>
      <c r="BL55" s="127">
        <f t="shared" si="11"/>
        <v>3331.2</v>
      </c>
      <c r="BM55" s="128">
        <f t="shared" si="11"/>
        <v>85</v>
      </c>
      <c r="BN55" s="127">
        <f t="shared" si="11"/>
        <v>43259</v>
      </c>
      <c r="CA55" s="83"/>
      <c r="CB55" s="83"/>
      <c r="CC55" s="83"/>
      <c r="CD55" s="83"/>
      <c r="CE55" s="83"/>
      <c r="CF55" s="83"/>
      <c r="CG55" s="83"/>
      <c r="CH55" s="83"/>
      <c r="CI55" s="83"/>
      <c r="CJ55" s="83"/>
      <c r="CK55" s="83"/>
      <c r="CL55" s="83"/>
      <c r="CM55" s="83"/>
      <c r="CN55" s="83"/>
      <c r="CO55" s="83"/>
      <c r="CP55" s="83"/>
    </row>
    <row r="56" spans="1:94" ht="13.5" thickBot="1" x14ac:dyDescent="0.3">
      <c r="A56" s="105"/>
      <c r="B56" s="106"/>
      <c r="C56" s="129"/>
      <c r="D56" s="130"/>
      <c r="E56" s="129"/>
      <c r="F56" s="130"/>
      <c r="G56" s="129"/>
      <c r="H56" s="130"/>
      <c r="I56" s="129"/>
      <c r="J56" s="130"/>
      <c r="K56" s="129"/>
      <c r="L56" s="130"/>
      <c r="M56" s="129"/>
      <c r="N56" s="130"/>
      <c r="O56" s="129"/>
      <c r="P56" s="130"/>
      <c r="Q56" s="129"/>
      <c r="R56" s="130"/>
      <c r="S56" s="129"/>
      <c r="T56" s="130"/>
      <c r="U56" s="129"/>
      <c r="V56" s="130"/>
      <c r="W56" s="129"/>
      <c r="X56" s="130"/>
      <c r="Y56" s="129"/>
      <c r="Z56" s="130"/>
      <c r="AA56" s="129"/>
      <c r="AB56" s="130"/>
      <c r="AC56" s="129"/>
      <c r="AD56" s="130"/>
      <c r="AE56" s="129"/>
      <c r="AF56" s="130"/>
      <c r="AG56" s="129"/>
      <c r="AH56" s="130"/>
      <c r="AI56" s="129"/>
      <c r="AJ56" s="130"/>
      <c r="AK56" s="129"/>
      <c r="AL56" s="130"/>
      <c r="AM56" s="129"/>
      <c r="AN56" s="130"/>
      <c r="AO56" s="129"/>
      <c r="AP56" s="130"/>
      <c r="AQ56" s="129"/>
      <c r="AR56" s="130"/>
      <c r="AS56" s="129"/>
      <c r="AT56" s="130"/>
      <c r="AU56" s="129"/>
      <c r="AV56" s="130"/>
      <c r="AW56" s="129"/>
      <c r="AX56" s="130"/>
      <c r="AY56" s="129"/>
      <c r="AZ56" s="130"/>
      <c r="BA56" s="129"/>
      <c r="BB56" s="130"/>
      <c r="BC56" s="129"/>
      <c r="BD56" s="130"/>
      <c r="BE56" s="129"/>
      <c r="BF56" s="130"/>
      <c r="BG56" s="129"/>
      <c r="BH56" s="130"/>
      <c r="BI56" s="129"/>
      <c r="BJ56" s="130"/>
      <c r="BK56" s="129"/>
      <c r="BL56" s="130"/>
      <c r="BM56" s="131"/>
      <c r="BN56" s="130"/>
      <c r="CA56" s="83"/>
      <c r="CB56" s="83"/>
      <c r="CC56" s="83"/>
      <c r="CD56" s="83"/>
      <c r="CE56" s="83"/>
      <c r="CF56" s="83"/>
      <c r="CG56" s="83"/>
      <c r="CH56" s="83"/>
      <c r="CI56" s="83"/>
      <c r="CJ56" s="83"/>
      <c r="CK56" s="83"/>
      <c r="CL56" s="83"/>
      <c r="CM56" s="83"/>
      <c r="CN56" s="83"/>
      <c r="CO56" s="83"/>
      <c r="CP56" s="83"/>
    </row>
    <row r="57" spans="1:94" x14ac:dyDescent="0.25">
      <c r="A57" s="103" t="s">
        <v>46</v>
      </c>
      <c r="C57" s="124">
        <f t="shared" ref="C57:BN57" si="12">SUM(C55,C49,C44,C39,C32,C26,C17)</f>
        <v>202</v>
      </c>
      <c r="D57" s="125">
        <f t="shared" si="12"/>
        <v>98649.5</v>
      </c>
      <c r="E57" s="124">
        <f t="shared" si="12"/>
        <v>180</v>
      </c>
      <c r="F57" s="125">
        <f t="shared" si="12"/>
        <v>71895</v>
      </c>
      <c r="G57" s="124">
        <f t="shared" si="12"/>
        <v>264</v>
      </c>
      <c r="H57" s="125">
        <f t="shared" si="12"/>
        <v>105198.29999999999</v>
      </c>
      <c r="I57" s="124">
        <f t="shared" si="12"/>
        <v>243</v>
      </c>
      <c r="J57" s="125">
        <f t="shared" si="12"/>
        <v>121001.40000000001</v>
      </c>
      <c r="K57" s="124">
        <f t="shared" si="12"/>
        <v>253</v>
      </c>
      <c r="L57" s="125">
        <f t="shared" si="12"/>
        <v>108318.6</v>
      </c>
      <c r="M57" s="124">
        <f t="shared" si="12"/>
        <v>242</v>
      </c>
      <c r="N57" s="125">
        <f t="shared" si="12"/>
        <v>113399.8</v>
      </c>
      <c r="O57" s="124">
        <f t="shared" si="12"/>
        <v>195</v>
      </c>
      <c r="P57" s="125">
        <f t="shared" si="12"/>
        <v>67705.2</v>
      </c>
      <c r="Q57" s="124">
        <f t="shared" si="12"/>
        <v>246</v>
      </c>
      <c r="R57" s="125">
        <f t="shared" si="12"/>
        <v>116930.1</v>
      </c>
      <c r="S57" s="124">
        <f t="shared" si="12"/>
        <v>183</v>
      </c>
      <c r="T57" s="125">
        <f t="shared" si="12"/>
        <v>75884.399999999994</v>
      </c>
      <c r="U57" s="124">
        <f t="shared" si="12"/>
        <v>240</v>
      </c>
      <c r="V57" s="125">
        <f t="shared" si="12"/>
        <v>105113.59999999999</v>
      </c>
      <c r="W57" s="124">
        <f t="shared" si="12"/>
        <v>231</v>
      </c>
      <c r="X57" s="125">
        <f t="shared" si="12"/>
        <v>114907.2</v>
      </c>
      <c r="Y57" s="124">
        <f t="shared" si="12"/>
        <v>260</v>
      </c>
      <c r="Z57" s="125">
        <f t="shared" si="12"/>
        <v>118700.8</v>
      </c>
      <c r="AA57" s="124">
        <f t="shared" si="12"/>
        <v>211</v>
      </c>
      <c r="AB57" s="125">
        <f t="shared" si="12"/>
        <v>97499.5</v>
      </c>
      <c r="AC57" s="124">
        <f t="shared" si="12"/>
        <v>176</v>
      </c>
      <c r="AD57" s="125">
        <f t="shared" si="12"/>
        <v>58991.799999999996</v>
      </c>
      <c r="AE57" s="124">
        <f t="shared" si="12"/>
        <v>240</v>
      </c>
      <c r="AF57" s="125">
        <f t="shared" si="12"/>
        <v>110502.09999999999</v>
      </c>
      <c r="AG57" s="124">
        <f t="shared" si="12"/>
        <v>182</v>
      </c>
      <c r="AH57" s="125">
        <f t="shared" si="12"/>
        <v>73518.899999999994</v>
      </c>
      <c r="AI57" s="124">
        <f t="shared" si="12"/>
        <v>296</v>
      </c>
      <c r="AJ57" s="125">
        <f t="shared" si="12"/>
        <v>125217.19999999998</v>
      </c>
      <c r="AK57" s="124">
        <f t="shared" si="12"/>
        <v>238</v>
      </c>
      <c r="AL57" s="125">
        <f t="shared" si="12"/>
        <v>116022.6</v>
      </c>
      <c r="AM57" s="124">
        <f t="shared" si="12"/>
        <v>260</v>
      </c>
      <c r="AN57" s="125">
        <f t="shared" si="12"/>
        <v>133313.20000000001</v>
      </c>
      <c r="AO57" s="124">
        <f t="shared" si="12"/>
        <v>45</v>
      </c>
      <c r="AP57" s="125">
        <f t="shared" si="12"/>
        <v>18106.900000000001</v>
      </c>
      <c r="AQ57" s="124">
        <f t="shared" si="12"/>
        <v>199</v>
      </c>
      <c r="AR57" s="125">
        <f t="shared" si="12"/>
        <v>79562.2</v>
      </c>
      <c r="AS57" s="124">
        <f t="shared" si="12"/>
        <v>232</v>
      </c>
      <c r="AT57" s="125">
        <f t="shared" si="12"/>
        <v>104524.9</v>
      </c>
      <c r="AU57" s="124">
        <f t="shared" si="12"/>
        <v>182</v>
      </c>
      <c r="AV57" s="125">
        <f t="shared" si="12"/>
        <v>64272.399999999994</v>
      </c>
      <c r="AW57" s="124">
        <f t="shared" si="12"/>
        <v>253</v>
      </c>
      <c r="AX57" s="125">
        <f t="shared" si="12"/>
        <v>96196.200000000012</v>
      </c>
      <c r="AY57" s="124">
        <f t="shared" si="12"/>
        <v>215</v>
      </c>
      <c r="AZ57" s="125">
        <f t="shared" si="12"/>
        <v>100674.6</v>
      </c>
      <c r="BA57" s="124">
        <f t="shared" si="12"/>
        <v>252</v>
      </c>
      <c r="BB57" s="125">
        <f t="shared" si="12"/>
        <v>109100.2</v>
      </c>
      <c r="BC57" s="124">
        <f t="shared" si="12"/>
        <v>225</v>
      </c>
      <c r="BD57" s="125">
        <f t="shared" si="12"/>
        <v>97565.4</v>
      </c>
      <c r="BE57" s="124">
        <f t="shared" si="12"/>
        <v>204</v>
      </c>
      <c r="BF57" s="125">
        <f t="shared" si="12"/>
        <v>73592</v>
      </c>
      <c r="BG57" s="124">
        <f t="shared" si="12"/>
        <v>219</v>
      </c>
      <c r="BH57" s="125">
        <f t="shared" si="12"/>
        <v>104504.40000000001</v>
      </c>
      <c r="BI57" s="124">
        <f t="shared" si="12"/>
        <v>204</v>
      </c>
      <c r="BJ57" s="125">
        <f t="shared" si="12"/>
        <v>73378.8</v>
      </c>
      <c r="BK57" s="124">
        <f t="shared" si="12"/>
        <v>269</v>
      </c>
      <c r="BL57" s="125">
        <f t="shared" si="12"/>
        <v>107632.5</v>
      </c>
      <c r="BM57" s="126">
        <f t="shared" si="12"/>
        <v>6841</v>
      </c>
      <c r="BN57" s="125">
        <f t="shared" si="12"/>
        <v>2961879.7</v>
      </c>
      <c r="BO57" s="102"/>
      <c r="BP57" s="102"/>
      <c r="BQ57" s="102"/>
      <c r="BR57" s="102"/>
      <c r="BS57" s="102"/>
      <c r="BT57" s="102"/>
      <c r="BU57" s="102"/>
      <c r="BV57" s="102"/>
      <c r="BW57" s="102"/>
      <c r="BX57" s="102"/>
      <c r="CA57" s="83"/>
      <c r="CB57" s="83"/>
      <c r="CC57" s="83"/>
      <c r="CD57" s="83"/>
      <c r="CE57" s="83"/>
      <c r="CF57" s="83"/>
      <c r="CG57" s="83"/>
      <c r="CH57" s="83"/>
      <c r="CI57" s="83"/>
      <c r="CJ57" s="83"/>
      <c r="CK57" s="83"/>
      <c r="CL57" s="83"/>
      <c r="CM57" s="83"/>
      <c r="CN57" s="83"/>
      <c r="CO57" s="83"/>
      <c r="CP57" s="83"/>
    </row>
    <row r="58" spans="1:94" x14ac:dyDescent="0.25">
      <c r="A58" s="103"/>
      <c r="C58" s="124"/>
      <c r="D58" s="125"/>
      <c r="E58" s="124"/>
      <c r="F58" s="125"/>
      <c r="G58" s="124"/>
      <c r="H58" s="125"/>
      <c r="I58" s="124"/>
      <c r="J58" s="125"/>
      <c r="K58" s="124"/>
      <c r="L58" s="125"/>
      <c r="M58" s="124"/>
      <c r="N58" s="125"/>
      <c r="O58" s="124"/>
      <c r="P58" s="125"/>
      <c r="Q58" s="124"/>
      <c r="R58" s="125"/>
      <c r="S58" s="124"/>
      <c r="T58" s="125"/>
      <c r="U58" s="124"/>
      <c r="V58" s="125"/>
      <c r="W58" s="124"/>
      <c r="X58" s="125"/>
      <c r="Y58" s="124"/>
      <c r="Z58" s="125"/>
      <c r="AA58" s="124"/>
      <c r="AB58" s="125"/>
      <c r="AC58" s="124"/>
      <c r="AD58" s="125"/>
      <c r="AE58" s="124"/>
      <c r="AF58" s="125"/>
      <c r="AG58" s="124"/>
      <c r="AH58" s="125"/>
      <c r="AI58" s="124"/>
      <c r="AJ58" s="125"/>
      <c r="AK58" s="124"/>
      <c r="AL58" s="125"/>
      <c r="AM58" s="124"/>
      <c r="AN58" s="125"/>
      <c r="AO58" s="124"/>
      <c r="AP58" s="125"/>
      <c r="AQ58" s="124"/>
      <c r="AR58" s="125"/>
      <c r="AS58" s="124"/>
      <c r="AT58" s="125"/>
      <c r="AU58" s="124"/>
      <c r="AV58" s="125"/>
      <c r="AW58" s="124"/>
      <c r="AX58" s="125"/>
      <c r="AY58" s="124"/>
      <c r="AZ58" s="125"/>
      <c r="BA58" s="124"/>
      <c r="BB58" s="125"/>
      <c r="BC58" s="124"/>
      <c r="BD58" s="125"/>
      <c r="BE58" s="124"/>
      <c r="BF58" s="125"/>
      <c r="BG58" s="124"/>
      <c r="BH58" s="125"/>
      <c r="BI58" s="124"/>
      <c r="BJ58" s="125"/>
      <c r="BK58" s="124"/>
      <c r="BL58" s="125"/>
      <c r="BM58" s="126"/>
      <c r="BN58" s="125"/>
      <c r="BO58" s="102"/>
      <c r="BP58" s="102"/>
      <c r="BQ58" s="102"/>
      <c r="BR58" s="102"/>
      <c r="BS58" s="102"/>
      <c r="BT58" s="102"/>
      <c r="BU58" s="102"/>
      <c r="BV58" s="102"/>
      <c r="BW58" s="102"/>
      <c r="BX58" s="102"/>
      <c r="CA58" s="83"/>
      <c r="CB58" s="83"/>
      <c r="CC58" s="83"/>
      <c r="CD58" s="83"/>
      <c r="CE58" s="83"/>
      <c r="CF58" s="83"/>
      <c r="CG58" s="83"/>
      <c r="CH58" s="83"/>
      <c r="CI58" s="83"/>
      <c r="CJ58" s="83"/>
      <c r="CK58" s="83"/>
      <c r="CL58" s="83"/>
      <c r="CM58" s="83"/>
      <c r="CN58" s="83"/>
      <c r="CO58" s="83"/>
      <c r="CP58" s="83"/>
    </row>
    <row r="59" spans="1:94" x14ac:dyDescent="0.25">
      <c r="C59" s="118"/>
      <c r="D59" s="80"/>
      <c r="E59" s="118"/>
      <c r="F59" s="80"/>
      <c r="G59" s="118"/>
      <c r="H59" s="80"/>
      <c r="I59" s="118"/>
      <c r="J59" s="80"/>
      <c r="K59" s="118"/>
      <c r="L59" s="80"/>
      <c r="M59" s="118"/>
      <c r="N59" s="80"/>
      <c r="O59" s="118"/>
      <c r="P59" s="80"/>
      <c r="Q59" s="118"/>
      <c r="R59" s="80"/>
      <c r="S59" s="118"/>
      <c r="T59" s="80"/>
      <c r="U59" s="118"/>
      <c r="V59" s="80"/>
      <c r="W59" s="118"/>
      <c r="X59" s="80"/>
      <c r="Y59" s="118"/>
      <c r="Z59" s="80"/>
      <c r="AA59" s="118"/>
      <c r="AB59" s="80"/>
      <c r="AC59" s="118"/>
      <c r="AD59" s="80"/>
      <c r="AE59" s="118"/>
      <c r="AF59" s="80"/>
      <c r="AG59" s="118"/>
      <c r="AH59" s="80"/>
      <c r="AI59" s="118"/>
      <c r="AJ59" s="80"/>
      <c r="AK59" s="118"/>
      <c r="AL59" s="80"/>
      <c r="AM59" s="118"/>
      <c r="AN59" s="80"/>
      <c r="AO59" s="118"/>
      <c r="AP59" s="80"/>
      <c r="AQ59" s="118"/>
      <c r="AR59" s="80"/>
      <c r="AS59" s="118"/>
      <c r="AT59" s="80"/>
      <c r="AU59" s="118"/>
      <c r="AV59" s="80"/>
      <c r="AW59" s="118"/>
      <c r="AX59" s="80"/>
      <c r="AY59" s="118"/>
      <c r="AZ59" s="80"/>
      <c r="BA59" s="118"/>
      <c r="BB59" s="80"/>
      <c r="BC59" s="118"/>
      <c r="BD59" s="80"/>
      <c r="BE59" s="118"/>
      <c r="BF59" s="80"/>
      <c r="BG59" s="118"/>
      <c r="BH59" s="80"/>
      <c r="BI59" s="118"/>
      <c r="BJ59" s="80"/>
      <c r="BK59" s="118"/>
      <c r="BL59" s="80"/>
      <c r="BM59" s="120"/>
      <c r="BN59" s="80"/>
      <c r="CA59" s="83"/>
      <c r="CB59" s="83"/>
      <c r="CC59" s="83"/>
      <c r="CD59" s="83"/>
      <c r="CE59" s="83"/>
      <c r="CF59" s="83"/>
      <c r="CG59" s="83"/>
      <c r="CH59" s="83"/>
      <c r="CI59" s="83"/>
      <c r="CJ59" s="83"/>
      <c r="CK59" s="83"/>
      <c r="CL59" s="83"/>
      <c r="CM59" s="83"/>
      <c r="CN59" s="83"/>
      <c r="CO59" s="83"/>
      <c r="CP59" s="83"/>
    </row>
    <row r="60" spans="1:94" x14ac:dyDescent="0.25">
      <c r="A60" s="92" t="s">
        <v>47</v>
      </c>
      <c r="B60" s="93"/>
      <c r="C60" s="132" t="s">
        <v>48</v>
      </c>
      <c r="D60" s="132" t="s">
        <v>49</v>
      </c>
      <c r="E60" s="132" t="s">
        <v>48</v>
      </c>
      <c r="F60" s="132" t="s">
        <v>49</v>
      </c>
      <c r="G60" s="132" t="s">
        <v>48</v>
      </c>
      <c r="H60" s="132" t="s">
        <v>49</v>
      </c>
      <c r="I60" s="132" t="s">
        <v>48</v>
      </c>
      <c r="J60" s="132" t="s">
        <v>49</v>
      </c>
      <c r="K60" s="132" t="s">
        <v>48</v>
      </c>
      <c r="L60" s="132" t="s">
        <v>49</v>
      </c>
      <c r="M60" s="132" t="s">
        <v>48</v>
      </c>
      <c r="N60" s="132" t="s">
        <v>49</v>
      </c>
      <c r="O60" s="132" t="s">
        <v>48</v>
      </c>
      <c r="P60" s="132" t="s">
        <v>49</v>
      </c>
      <c r="Q60" s="132" t="s">
        <v>48</v>
      </c>
      <c r="R60" s="132" t="s">
        <v>49</v>
      </c>
      <c r="S60" s="132" t="s">
        <v>48</v>
      </c>
      <c r="T60" s="132" t="s">
        <v>49</v>
      </c>
      <c r="U60" s="132" t="s">
        <v>48</v>
      </c>
      <c r="V60" s="132" t="s">
        <v>49</v>
      </c>
      <c r="W60" s="132" t="s">
        <v>48</v>
      </c>
      <c r="X60" s="132" t="s">
        <v>49</v>
      </c>
      <c r="Y60" s="132" t="s">
        <v>48</v>
      </c>
      <c r="Z60" s="132" t="s">
        <v>49</v>
      </c>
      <c r="AA60" s="132" t="s">
        <v>48</v>
      </c>
      <c r="AB60" s="132" t="s">
        <v>49</v>
      </c>
      <c r="AC60" s="132" t="s">
        <v>48</v>
      </c>
      <c r="AD60" s="132" t="s">
        <v>49</v>
      </c>
      <c r="AE60" s="132" t="s">
        <v>48</v>
      </c>
      <c r="AF60" s="132" t="s">
        <v>49</v>
      </c>
      <c r="AG60" s="132" t="s">
        <v>48</v>
      </c>
      <c r="AH60" s="132" t="s">
        <v>49</v>
      </c>
      <c r="AI60" s="132" t="s">
        <v>48</v>
      </c>
      <c r="AJ60" s="132" t="s">
        <v>49</v>
      </c>
      <c r="AK60" s="132" t="s">
        <v>48</v>
      </c>
      <c r="AL60" s="132" t="s">
        <v>49</v>
      </c>
      <c r="AM60" s="132" t="s">
        <v>48</v>
      </c>
      <c r="AN60" s="132" t="s">
        <v>49</v>
      </c>
      <c r="AO60" s="132" t="s">
        <v>48</v>
      </c>
      <c r="AP60" s="132" t="s">
        <v>49</v>
      </c>
      <c r="AQ60" s="132" t="s">
        <v>48</v>
      </c>
      <c r="AR60" s="132" t="s">
        <v>49</v>
      </c>
      <c r="AS60" s="132" t="s">
        <v>48</v>
      </c>
      <c r="AT60" s="132" t="s">
        <v>49</v>
      </c>
      <c r="AU60" s="132" t="s">
        <v>48</v>
      </c>
      <c r="AV60" s="132" t="s">
        <v>49</v>
      </c>
      <c r="AW60" s="132" t="s">
        <v>48</v>
      </c>
      <c r="AX60" s="132" t="s">
        <v>49</v>
      </c>
      <c r="AY60" s="132" t="s">
        <v>48</v>
      </c>
      <c r="AZ60" s="132" t="s">
        <v>49</v>
      </c>
      <c r="BA60" s="132" t="s">
        <v>48</v>
      </c>
      <c r="BB60" s="132" t="s">
        <v>49</v>
      </c>
      <c r="BC60" s="132" t="s">
        <v>48</v>
      </c>
      <c r="BD60" s="132" t="s">
        <v>49</v>
      </c>
      <c r="BE60" s="132" t="s">
        <v>48</v>
      </c>
      <c r="BF60" s="132" t="s">
        <v>49</v>
      </c>
      <c r="BG60" s="132" t="s">
        <v>48</v>
      </c>
      <c r="BH60" s="132" t="s">
        <v>49</v>
      </c>
      <c r="BI60" s="132" t="s">
        <v>48</v>
      </c>
      <c r="BJ60" s="132" t="s">
        <v>49</v>
      </c>
      <c r="BK60" s="132" t="s">
        <v>48</v>
      </c>
      <c r="BL60" s="132" t="s">
        <v>49</v>
      </c>
      <c r="BM60" s="133"/>
      <c r="BN60" s="132" t="s">
        <v>50</v>
      </c>
      <c r="CA60" s="83"/>
      <c r="CB60" s="83"/>
      <c r="CC60" s="83"/>
      <c r="CD60" s="83"/>
      <c r="CE60" s="83"/>
      <c r="CF60" s="83"/>
      <c r="CG60" s="83"/>
      <c r="CH60" s="83"/>
      <c r="CI60" s="83"/>
      <c r="CJ60" s="83"/>
      <c r="CK60" s="83"/>
      <c r="CL60" s="83"/>
      <c r="CM60" s="83"/>
      <c r="CN60" s="83"/>
      <c r="CO60" s="83"/>
      <c r="CP60" s="83"/>
    </row>
    <row r="61" spans="1:94" x14ac:dyDescent="0.25">
      <c r="A61" s="79" t="s">
        <v>51</v>
      </c>
      <c r="B61" s="98" t="s">
        <v>52</v>
      </c>
      <c r="C61" s="134">
        <v>1.8800000000000001E-2</v>
      </c>
      <c r="D61" s="135">
        <f>C61*(D26+D35)</f>
        <v>852.63263999999992</v>
      </c>
      <c r="E61" s="134">
        <v>1.8800000000000001E-2</v>
      </c>
      <c r="F61" s="135">
        <f>E61*(F26+F35)</f>
        <v>599.81776000000002</v>
      </c>
      <c r="G61" s="134">
        <v>1.8800000000000001E-2</v>
      </c>
      <c r="H61" s="135">
        <f>G61*(H26+H35)</f>
        <v>819.32280000000003</v>
      </c>
      <c r="I61" s="134">
        <v>1.8800000000000001E-2</v>
      </c>
      <c r="J61" s="135">
        <f>I61*(J26+J35)</f>
        <v>982.35828000000015</v>
      </c>
      <c r="K61" s="134">
        <v>1.8800000000000001E-2</v>
      </c>
      <c r="L61" s="135">
        <f>K61*(L26+L35)</f>
        <v>876.16084000000001</v>
      </c>
      <c r="M61" s="134">
        <v>1.8800000000000001E-2</v>
      </c>
      <c r="N61" s="135">
        <f>M61*(N26+N35)</f>
        <v>799.19176000000016</v>
      </c>
      <c r="O61" s="134">
        <v>1.8800000000000001E-2</v>
      </c>
      <c r="P61" s="135">
        <f>O61*(P26+P35)</f>
        <v>490.87740000000002</v>
      </c>
      <c r="Q61" s="134">
        <v>1.8800000000000001E-2</v>
      </c>
      <c r="R61" s="135">
        <f>Q61*(R26+R35)</f>
        <v>943.78444000000013</v>
      </c>
      <c r="S61" s="134">
        <v>1.8800000000000001E-2</v>
      </c>
      <c r="T61" s="135">
        <f>S61*(T26+T35)</f>
        <v>485.88036000000005</v>
      </c>
      <c r="U61" s="134">
        <v>1.8800000000000001E-2</v>
      </c>
      <c r="V61" s="135">
        <f>U61*(V26+V35)</f>
        <v>863.89008000000001</v>
      </c>
      <c r="W61" s="134">
        <v>1.8800000000000001E-2</v>
      </c>
      <c r="X61" s="135">
        <f>W61*(X26+X35)</f>
        <v>976.32159999999999</v>
      </c>
      <c r="Y61" s="134">
        <v>1.8800000000000001E-2</v>
      </c>
      <c r="Z61" s="135">
        <f>Y61*(Z26+Z35)</f>
        <v>933.99340000000007</v>
      </c>
      <c r="AA61" s="134">
        <v>1.8800000000000001E-2</v>
      </c>
      <c r="AB61" s="135">
        <f>AA61*(AB26+AB35)</f>
        <v>657.21792000000005</v>
      </c>
      <c r="AC61" s="134">
        <v>1.8800000000000001E-2</v>
      </c>
      <c r="AD61" s="135">
        <f>AC61*(AD26+AD35)</f>
        <v>427.62855999999994</v>
      </c>
      <c r="AE61" s="134">
        <v>1.8800000000000001E-2</v>
      </c>
      <c r="AF61" s="135">
        <f>AE61*(AF26+AF35)</f>
        <v>969.80739999999992</v>
      </c>
      <c r="AG61" s="134">
        <v>1.8800000000000001E-2</v>
      </c>
      <c r="AH61" s="135">
        <f>AG61*(AH26+AH35)</f>
        <v>597.34180000000003</v>
      </c>
      <c r="AI61" s="134">
        <v>1.8800000000000001E-2</v>
      </c>
      <c r="AJ61" s="135">
        <f>AI61*(AJ26+AJ35)</f>
        <v>1016.38816</v>
      </c>
      <c r="AK61" s="134">
        <v>1.8800000000000001E-2</v>
      </c>
      <c r="AL61" s="135">
        <f>AK61*(AL26+AL35)</f>
        <v>874.4444000000002</v>
      </c>
      <c r="AM61" s="134">
        <v>1.8800000000000001E-2</v>
      </c>
      <c r="AN61" s="135">
        <f>AM61*(AN26+AN35)</f>
        <v>931.19220000000007</v>
      </c>
      <c r="AO61" s="134">
        <v>1.8800000000000001E-2</v>
      </c>
      <c r="AP61" s="135">
        <f>AO61*(AP26+AP35)</f>
        <v>142.63560000000001</v>
      </c>
      <c r="AQ61" s="134">
        <v>1.8800000000000001E-2</v>
      </c>
      <c r="AR61" s="135">
        <f>AQ61*(AR26+AR35)</f>
        <v>564.74448000000007</v>
      </c>
      <c r="AS61" s="134">
        <v>1.8800000000000001E-2</v>
      </c>
      <c r="AT61" s="135">
        <f>AS61*(AT26+AT35)</f>
        <v>877.42420000000004</v>
      </c>
      <c r="AU61" s="134">
        <v>1.8800000000000001E-2</v>
      </c>
      <c r="AV61" s="135">
        <f>AU61*(AV26+AV35)</f>
        <v>480.80811999999997</v>
      </c>
      <c r="AW61" s="134">
        <v>1.8800000000000001E-2</v>
      </c>
      <c r="AX61" s="135">
        <f>AW61*(AX26+AX35)</f>
        <v>830.58587999999997</v>
      </c>
      <c r="AY61" s="134">
        <v>1.8800000000000001E-2</v>
      </c>
      <c r="AZ61" s="135">
        <f>AY61*(AZ26+AZ35)</f>
        <v>770.49919999999997</v>
      </c>
      <c r="BA61" s="134">
        <v>1.8800000000000001E-2</v>
      </c>
      <c r="BB61" s="135">
        <f>BA61*(BB26+BB35)</f>
        <v>723.99928</v>
      </c>
      <c r="BC61" s="134">
        <v>1.8800000000000001E-2</v>
      </c>
      <c r="BD61" s="135">
        <f>BC61*(BD26+BD35)</f>
        <v>619.49572000000001</v>
      </c>
      <c r="BE61" s="134">
        <v>1.8800000000000001E-2</v>
      </c>
      <c r="BF61" s="135">
        <f>BE61*(BF26+BF35)</f>
        <v>556.92556000000002</v>
      </c>
      <c r="BG61" s="134">
        <v>1.8800000000000001E-2</v>
      </c>
      <c r="BH61" s="135">
        <f>BG61*(BH26+BH35)</f>
        <v>934.93340000000001</v>
      </c>
      <c r="BI61" s="134">
        <v>1.8800000000000001E-2</v>
      </c>
      <c r="BJ61" s="135">
        <f>BI61*(BJ26+BJ35)</f>
        <v>581.38812000000007</v>
      </c>
      <c r="BK61" s="134">
        <v>1.8800000000000001E-2</v>
      </c>
      <c r="BL61" s="135">
        <f>BK61*(BL26+BL35)</f>
        <v>897.10404000000005</v>
      </c>
      <c r="BM61" s="136"/>
      <c r="BN61" s="113" cm="1">
        <f t="array" ref="BN61">SUMPRODUCT((MOD(COLUMN(D61:BM61)-COLUMN(D61),2)=0)*D61:BM61)</f>
        <v>23078.795399999995</v>
      </c>
      <c r="CA61" s="83"/>
      <c r="CB61" s="83"/>
      <c r="CC61" s="83"/>
      <c r="CD61" s="83"/>
      <c r="CE61" s="83"/>
      <c r="CF61" s="83"/>
      <c r="CG61" s="83"/>
      <c r="CH61" s="83"/>
      <c r="CI61" s="83"/>
      <c r="CJ61" s="83"/>
      <c r="CK61" s="83"/>
      <c r="CL61" s="83"/>
      <c r="CM61" s="83"/>
      <c r="CN61" s="83"/>
      <c r="CO61" s="83"/>
      <c r="CP61" s="83"/>
    </row>
    <row r="62" spans="1:94" x14ac:dyDescent="0.25">
      <c r="A62" s="79" t="s">
        <v>7</v>
      </c>
      <c r="B62" s="98" t="s">
        <v>52</v>
      </c>
      <c r="C62" s="134">
        <v>1.8800000000000001E-2</v>
      </c>
      <c r="D62" s="135">
        <f>C62*(D17+D36)</f>
        <v>775.17851999999993</v>
      </c>
      <c r="E62" s="134">
        <v>1.8800000000000001E-2</v>
      </c>
      <c r="F62" s="135">
        <f>E62*(F17+F36)</f>
        <v>588.51332000000002</v>
      </c>
      <c r="G62" s="134">
        <v>1.8800000000000001E-2</v>
      </c>
      <c r="H62" s="135">
        <f>G62*(H17+H36)</f>
        <v>1041.8001200000001</v>
      </c>
      <c r="I62" s="134">
        <v>1.8800000000000001E-2</v>
      </c>
      <c r="J62" s="135">
        <f>I62*(J17+J36)</f>
        <v>974.92100000000005</v>
      </c>
      <c r="K62" s="134">
        <v>1.8800000000000001E-2</v>
      </c>
      <c r="L62" s="135">
        <f>K62*(L17+L36)</f>
        <v>944.30331999999987</v>
      </c>
      <c r="M62" s="134">
        <v>1.8800000000000001E-2</v>
      </c>
      <c r="N62" s="135">
        <f>M62*(N17+N36)</f>
        <v>1100.09328</v>
      </c>
      <c r="O62" s="134">
        <v>1.8800000000000001E-2</v>
      </c>
      <c r="P62" s="135">
        <f>O62*(P17+P36)</f>
        <v>634.15219999999999</v>
      </c>
      <c r="Q62" s="134">
        <v>1.8800000000000001E-2</v>
      </c>
      <c r="R62" s="135">
        <f>Q62*(R17+R36)</f>
        <v>931.67348000000004</v>
      </c>
      <c r="S62" s="134">
        <v>1.8800000000000001E-2</v>
      </c>
      <c r="T62" s="135">
        <f>S62*(T17+T36)</f>
        <v>706.64499999999998</v>
      </c>
      <c r="U62" s="134">
        <v>1.8800000000000001E-2</v>
      </c>
      <c r="V62" s="135">
        <f>U62*(V17+V36)</f>
        <v>826.3145199999999</v>
      </c>
      <c r="W62" s="134">
        <v>1.8800000000000001E-2</v>
      </c>
      <c r="X62" s="135">
        <f>W62*(X17+X36)</f>
        <v>983.09900000000005</v>
      </c>
      <c r="Y62" s="134">
        <v>1.8800000000000001E-2</v>
      </c>
      <c r="Z62" s="135">
        <f>Y62*(Z17+Z36)</f>
        <v>1092.85716</v>
      </c>
      <c r="AA62" s="134">
        <v>1.8800000000000001E-2</v>
      </c>
      <c r="AB62" s="135">
        <f>AA62*(AB17+AB36)</f>
        <v>991.59472000000017</v>
      </c>
      <c r="AC62" s="134">
        <v>1.8800000000000001E-2</v>
      </c>
      <c r="AD62" s="135">
        <f>AC62*(AD17+AD36)</f>
        <v>501.09520000000003</v>
      </c>
      <c r="AE62" s="134">
        <v>1.8800000000000001E-2</v>
      </c>
      <c r="AF62" s="135">
        <f>AE62*(AF17+AF36)</f>
        <v>711.98983999999996</v>
      </c>
      <c r="AG62" s="134">
        <v>1.8800000000000001E-2</v>
      </c>
      <c r="AH62" s="135">
        <f>AG62*(AH17+AH36)</f>
        <v>694.5942</v>
      </c>
      <c r="AI62" s="134">
        <v>1.8800000000000001E-2</v>
      </c>
      <c r="AJ62" s="135">
        <f>AI62*(AJ17+AJ36)</f>
        <v>1067.5467200000001</v>
      </c>
      <c r="AK62" s="134">
        <v>1.8800000000000001E-2</v>
      </c>
      <c r="AL62" s="135">
        <f>AK62*(AL17+AL36)</f>
        <v>1093.3591200000001</v>
      </c>
      <c r="AM62" s="134">
        <v>1.8800000000000001E-2</v>
      </c>
      <c r="AN62" s="135">
        <f>AM62*(AN17+AN36)</f>
        <v>1325.64816</v>
      </c>
      <c r="AO62" s="134">
        <v>1.8800000000000001E-2</v>
      </c>
      <c r="AP62" s="135">
        <f>AO62*(AP17+AP36)</f>
        <v>170.03471999999999</v>
      </c>
      <c r="AQ62" s="134">
        <v>1.8800000000000001E-2</v>
      </c>
      <c r="AR62" s="135">
        <f>AQ62*(AR17+AR36)</f>
        <v>809.40955999999994</v>
      </c>
      <c r="AS62" s="134">
        <v>1.8800000000000001E-2</v>
      </c>
      <c r="AT62" s="135">
        <f>AS62*(AT17+AT36)</f>
        <v>844.38695999999993</v>
      </c>
      <c r="AU62" s="134">
        <v>1.8800000000000001E-2</v>
      </c>
      <c r="AV62" s="135">
        <f>AU62*(AV17+AV36)</f>
        <v>554.36875999999995</v>
      </c>
      <c r="AW62" s="134">
        <v>1.8800000000000001E-2</v>
      </c>
      <c r="AX62" s="135">
        <f>AW62*(AX17+AX36)</f>
        <v>835.66752000000008</v>
      </c>
      <c r="AY62" s="134">
        <v>1.8800000000000001E-2</v>
      </c>
      <c r="AZ62" s="135">
        <f>AY62*(AZ17+AZ36)</f>
        <v>873.60591999999997</v>
      </c>
      <c r="BA62" s="134">
        <v>1.8800000000000001E-2</v>
      </c>
      <c r="BB62" s="135">
        <f>BA62*(BB17+BB36)</f>
        <v>1153.0171600000001</v>
      </c>
      <c r="BC62" s="134">
        <v>1.8800000000000001E-2</v>
      </c>
      <c r="BD62" s="135">
        <f>BC62*(BD17+BD36)</f>
        <v>1076.9222800000002</v>
      </c>
      <c r="BE62" s="134">
        <v>1.8800000000000001E-2</v>
      </c>
      <c r="BF62" s="135">
        <f>BE62*(BF17+BF36)</f>
        <v>636.68832000000009</v>
      </c>
      <c r="BG62" s="134">
        <v>1.8800000000000001E-2</v>
      </c>
      <c r="BH62" s="135">
        <f>BG62*(BH17+BH36)</f>
        <v>785.45648000000017</v>
      </c>
      <c r="BI62" s="134">
        <v>1.8800000000000001E-2</v>
      </c>
      <c r="BJ62" s="135">
        <f>BI62*(BJ17+BJ36)</f>
        <v>650.41796000000011</v>
      </c>
      <c r="BK62" s="134">
        <v>1.8800000000000001E-2</v>
      </c>
      <c r="BL62" s="135">
        <f>BK62*(BL17+BL36)</f>
        <v>827.12480000000005</v>
      </c>
      <c r="BM62" s="136"/>
      <c r="BN62" s="113" cm="1">
        <f t="array" ref="BN62">SUMPRODUCT((MOD(COLUMN(D62:BM62)-COLUMN(D62),2)=0)*D62:BM62)</f>
        <v>26202.479319999999</v>
      </c>
      <c r="CA62" s="83"/>
      <c r="CB62" s="83"/>
      <c r="CC62" s="83"/>
      <c r="CD62" s="83"/>
      <c r="CE62" s="83"/>
      <c r="CF62" s="83"/>
      <c r="CG62" s="83"/>
      <c r="CH62" s="83"/>
      <c r="CI62" s="83"/>
      <c r="CJ62" s="83"/>
      <c r="CK62" s="83"/>
      <c r="CL62" s="83"/>
      <c r="CM62" s="83"/>
      <c r="CN62" s="83"/>
      <c r="CO62" s="83"/>
      <c r="CP62" s="83"/>
    </row>
    <row r="63" spans="1:94" x14ac:dyDescent="0.25">
      <c r="A63" s="79" t="s">
        <v>53</v>
      </c>
      <c r="B63" s="98" t="s">
        <v>52</v>
      </c>
      <c r="C63" s="134">
        <v>1.8800000000000001E-2</v>
      </c>
      <c r="D63" s="135">
        <f>C63*(D32+D39)</f>
        <v>205.55732</v>
      </c>
      <c r="E63" s="134">
        <v>1.8800000000000001E-2</v>
      </c>
      <c r="F63" s="135">
        <f>E63*(F32+F39)</f>
        <v>197.01647999999997</v>
      </c>
      <c r="G63" s="134">
        <v>1.8800000000000001E-2</v>
      </c>
      <c r="H63" s="135">
        <f>G63*(H32+H39)</f>
        <v>295.73903999999999</v>
      </c>
      <c r="I63" s="134">
        <v>1.8800000000000001E-2</v>
      </c>
      <c r="J63" s="135">
        <f>I63*(J32+J39)</f>
        <v>219.87540000000001</v>
      </c>
      <c r="K63" s="134">
        <v>1.8800000000000001E-2</v>
      </c>
      <c r="L63" s="135">
        <f>K63*(L32+L39)</f>
        <v>327.09180000000003</v>
      </c>
      <c r="M63" s="134">
        <v>1.8800000000000001E-2</v>
      </c>
      <c r="N63" s="135">
        <f>M63*(N32+N39)</f>
        <v>397.33236000000005</v>
      </c>
      <c r="O63" s="134">
        <v>1.8800000000000001E-2</v>
      </c>
      <c r="P63" s="135">
        <f>O63*(P32+P39)</f>
        <v>187.43600000000001</v>
      </c>
      <c r="Q63" s="134">
        <v>1.8800000000000001E-2</v>
      </c>
      <c r="R63" s="135">
        <f>Q63*(R32+R39)</f>
        <v>217.81868000000006</v>
      </c>
      <c r="S63" s="134">
        <v>1.8800000000000001E-2</v>
      </c>
      <c r="T63" s="135">
        <f>S63*(T32+T39)</f>
        <v>161.92251999999999</v>
      </c>
      <c r="U63" s="134">
        <v>1.8800000000000001E-2</v>
      </c>
      <c r="V63" s="135">
        <f>U63*(V32+V39)</f>
        <v>231.75135999999998</v>
      </c>
      <c r="W63" s="134">
        <v>1.8800000000000001E-2</v>
      </c>
      <c r="X63" s="135">
        <f>W63*(X32+X39)</f>
        <v>190.39511999999996</v>
      </c>
      <c r="Y63" s="134">
        <v>1.8800000000000001E-2</v>
      </c>
      <c r="Z63" s="135">
        <f>Y63*(Z32+Z39)</f>
        <v>490.75332000000003</v>
      </c>
      <c r="AA63" s="134">
        <v>1.8800000000000001E-2</v>
      </c>
      <c r="AB63" s="135">
        <f>AA63*(AB32+AB39)</f>
        <v>323.10996</v>
      </c>
      <c r="AC63" s="134">
        <v>1.8800000000000001E-2</v>
      </c>
      <c r="AD63" s="135">
        <f>AC63*(AD32+AD39)</f>
        <v>148.42976000000002</v>
      </c>
      <c r="AE63" s="134">
        <v>1.8800000000000001E-2</v>
      </c>
      <c r="AF63" s="135">
        <f>AE63*(AF32+AF39)</f>
        <v>223.88356000000002</v>
      </c>
      <c r="AG63" s="134">
        <v>1.8800000000000001E-2</v>
      </c>
      <c r="AH63" s="135">
        <f>AG63*(AH32+AH39)</f>
        <v>161.50516000000002</v>
      </c>
      <c r="AI63" s="134">
        <v>1.8800000000000001E-2</v>
      </c>
      <c r="AJ63" s="135">
        <f>AI63*(AJ32+AJ39)</f>
        <v>275.50083999999998</v>
      </c>
      <c r="AK63" s="134">
        <v>1.8800000000000001E-2</v>
      </c>
      <c r="AL63" s="135">
        <f>AK63*(AL32+AL39)</f>
        <v>198.36067999999997</v>
      </c>
      <c r="AM63" s="134">
        <v>1.8800000000000001E-2</v>
      </c>
      <c r="AN63" s="135">
        <f>AM63*(AN32+AN39)</f>
        <v>270.73316</v>
      </c>
      <c r="AO63" s="134">
        <v>1.8800000000000001E-2</v>
      </c>
      <c r="AP63" s="135">
        <f>AO63*(AP32+AP39)</f>
        <v>65.031080000000003</v>
      </c>
      <c r="AQ63" s="134">
        <v>1.8800000000000001E-2</v>
      </c>
      <c r="AR63" s="135">
        <f>AQ63*(AR32+AR39)</f>
        <v>192.16232000000002</v>
      </c>
      <c r="AS63" s="134">
        <v>1.8800000000000001E-2</v>
      </c>
      <c r="AT63" s="135">
        <f>AS63*(AT32+AT39)</f>
        <v>317.12028000000004</v>
      </c>
      <c r="AU63" s="134">
        <v>1.8800000000000001E-2</v>
      </c>
      <c r="AV63" s="135">
        <f>AU63*(AV32+AV39)</f>
        <v>148.7362</v>
      </c>
      <c r="AW63" s="134">
        <v>1.8800000000000001E-2</v>
      </c>
      <c r="AX63" s="135">
        <f>AW63*(AX32+AX39)</f>
        <v>222.67284000000004</v>
      </c>
      <c r="AY63" s="134">
        <v>1.8800000000000001E-2</v>
      </c>
      <c r="AZ63" s="135">
        <f>AY63*(AZ32+AZ39)</f>
        <v>192.43492000000001</v>
      </c>
      <c r="BA63" s="134">
        <v>1.8800000000000001E-2</v>
      </c>
      <c r="BB63" s="135">
        <f>BA63*(BB32+BB39)</f>
        <v>343.56436000000002</v>
      </c>
      <c r="BC63" s="134">
        <v>1.8800000000000001E-2</v>
      </c>
      <c r="BD63" s="135">
        <f>BC63*(BD32+BD39)</f>
        <v>354.75976000000003</v>
      </c>
      <c r="BE63" s="134">
        <v>1.8800000000000001E-2</v>
      </c>
      <c r="BF63" s="135">
        <f>BE63*(BF32+BF39)</f>
        <v>181.77155999999999</v>
      </c>
      <c r="BG63" s="134">
        <v>1.8800000000000001E-2</v>
      </c>
      <c r="BH63" s="135">
        <f>BG63*(BH32+BH39)</f>
        <v>210.68783999999999</v>
      </c>
      <c r="BI63" s="134">
        <v>1.8800000000000001E-2</v>
      </c>
      <c r="BJ63" s="135">
        <f>BI63*(BJ32+BJ39)</f>
        <v>209.89260000000002</v>
      </c>
      <c r="BK63" s="134">
        <v>1.8800000000000001E-2</v>
      </c>
      <c r="BL63" s="135">
        <f>BK63*(BL32+BL39)</f>
        <v>189.60552000000001</v>
      </c>
      <c r="BM63" s="136"/>
      <c r="BN63" s="113" cm="1">
        <f t="array" ref="BN63">SUMPRODUCT((MOD(COLUMN(D63:BM63)-COLUMN(D63),2)=0)*D63:BM63)</f>
        <v>7352.6518000000005</v>
      </c>
      <c r="CA63" s="83"/>
      <c r="CB63" s="83"/>
      <c r="CC63" s="83"/>
      <c r="CD63" s="83"/>
      <c r="CE63" s="83"/>
      <c r="CF63" s="83"/>
      <c r="CG63" s="83"/>
      <c r="CH63" s="83"/>
      <c r="CI63" s="83"/>
      <c r="CJ63" s="83"/>
      <c r="CK63" s="83"/>
      <c r="CL63" s="83"/>
      <c r="CM63" s="83"/>
      <c r="CN63" s="83"/>
      <c r="CO63" s="83"/>
      <c r="CP63" s="83"/>
    </row>
    <row r="64" spans="1:94" x14ac:dyDescent="0.25">
      <c r="A64" s="79" t="s">
        <v>34</v>
      </c>
      <c r="B64" s="98" t="s">
        <v>52</v>
      </c>
      <c r="C64" s="134">
        <v>0.02</v>
      </c>
      <c r="D64" s="135">
        <f>C64*(D38+D44)</f>
        <v>104.864</v>
      </c>
      <c r="E64" s="134">
        <v>0.02</v>
      </c>
      <c r="F64" s="135">
        <f>E64*(F38+F44)</f>
        <v>96.054000000000002</v>
      </c>
      <c r="G64" s="134">
        <v>0.02</v>
      </c>
      <c r="H64" s="135">
        <f>G64*(H38+H44)</f>
        <v>44.178000000000004</v>
      </c>
      <c r="I64" s="134">
        <v>0.02</v>
      </c>
      <c r="J64" s="135">
        <f>I64*(J38+J44)</f>
        <v>221.30400000000003</v>
      </c>
      <c r="K64" s="134">
        <v>0.02</v>
      </c>
      <c r="L64" s="135">
        <f>K64*(L38+L44)</f>
        <v>91.647999999999996</v>
      </c>
      <c r="M64" s="134">
        <v>0.02</v>
      </c>
      <c r="N64" s="135">
        <f>M64*(N38+N44)</f>
        <v>78.94</v>
      </c>
      <c r="O64" s="134">
        <v>0.02</v>
      </c>
      <c r="P64" s="135">
        <f>O64*(P38+P44)</f>
        <v>64.796000000000006</v>
      </c>
      <c r="Q64" s="134">
        <v>0.02</v>
      </c>
      <c r="R64" s="135">
        <f>Q64*(R38+R44)</f>
        <v>262.37599999999998</v>
      </c>
      <c r="S64" s="134">
        <v>0.02</v>
      </c>
      <c r="T64" s="135">
        <f>S64*(T38+T44)</f>
        <v>42.568000000000005</v>
      </c>
      <c r="U64" s="134">
        <v>0.02</v>
      </c>
      <c r="V64" s="135">
        <f>U64*(V38+V44)</f>
        <v>129.31</v>
      </c>
      <c r="W64" s="134">
        <v>0.02</v>
      </c>
      <c r="X64" s="135">
        <f>W64*(X38+X44)</f>
        <v>82.88600000000001</v>
      </c>
      <c r="Y64" s="134">
        <v>0.02</v>
      </c>
      <c r="Z64" s="135">
        <f>Y64*(Z38+Z44)</f>
        <v>106.43200000000002</v>
      </c>
      <c r="AA64" s="134">
        <v>0.02</v>
      </c>
      <c r="AB64" s="135">
        <f>AA64*(AB38+AB44)</f>
        <v>110.24799999999999</v>
      </c>
      <c r="AC64" s="134">
        <v>0.02</v>
      </c>
      <c r="AD64" s="135">
        <f>AC64*(AD38+AD44)</f>
        <v>53.14</v>
      </c>
      <c r="AE64" s="134">
        <v>0.02</v>
      </c>
      <c r="AF64" s="135">
        <f>AE64*(AF38+AF44)</f>
        <v>250.82</v>
      </c>
      <c r="AG64" s="134">
        <v>0.02</v>
      </c>
      <c r="AH64" s="135">
        <f>AG64*(AH38+AH44)</f>
        <v>20</v>
      </c>
      <c r="AI64" s="134">
        <v>0.02</v>
      </c>
      <c r="AJ64" s="135">
        <f>AI64*(AJ38+AJ44)</f>
        <v>173.54</v>
      </c>
      <c r="AK64" s="134">
        <v>0.02</v>
      </c>
      <c r="AL64" s="135">
        <f>AK64*(AL38+AL44)</f>
        <v>91.54</v>
      </c>
      <c r="AM64" s="134">
        <v>0.02</v>
      </c>
      <c r="AN64" s="135">
        <f>AM64*(AN38+AN44)</f>
        <v>184.05400000000003</v>
      </c>
      <c r="AO64" s="134">
        <v>0.02</v>
      </c>
      <c r="AP64" s="135">
        <f>AO64*(AP38+AP44)</f>
        <v>0</v>
      </c>
      <c r="AQ64" s="134">
        <v>0.02</v>
      </c>
      <c r="AR64" s="135">
        <f>AQ64*(AR38+AR44)</f>
        <v>62</v>
      </c>
      <c r="AS64" s="134">
        <v>0.02</v>
      </c>
      <c r="AT64" s="135">
        <f>AS64*(AT38+AT44)</f>
        <v>44.368000000000002</v>
      </c>
      <c r="AU64" s="134">
        <v>0.02</v>
      </c>
      <c r="AV64" s="135">
        <f>AU64*(AV38+AV44)</f>
        <v>89.557999999999993</v>
      </c>
      <c r="AW64" s="134">
        <v>0.02</v>
      </c>
      <c r="AX64" s="135">
        <f>AW64*(AX38+AX44)</f>
        <v>60.098000000000006</v>
      </c>
      <c r="AY64" s="134">
        <v>0.02</v>
      </c>
      <c r="AZ64" s="135">
        <f>AY64*(AZ38+AZ44)</f>
        <v>137.43600000000001</v>
      </c>
      <c r="BA64" s="134">
        <v>0.02</v>
      </c>
      <c r="BB64" s="135">
        <f>BA64*(BB38+BB44)</f>
        <v>89.626000000000005</v>
      </c>
      <c r="BC64" s="134">
        <v>0.02</v>
      </c>
      <c r="BD64" s="135">
        <f>BC64*(BD38+BD44)</f>
        <v>46.848000000000006</v>
      </c>
      <c r="BE64" s="134">
        <v>0.02</v>
      </c>
      <c r="BF64" s="135">
        <f>BE64*(BF38+BF44)</f>
        <v>53.223999999999997</v>
      </c>
      <c r="BG64" s="134">
        <v>0.02</v>
      </c>
      <c r="BH64" s="135">
        <f>BG64*(BH38+BH44)</f>
        <v>146.11800000000002</v>
      </c>
      <c r="BI64" s="134">
        <v>0.02</v>
      </c>
      <c r="BJ64" s="135">
        <f>BI64*(BJ38+BJ44)</f>
        <v>31.778000000000002</v>
      </c>
      <c r="BK64" s="134">
        <v>0.02</v>
      </c>
      <c r="BL64" s="135">
        <f>BK64*(BL38+BL44)</f>
        <v>141.45600000000002</v>
      </c>
      <c r="BM64" s="136"/>
      <c r="BN64" s="113" cm="1">
        <f t="array" ref="BN64">SUMPRODUCT((MOD(COLUMN(D64:BM64)-COLUMN(D64),2)=0)*D64:BM64)</f>
        <v>3111.2080000000001</v>
      </c>
      <c r="CA64" s="83"/>
      <c r="CB64" s="83"/>
      <c r="CC64" s="83"/>
      <c r="CD64" s="83"/>
      <c r="CE64" s="83"/>
      <c r="CF64" s="83"/>
      <c r="CG64" s="83"/>
      <c r="CH64" s="83"/>
      <c r="CI64" s="83"/>
      <c r="CJ64" s="83"/>
      <c r="CK64" s="83"/>
      <c r="CL64" s="83"/>
      <c r="CM64" s="83"/>
      <c r="CN64" s="83"/>
      <c r="CO64" s="83"/>
      <c r="CP64" s="83"/>
    </row>
    <row r="65" spans="1:94" x14ac:dyDescent="0.25">
      <c r="C65" s="137"/>
      <c r="D65" s="138"/>
      <c r="E65" s="118"/>
      <c r="F65" s="138"/>
      <c r="G65" s="118"/>
      <c r="H65" s="138"/>
      <c r="I65" s="118"/>
      <c r="J65" s="138"/>
      <c r="K65" s="118"/>
      <c r="L65" s="138"/>
      <c r="M65" s="118"/>
      <c r="N65" s="138"/>
      <c r="O65" s="118"/>
      <c r="P65" s="138"/>
      <c r="Q65" s="118"/>
      <c r="R65" s="138"/>
      <c r="S65" s="118"/>
      <c r="T65" s="138"/>
      <c r="U65" s="118"/>
      <c r="V65" s="138"/>
      <c r="W65" s="118"/>
      <c r="X65" s="138"/>
      <c r="Y65" s="118"/>
      <c r="Z65" s="138"/>
      <c r="AA65" s="118"/>
      <c r="AB65" s="138"/>
      <c r="AC65" s="118"/>
      <c r="AD65" s="138"/>
      <c r="AE65" s="118"/>
      <c r="AF65" s="138"/>
      <c r="AG65" s="118"/>
      <c r="AH65" s="138"/>
      <c r="AI65" s="118"/>
      <c r="AJ65" s="138"/>
      <c r="AK65" s="118"/>
      <c r="AL65" s="138"/>
      <c r="AM65" s="118"/>
      <c r="AN65" s="138"/>
      <c r="AO65" s="118"/>
      <c r="AP65" s="138"/>
      <c r="AQ65" s="118"/>
      <c r="AR65" s="138"/>
      <c r="AS65" s="118"/>
      <c r="AT65" s="138"/>
      <c r="AU65" s="118"/>
      <c r="AV65" s="138"/>
      <c r="AW65" s="118"/>
      <c r="AX65" s="138"/>
      <c r="AY65" s="118"/>
      <c r="AZ65" s="138"/>
      <c r="BA65" s="118"/>
      <c r="BB65" s="138"/>
      <c r="BC65" s="118"/>
      <c r="BD65" s="138"/>
      <c r="BE65" s="118"/>
      <c r="BF65" s="138"/>
      <c r="BG65" s="118"/>
      <c r="BH65" s="138"/>
      <c r="BI65" s="118"/>
      <c r="BJ65" s="138"/>
      <c r="BK65" s="118"/>
      <c r="BL65" s="138"/>
      <c r="BM65" s="120"/>
      <c r="BN65" s="138"/>
      <c r="CA65" s="83"/>
      <c r="CB65" s="83"/>
      <c r="CC65" s="83"/>
      <c r="CD65" s="83"/>
      <c r="CE65" s="83"/>
      <c r="CF65" s="83"/>
      <c r="CG65" s="83"/>
      <c r="CH65" s="83"/>
      <c r="CI65" s="83"/>
      <c r="CJ65" s="83"/>
      <c r="CK65" s="83"/>
      <c r="CL65" s="83"/>
      <c r="CM65" s="83"/>
      <c r="CN65" s="83"/>
      <c r="CO65" s="83"/>
      <c r="CP65" s="83"/>
    </row>
    <row r="66" spans="1:94" x14ac:dyDescent="0.25">
      <c r="A66" s="79" t="s">
        <v>54</v>
      </c>
      <c r="B66" s="98" t="s">
        <v>52</v>
      </c>
      <c r="C66" s="139">
        <v>0.75</v>
      </c>
      <c r="D66" s="140">
        <f>SUM(D61:D63)*C66</f>
        <v>1375.0263599999998</v>
      </c>
      <c r="E66" s="139">
        <v>0.75</v>
      </c>
      <c r="F66" s="140">
        <f>SUM(F61:F63)*E66</f>
        <v>1039.0106699999999</v>
      </c>
      <c r="G66" s="139">
        <v>0.75</v>
      </c>
      <c r="H66" s="140">
        <f>SUM(H61:H63)*G66</f>
        <v>1617.6464700000001</v>
      </c>
      <c r="I66" s="139">
        <v>0.75</v>
      </c>
      <c r="J66" s="140">
        <f>SUM(J61:J63)*I66</f>
        <v>1632.8660100000002</v>
      </c>
      <c r="K66" s="139">
        <v>0.75</v>
      </c>
      <c r="L66" s="140">
        <f>SUM(L61:L63)*K66</f>
        <v>1610.6669700000002</v>
      </c>
      <c r="M66" s="139">
        <v>0.75</v>
      </c>
      <c r="N66" s="140">
        <f>SUM(N61:N63)*M66</f>
        <v>1722.4630500000001</v>
      </c>
      <c r="O66" s="139">
        <v>0.75</v>
      </c>
      <c r="P66" s="140">
        <f>SUM(P61:P63)*O66</f>
        <v>984.3492</v>
      </c>
      <c r="Q66" s="139">
        <v>0.75</v>
      </c>
      <c r="R66" s="140">
        <f>SUM(R61:R63)*Q66</f>
        <v>1569.9574500000001</v>
      </c>
      <c r="S66" s="139">
        <v>0.75</v>
      </c>
      <c r="T66" s="140">
        <f>SUM(T61:T63)*S66</f>
        <v>1015.8359100000001</v>
      </c>
      <c r="U66" s="139">
        <v>0.75</v>
      </c>
      <c r="V66" s="140">
        <f>SUM(V61:V63)*U66</f>
        <v>1441.4669699999999</v>
      </c>
      <c r="W66" s="139">
        <v>0.75</v>
      </c>
      <c r="X66" s="140">
        <f>SUM(X61:X63)*W66</f>
        <v>1612.3617899999999</v>
      </c>
      <c r="Y66" s="139">
        <v>0.75</v>
      </c>
      <c r="Z66" s="140">
        <f>SUM(Z61:Z63)*Y66</f>
        <v>1888.20291</v>
      </c>
      <c r="AA66" s="139">
        <v>0.75</v>
      </c>
      <c r="AB66" s="140">
        <f>SUM(AB61:AB63)*AA66</f>
        <v>1478.9419500000001</v>
      </c>
      <c r="AC66" s="139">
        <v>0.75</v>
      </c>
      <c r="AD66" s="140">
        <f>SUM(AD61:AD63)*AC66</f>
        <v>807.86514000000011</v>
      </c>
      <c r="AE66" s="139">
        <v>0.75</v>
      </c>
      <c r="AF66" s="140">
        <f>SUM(AF61:AF63)*AE66</f>
        <v>1429.2605999999998</v>
      </c>
      <c r="AG66" s="139">
        <v>0.75</v>
      </c>
      <c r="AH66" s="140">
        <f>SUM(AH61:AH63)*AG66</f>
        <v>1090.08087</v>
      </c>
      <c r="AI66" s="139">
        <v>0.75</v>
      </c>
      <c r="AJ66" s="140">
        <f>SUM(AJ61:AJ63)*AI66</f>
        <v>1769.5767900000001</v>
      </c>
      <c r="AK66" s="139">
        <v>0.75</v>
      </c>
      <c r="AL66" s="140">
        <f>SUM(AL61:AL63)*AK66</f>
        <v>1624.6231500000001</v>
      </c>
      <c r="AM66" s="139">
        <v>0.75</v>
      </c>
      <c r="AN66" s="140">
        <f>SUM(AN61:AN63)*AM66</f>
        <v>1895.6801399999999</v>
      </c>
      <c r="AO66" s="139">
        <v>0.75</v>
      </c>
      <c r="AP66" s="140">
        <f>SUM(AP61:AP63)*AO66</f>
        <v>283.27605000000005</v>
      </c>
      <c r="AQ66" s="139">
        <v>0.75</v>
      </c>
      <c r="AR66" s="140">
        <f>SUM(AR61:AR63)*AQ66</f>
        <v>1174.7372699999999</v>
      </c>
      <c r="AS66" s="139">
        <v>0.75</v>
      </c>
      <c r="AT66" s="140">
        <f>SUM(AT61:AT63)*AS66</f>
        <v>1529.19858</v>
      </c>
      <c r="AU66" s="139">
        <v>0.75</v>
      </c>
      <c r="AV66" s="140">
        <f>SUM(AV61:AV63)*AU66</f>
        <v>887.93480999999997</v>
      </c>
      <c r="AW66" s="139">
        <v>0.75</v>
      </c>
      <c r="AX66" s="140">
        <f>SUM(AX61:AX63)*AW66</f>
        <v>1416.6946800000001</v>
      </c>
      <c r="AY66" s="139">
        <v>0.75</v>
      </c>
      <c r="AZ66" s="140">
        <f>SUM(AZ61:AZ63)*AY66</f>
        <v>1377.4050299999999</v>
      </c>
      <c r="BA66" s="139">
        <v>0.75</v>
      </c>
      <c r="BB66" s="140">
        <f>SUM(BB61:BB63)*BA66</f>
        <v>1665.4356000000002</v>
      </c>
      <c r="BC66" s="139">
        <v>0.75</v>
      </c>
      <c r="BD66" s="140">
        <f>SUM(BD61:BD63)*BC66</f>
        <v>1538.3833199999999</v>
      </c>
      <c r="BE66" s="139">
        <v>0.75</v>
      </c>
      <c r="BF66" s="140">
        <f>SUM(BF61:BF63)*BE66</f>
        <v>1031.53908</v>
      </c>
      <c r="BG66" s="139">
        <v>0.75</v>
      </c>
      <c r="BH66" s="140">
        <f>SUM(BH61:BH63)*BG66</f>
        <v>1448.3082900000002</v>
      </c>
      <c r="BI66" s="139">
        <v>0.75</v>
      </c>
      <c r="BJ66" s="140">
        <f>SUM(BJ61:BJ63)*BI66</f>
        <v>1081.2740100000003</v>
      </c>
      <c r="BK66" s="139">
        <v>0.75</v>
      </c>
      <c r="BL66" s="140">
        <f>SUM(BL61:BL63)*BK66</f>
        <v>1435.3757700000001</v>
      </c>
      <c r="BM66" s="141"/>
      <c r="BN66" s="113" cm="1">
        <f t="array" ref="BN66">SUMPRODUCT((MOD(COLUMN(D66:BM66)-COLUMN(D66),2)=0)*D66:BM66)</f>
        <v>42475.444890000006</v>
      </c>
      <c r="CA66" s="83"/>
      <c r="CB66" s="83"/>
      <c r="CC66" s="83"/>
      <c r="CD66" s="83"/>
      <c r="CE66" s="83"/>
      <c r="CF66" s="83"/>
      <c r="CG66" s="83"/>
      <c r="CH66" s="83"/>
      <c r="CI66" s="83"/>
      <c r="CJ66" s="83"/>
      <c r="CK66" s="83"/>
      <c r="CL66" s="83"/>
      <c r="CM66" s="83"/>
      <c r="CN66" s="83"/>
      <c r="CO66" s="83"/>
      <c r="CP66" s="83"/>
    </row>
    <row r="67" spans="1:94" x14ac:dyDescent="0.25">
      <c r="A67" s="79" t="s">
        <v>55</v>
      </c>
      <c r="B67" s="98"/>
      <c r="C67" s="139">
        <v>0.7</v>
      </c>
      <c r="D67" s="140">
        <f>C67*D64</f>
        <v>73.404799999999994</v>
      </c>
      <c r="E67" s="139">
        <v>0.7</v>
      </c>
      <c r="F67" s="140">
        <f t="shared" ref="F67" si="13">E67*F64</f>
        <v>67.237799999999993</v>
      </c>
      <c r="G67" s="139">
        <v>0.7</v>
      </c>
      <c r="H67" s="140">
        <f t="shared" ref="H67" si="14">G67*H64</f>
        <v>30.924600000000002</v>
      </c>
      <c r="I67" s="139">
        <v>0.7</v>
      </c>
      <c r="J67" s="140">
        <f t="shared" ref="J67" si="15">I67*J64</f>
        <v>154.9128</v>
      </c>
      <c r="K67" s="139">
        <v>0.7</v>
      </c>
      <c r="L67" s="140">
        <f t="shared" ref="L67" si="16">K67*L64</f>
        <v>64.153599999999997</v>
      </c>
      <c r="M67" s="139">
        <v>0.7</v>
      </c>
      <c r="N67" s="140">
        <f t="shared" ref="N67" si="17">M67*N64</f>
        <v>55.257999999999996</v>
      </c>
      <c r="O67" s="139">
        <v>0.7</v>
      </c>
      <c r="P67" s="140">
        <f t="shared" ref="P67" si="18">O67*P64</f>
        <v>45.357199999999999</v>
      </c>
      <c r="Q67" s="139">
        <v>0.7</v>
      </c>
      <c r="R67" s="140">
        <f t="shared" ref="R67" si="19">Q67*R64</f>
        <v>183.66319999999996</v>
      </c>
      <c r="S67" s="139">
        <v>0.7</v>
      </c>
      <c r="T67" s="140">
        <f t="shared" ref="T67" si="20">S67*T64</f>
        <v>29.797600000000003</v>
      </c>
      <c r="U67" s="139">
        <v>0.7</v>
      </c>
      <c r="V67" s="140">
        <f t="shared" ref="V67" si="21">U67*V64</f>
        <v>90.516999999999996</v>
      </c>
      <c r="W67" s="139">
        <v>0.7</v>
      </c>
      <c r="X67" s="140">
        <f t="shared" ref="X67" si="22">W67*X64</f>
        <v>58.020200000000003</v>
      </c>
      <c r="Y67" s="139">
        <v>0.7</v>
      </c>
      <c r="Z67" s="140">
        <f t="shared" ref="Z67" si="23">Y67*Z64</f>
        <v>74.502400000000009</v>
      </c>
      <c r="AA67" s="139">
        <v>0.7</v>
      </c>
      <c r="AB67" s="140">
        <f t="shared" ref="AB67" si="24">AA67*AB64</f>
        <v>77.173599999999993</v>
      </c>
      <c r="AC67" s="139">
        <v>0.7</v>
      </c>
      <c r="AD67" s="140">
        <f t="shared" ref="AD67" si="25">AC67*AD64</f>
        <v>37.198</v>
      </c>
      <c r="AE67" s="139">
        <v>0.7</v>
      </c>
      <c r="AF67" s="140">
        <f t="shared" ref="AF67" si="26">AE67*AF64</f>
        <v>175.57399999999998</v>
      </c>
      <c r="AG67" s="139">
        <v>0.7</v>
      </c>
      <c r="AH67" s="140">
        <f t="shared" ref="AH67" si="27">AG67*AH64</f>
        <v>14</v>
      </c>
      <c r="AI67" s="139">
        <v>0.7</v>
      </c>
      <c r="AJ67" s="140">
        <f t="shared" ref="AJ67" si="28">AI67*AJ64</f>
        <v>121.47799999999998</v>
      </c>
      <c r="AK67" s="139">
        <v>0.7</v>
      </c>
      <c r="AL67" s="140">
        <f t="shared" ref="AL67" si="29">AK67*AL64</f>
        <v>64.078000000000003</v>
      </c>
      <c r="AM67" s="139">
        <v>0.7</v>
      </c>
      <c r="AN67" s="140">
        <f t="shared" ref="AN67" si="30">AM67*AN64</f>
        <v>128.83780000000002</v>
      </c>
      <c r="AO67" s="139">
        <v>0.7</v>
      </c>
      <c r="AP67" s="140">
        <f t="shared" ref="AP67" si="31">AO67*AP64</f>
        <v>0</v>
      </c>
      <c r="AQ67" s="139">
        <v>0.7</v>
      </c>
      <c r="AR67" s="140">
        <f t="shared" ref="AR67" si="32">AQ67*AR64</f>
        <v>43.4</v>
      </c>
      <c r="AS67" s="139">
        <v>0.7</v>
      </c>
      <c r="AT67" s="140">
        <f t="shared" ref="AT67" si="33">AS67*AT64</f>
        <v>31.057600000000001</v>
      </c>
      <c r="AU67" s="139">
        <v>0.7</v>
      </c>
      <c r="AV67" s="140">
        <f t="shared" ref="AV67" si="34">AU67*AV64</f>
        <v>62.690599999999989</v>
      </c>
      <c r="AW67" s="139">
        <v>0.7</v>
      </c>
      <c r="AX67" s="140">
        <f t="shared" ref="AX67" si="35">AW67*AX64</f>
        <v>42.068600000000004</v>
      </c>
      <c r="AY67" s="139">
        <v>0.7</v>
      </c>
      <c r="AZ67" s="140">
        <f t="shared" ref="AZ67" si="36">AY67*AZ64</f>
        <v>96.205200000000005</v>
      </c>
      <c r="BA67" s="139">
        <v>0.7</v>
      </c>
      <c r="BB67" s="140">
        <f t="shared" ref="BB67" si="37">BA67*BB64</f>
        <v>62.738199999999999</v>
      </c>
      <c r="BC67" s="139">
        <v>0.7</v>
      </c>
      <c r="BD67" s="140">
        <f t="shared" ref="BD67" si="38">BC67*BD64</f>
        <v>32.793600000000005</v>
      </c>
      <c r="BE67" s="139">
        <v>0.7</v>
      </c>
      <c r="BF67" s="140">
        <f t="shared" ref="BF67" si="39">BE67*BF64</f>
        <v>37.256799999999998</v>
      </c>
      <c r="BG67" s="139">
        <v>0.7</v>
      </c>
      <c r="BH67" s="140">
        <f t="shared" ref="BH67" si="40">BG67*BH64</f>
        <v>102.28260000000002</v>
      </c>
      <c r="BI67" s="139">
        <v>0.7</v>
      </c>
      <c r="BJ67" s="140">
        <f t="shared" ref="BJ67" si="41">BI67*BJ64</f>
        <v>22.244600000000002</v>
      </c>
      <c r="BK67" s="139">
        <v>0.7</v>
      </c>
      <c r="BL67" s="140">
        <f t="shared" ref="BL67" si="42">BK67*BL64</f>
        <v>99.019200000000012</v>
      </c>
      <c r="BM67" s="141"/>
      <c r="BN67" s="113" cm="1">
        <f t="array" ref="BN67">SUMPRODUCT((MOD(COLUMN(D67:BM67)-COLUMN(D67),2)=0)*D67:BM67)</f>
        <v>2177.8456000000006</v>
      </c>
      <c r="CA67" s="83"/>
      <c r="CB67" s="83"/>
      <c r="CC67" s="83"/>
      <c r="CD67" s="83"/>
      <c r="CE67" s="83"/>
      <c r="CF67" s="83"/>
      <c r="CG67" s="83"/>
      <c r="CH67" s="83"/>
      <c r="CI67" s="83"/>
      <c r="CJ67" s="83"/>
      <c r="CK67" s="83"/>
      <c r="CL67" s="83"/>
      <c r="CM67" s="83"/>
      <c r="CN67" s="83"/>
      <c r="CO67" s="83"/>
      <c r="CP67" s="83"/>
    </row>
    <row r="68" spans="1:94" x14ac:dyDescent="0.25">
      <c r="A68" s="79" t="s">
        <v>56</v>
      </c>
      <c r="B68" s="98" t="s">
        <v>52</v>
      </c>
      <c r="C68" s="139">
        <v>0.25</v>
      </c>
      <c r="D68" s="140">
        <f>SUM(D61:D63)*C68</f>
        <v>458.34211999999991</v>
      </c>
      <c r="E68" s="139">
        <v>0.25</v>
      </c>
      <c r="F68" s="140">
        <f>SUM(F61:F63)*E68</f>
        <v>346.33688999999998</v>
      </c>
      <c r="G68" s="139">
        <v>0.25</v>
      </c>
      <c r="H68" s="140">
        <f>SUM(H61:H63)*G68</f>
        <v>539.21549000000005</v>
      </c>
      <c r="I68" s="139">
        <v>0.25</v>
      </c>
      <c r="J68" s="140">
        <f>SUM(J61:J63)*I68</f>
        <v>544.28867000000002</v>
      </c>
      <c r="K68" s="139">
        <v>0.25</v>
      </c>
      <c r="L68" s="140">
        <f>SUM(L61:L63)*K68</f>
        <v>536.88899000000004</v>
      </c>
      <c r="M68" s="139">
        <v>0.25</v>
      </c>
      <c r="N68" s="140">
        <f>SUM(N61:N63)*M68</f>
        <v>574.15435000000002</v>
      </c>
      <c r="O68" s="139">
        <v>0.25</v>
      </c>
      <c r="P68" s="140">
        <f>SUM(P61:P63)*O68</f>
        <v>328.1164</v>
      </c>
      <c r="Q68" s="139">
        <v>0.25</v>
      </c>
      <c r="R68" s="140">
        <f>SUM(R61:R63)*Q68</f>
        <v>523.31915000000004</v>
      </c>
      <c r="S68" s="139">
        <v>0.25</v>
      </c>
      <c r="T68" s="140">
        <f>SUM(T61:T63)*S68</f>
        <v>338.61197000000004</v>
      </c>
      <c r="U68" s="139">
        <v>0.25</v>
      </c>
      <c r="V68" s="140">
        <f>SUM(V61:V63)*U68</f>
        <v>480.48899</v>
      </c>
      <c r="W68" s="139">
        <v>0.25</v>
      </c>
      <c r="X68" s="140">
        <f>SUM(X61:X63)*W68</f>
        <v>537.45393000000001</v>
      </c>
      <c r="Y68" s="139">
        <v>0.25</v>
      </c>
      <c r="Z68" s="140">
        <f>SUM(Z61:Z63)*Y68</f>
        <v>629.40097000000003</v>
      </c>
      <c r="AA68" s="139">
        <v>0.25</v>
      </c>
      <c r="AB68" s="140">
        <f>SUM(AB61:AB63)*AA68</f>
        <v>492.98065000000003</v>
      </c>
      <c r="AC68" s="139">
        <v>0.25</v>
      </c>
      <c r="AD68" s="140">
        <f>SUM(AD61:AD63)*AC68</f>
        <v>269.28838000000002</v>
      </c>
      <c r="AE68" s="139">
        <v>0.25</v>
      </c>
      <c r="AF68" s="140">
        <f>SUM(AF61:AF63)*AE68</f>
        <v>476.42019999999997</v>
      </c>
      <c r="AG68" s="139">
        <v>0.25</v>
      </c>
      <c r="AH68" s="140">
        <f>SUM(AH61:AH63)*AG68</f>
        <v>363.36029000000002</v>
      </c>
      <c r="AI68" s="139">
        <v>0.25</v>
      </c>
      <c r="AJ68" s="140">
        <f>SUM(AJ61:AJ63)*AI68</f>
        <v>589.85892999999999</v>
      </c>
      <c r="AK68" s="139">
        <v>0.25</v>
      </c>
      <c r="AL68" s="140">
        <f>SUM(AL61:AL63)*AK68</f>
        <v>541.54105000000004</v>
      </c>
      <c r="AM68" s="139">
        <v>0.25</v>
      </c>
      <c r="AN68" s="140">
        <f>SUM(AN61:AN63)*AM68</f>
        <v>631.89337999999998</v>
      </c>
      <c r="AO68" s="139">
        <v>0.25</v>
      </c>
      <c r="AP68" s="140">
        <f>SUM(AP61:AP63)*AO68</f>
        <v>94.425350000000009</v>
      </c>
      <c r="AQ68" s="139">
        <v>0.25</v>
      </c>
      <c r="AR68" s="140">
        <f>SUM(AR61:AR63)*AQ68</f>
        <v>391.57908999999995</v>
      </c>
      <c r="AS68" s="139">
        <v>0.25</v>
      </c>
      <c r="AT68" s="140">
        <f>SUM(AT61:AT63)*AS68</f>
        <v>509.73286000000002</v>
      </c>
      <c r="AU68" s="139">
        <v>0.25</v>
      </c>
      <c r="AV68" s="140">
        <f>SUM(AV61:AV63)*AU68</f>
        <v>295.97827000000001</v>
      </c>
      <c r="AW68" s="139">
        <v>0.25</v>
      </c>
      <c r="AX68" s="140">
        <f>SUM(AX61:AX63)*AW68</f>
        <v>472.23156</v>
      </c>
      <c r="AY68" s="139">
        <v>0.25</v>
      </c>
      <c r="AZ68" s="140">
        <f>SUM(AZ61:AZ63)*AY68</f>
        <v>459.13500999999997</v>
      </c>
      <c r="BA68" s="139">
        <v>0.25</v>
      </c>
      <c r="BB68" s="140">
        <f>SUM(BB61:BB63)*BA68</f>
        <v>555.14520000000005</v>
      </c>
      <c r="BC68" s="139">
        <v>0.25</v>
      </c>
      <c r="BD68" s="140">
        <f>SUM(BD61:BD63)*BC68</f>
        <v>512.79444000000001</v>
      </c>
      <c r="BE68" s="139">
        <v>0.25</v>
      </c>
      <c r="BF68" s="140">
        <f>SUM(BF61:BF63)*BE68</f>
        <v>343.84636</v>
      </c>
      <c r="BG68" s="139">
        <v>0.25</v>
      </c>
      <c r="BH68" s="140">
        <f>SUM(BH61:BH63)*BG68</f>
        <v>482.76943000000006</v>
      </c>
      <c r="BI68" s="139">
        <v>0.25</v>
      </c>
      <c r="BJ68" s="140">
        <f>SUM(BJ61:BJ63)*BI68</f>
        <v>360.42467000000011</v>
      </c>
      <c r="BK68" s="139">
        <v>0.25</v>
      </c>
      <c r="BL68" s="140">
        <f>SUM(BL61:BL63)*BK68</f>
        <v>478.45859000000007</v>
      </c>
      <c r="BM68" s="141"/>
      <c r="BN68" s="113" cm="1">
        <f t="array" ref="BN68">SUMPRODUCT((MOD(COLUMN(D68:BM68)-COLUMN(D68),2)=0)*D68:BM68)</f>
        <v>14158.481629999998</v>
      </c>
      <c r="CA68" s="83"/>
      <c r="CB68" s="83"/>
      <c r="CC68" s="83"/>
      <c r="CD68" s="83"/>
      <c r="CE68" s="83"/>
      <c r="CF68" s="83"/>
      <c r="CG68" s="83"/>
      <c r="CH68" s="83"/>
      <c r="CI68" s="83"/>
      <c r="CJ68" s="83"/>
      <c r="CK68" s="83"/>
      <c r="CL68" s="83"/>
      <c r="CM68" s="83"/>
      <c r="CN68" s="83"/>
      <c r="CO68" s="83"/>
      <c r="CP68" s="83"/>
    </row>
    <row r="69" spans="1:94" x14ac:dyDescent="0.25">
      <c r="A69" s="79" t="s">
        <v>57</v>
      </c>
      <c r="B69" s="98"/>
      <c r="C69" s="139">
        <v>0.3</v>
      </c>
      <c r="D69" s="140">
        <f>D64*C69</f>
        <v>31.459199999999999</v>
      </c>
      <c r="E69" s="139">
        <v>0.3</v>
      </c>
      <c r="F69" s="140">
        <f t="shared" ref="F69" si="43">F64*E69</f>
        <v>28.816199999999998</v>
      </c>
      <c r="G69" s="139">
        <v>0.3</v>
      </c>
      <c r="H69" s="140">
        <f t="shared" ref="H69" si="44">H64*G69</f>
        <v>13.253400000000001</v>
      </c>
      <c r="I69" s="139">
        <v>0.3</v>
      </c>
      <c r="J69" s="140">
        <f t="shared" ref="J69" si="45">J64*I69</f>
        <v>66.391200000000012</v>
      </c>
      <c r="K69" s="139">
        <v>0.3</v>
      </c>
      <c r="L69" s="140">
        <f t="shared" ref="L69" si="46">L64*K69</f>
        <v>27.494399999999999</v>
      </c>
      <c r="M69" s="139">
        <v>0.3</v>
      </c>
      <c r="N69" s="140">
        <f t="shared" ref="N69" si="47">N64*M69</f>
        <v>23.681999999999999</v>
      </c>
      <c r="O69" s="139">
        <v>0.3</v>
      </c>
      <c r="P69" s="140">
        <f t="shared" ref="P69" si="48">P64*O69</f>
        <v>19.438800000000001</v>
      </c>
      <c r="Q69" s="139">
        <v>0.3</v>
      </c>
      <c r="R69" s="140">
        <f t="shared" ref="R69" si="49">R64*Q69</f>
        <v>78.712799999999987</v>
      </c>
      <c r="S69" s="139">
        <v>0.3</v>
      </c>
      <c r="T69" s="140">
        <f t="shared" ref="T69" si="50">T64*S69</f>
        <v>12.7704</v>
      </c>
      <c r="U69" s="139">
        <v>0.3</v>
      </c>
      <c r="V69" s="140">
        <f t="shared" ref="V69" si="51">V64*U69</f>
        <v>38.792999999999999</v>
      </c>
      <c r="W69" s="139">
        <v>0.3</v>
      </c>
      <c r="X69" s="140">
        <f t="shared" ref="X69" si="52">X64*W69</f>
        <v>24.865800000000004</v>
      </c>
      <c r="Y69" s="139">
        <v>0.3</v>
      </c>
      <c r="Z69" s="140">
        <f t="shared" ref="Z69" si="53">Z64*Y69</f>
        <v>31.929600000000004</v>
      </c>
      <c r="AA69" s="139">
        <v>0.3</v>
      </c>
      <c r="AB69" s="140">
        <f t="shared" ref="AB69" si="54">AB64*AA69</f>
        <v>33.074399999999997</v>
      </c>
      <c r="AC69" s="139">
        <v>0.3</v>
      </c>
      <c r="AD69" s="140">
        <f t="shared" ref="AD69" si="55">AD64*AC69</f>
        <v>15.942</v>
      </c>
      <c r="AE69" s="139">
        <v>0.3</v>
      </c>
      <c r="AF69" s="140">
        <f t="shared" ref="AF69" si="56">AF64*AE69</f>
        <v>75.245999999999995</v>
      </c>
      <c r="AG69" s="139">
        <v>0.3</v>
      </c>
      <c r="AH69" s="140">
        <f t="shared" ref="AH69" si="57">AH64*AG69</f>
        <v>6</v>
      </c>
      <c r="AI69" s="139">
        <v>0.3</v>
      </c>
      <c r="AJ69" s="140">
        <f t="shared" ref="AJ69" si="58">AJ64*AI69</f>
        <v>52.061999999999998</v>
      </c>
      <c r="AK69" s="139">
        <v>0.3</v>
      </c>
      <c r="AL69" s="140">
        <f t="shared" ref="AL69" si="59">AL64*AK69</f>
        <v>27.462</v>
      </c>
      <c r="AM69" s="139">
        <v>0.3</v>
      </c>
      <c r="AN69" s="140">
        <f t="shared" ref="AN69" si="60">AN64*AM69</f>
        <v>55.216200000000008</v>
      </c>
      <c r="AO69" s="139">
        <v>0.3</v>
      </c>
      <c r="AP69" s="140">
        <f t="shared" ref="AP69" si="61">AP64*AO69</f>
        <v>0</v>
      </c>
      <c r="AQ69" s="139">
        <v>0.3</v>
      </c>
      <c r="AR69" s="140">
        <f t="shared" ref="AR69" si="62">AR64*AQ69</f>
        <v>18.599999999999998</v>
      </c>
      <c r="AS69" s="139">
        <v>0.3</v>
      </c>
      <c r="AT69" s="140">
        <f t="shared" ref="AT69" si="63">AT64*AS69</f>
        <v>13.3104</v>
      </c>
      <c r="AU69" s="139">
        <v>0.3</v>
      </c>
      <c r="AV69" s="140">
        <f t="shared" ref="AV69" si="64">AV64*AU69</f>
        <v>26.867399999999996</v>
      </c>
      <c r="AW69" s="139">
        <v>0.3</v>
      </c>
      <c r="AX69" s="140">
        <f t="shared" ref="AX69" si="65">AX64*AW69</f>
        <v>18.029400000000003</v>
      </c>
      <c r="AY69" s="139">
        <v>0.3</v>
      </c>
      <c r="AZ69" s="140">
        <f t="shared" ref="AZ69" si="66">AZ64*AY69</f>
        <v>41.230800000000002</v>
      </c>
      <c r="BA69" s="139">
        <v>0.3</v>
      </c>
      <c r="BB69" s="140">
        <f t="shared" ref="BB69" si="67">BB64*BA69</f>
        <v>26.887800000000002</v>
      </c>
      <c r="BC69" s="139">
        <v>0.3</v>
      </c>
      <c r="BD69" s="140">
        <f t="shared" ref="BD69" si="68">BD64*BC69</f>
        <v>14.054400000000001</v>
      </c>
      <c r="BE69" s="139">
        <v>0.3</v>
      </c>
      <c r="BF69" s="140">
        <f t="shared" ref="BF69" si="69">BF64*BE69</f>
        <v>15.967199999999998</v>
      </c>
      <c r="BG69" s="139">
        <v>0.3</v>
      </c>
      <c r="BH69" s="140">
        <f t="shared" ref="BH69" si="70">BH64*BG69</f>
        <v>43.835400000000007</v>
      </c>
      <c r="BI69" s="139">
        <v>0.3</v>
      </c>
      <c r="BJ69" s="140">
        <f t="shared" ref="BJ69" si="71">BJ64*BI69</f>
        <v>9.5334000000000003</v>
      </c>
      <c r="BK69" s="139">
        <v>0.3</v>
      </c>
      <c r="BL69" s="140">
        <f t="shared" ref="BL69" si="72">BL64*BK69</f>
        <v>42.436800000000005</v>
      </c>
      <c r="BM69" s="141"/>
      <c r="BN69" s="113" cm="1">
        <f t="array" ref="BN69">SUMPRODUCT((MOD(COLUMN(D69:BM69)-COLUMN(D69),2)=0)*D69:BM69)</f>
        <v>933.36239999999998</v>
      </c>
      <c r="CA69" s="83"/>
      <c r="CB69" s="83"/>
      <c r="CC69" s="83"/>
      <c r="CD69" s="83"/>
      <c r="CE69" s="83"/>
      <c r="CF69" s="83"/>
      <c r="CG69" s="83"/>
      <c r="CH69" s="83"/>
      <c r="CI69" s="83"/>
      <c r="CJ69" s="83"/>
      <c r="CK69" s="83"/>
      <c r="CL69" s="83"/>
      <c r="CM69" s="83"/>
      <c r="CN69" s="83"/>
      <c r="CO69" s="83"/>
      <c r="CP69" s="83"/>
    </row>
    <row r="70" spans="1:94" s="110" customFormat="1" x14ac:dyDescent="0.25">
      <c r="A70" s="107" t="s">
        <v>58</v>
      </c>
      <c r="B70" s="108"/>
      <c r="C70" s="142"/>
      <c r="D70" s="143">
        <f>SUM(D68:D69)</f>
        <v>489.80131999999992</v>
      </c>
      <c r="E70" s="142"/>
      <c r="F70" s="143">
        <f t="shared" ref="F70" si="73">SUM(F68:F69)</f>
        <v>375.15308999999996</v>
      </c>
      <c r="G70" s="142"/>
      <c r="H70" s="143">
        <f t="shared" ref="H70" si="74">SUM(H68:H69)</f>
        <v>552.4688900000001</v>
      </c>
      <c r="I70" s="142"/>
      <c r="J70" s="143">
        <f t="shared" ref="J70" si="75">SUM(J68:J69)</f>
        <v>610.67987000000005</v>
      </c>
      <c r="K70" s="142"/>
      <c r="L70" s="143">
        <f t="shared" ref="L70" si="76">SUM(L68:L69)</f>
        <v>564.38339000000008</v>
      </c>
      <c r="M70" s="142"/>
      <c r="N70" s="143">
        <f t="shared" ref="N70" si="77">SUM(N68:N69)</f>
        <v>597.83635000000004</v>
      </c>
      <c r="O70" s="142"/>
      <c r="P70" s="143">
        <f t="shared" ref="P70" si="78">SUM(P68:P69)</f>
        <v>347.55520000000001</v>
      </c>
      <c r="Q70" s="142"/>
      <c r="R70" s="143">
        <f t="shared" ref="R70" si="79">SUM(R68:R69)</f>
        <v>602.03195000000005</v>
      </c>
      <c r="S70" s="142"/>
      <c r="T70" s="143">
        <f t="shared" ref="T70" si="80">SUM(T68:T69)</f>
        <v>351.38237000000004</v>
      </c>
      <c r="U70" s="142"/>
      <c r="V70" s="143">
        <f t="shared" ref="V70" si="81">SUM(V68:V69)</f>
        <v>519.28198999999995</v>
      </c>
      <c r="W70" s="142"/>
      <c r="X70" s="143">
        <f t="shared" ref="X70" si="82">SUM(X68:X69)</f>
        <v>562.31973000000005</v>
      </c>
      <c r="Y70" s="142"/>
      <c r="Z70" s="143">
        <f t="shared" ref="Z70" si="83">SUM(Z68:Z69)</f>
        <v>661.33057000000008</v>
      </c>
      <c r="AA70" s="142"/>
      <c r="AB70" s="143">
        <f t="shared" ref="AB70" si="84">SUM(AB68:AB69)</f>
        <v>526.05505000000005</v>
      </c>
      <c r="AC70" s="142"/>
      <c r="AD70" s="143">
        <f t="shared" ref="AD70" si="85">SUM(AD68:AD69)</f>
        <v>285.23038000000003</v>
      </c>
      <c r="AE70" s="142"/>
      <c r="AF70" s="143">
        <f t="shared" ref="AF70" si="86">SUM(AF68:AF69)</f>
        <v>551.6662</v>
      </c>
      <c r="AG70" s="142"/>
      <c r="AH70" s="143">
        <f t="shared" ref="AH70" si="87">SUM(AH68:AH69)</f>
        <v>369.36029000000002</v>
      </c>
      <c r="AI70" s="142"/>
      <c r="AJ70" s="143">
        <f t="shared" ref="AJ70" si="88">SUM(AJ68:AJ69)</f>
        <v>641.92093</v>
      </c>
      <c r="AK70" s="142"/>
      <c r="AL70" s="143">
        <f t="shared" ref="AL70" si="89">SUM(AL68:AL69)</f>
        <v>569.00305000000003</v>
      </c>
      <c r="AM70" s="142"/>
      <c r="AN70" s="143">
        <f t="shared" ref="AN70" si="90">SUM(AN68:AN69)</f>
        <v>687.10957999999994</v>
      </c>
      <c r="AO70" s="142"/>
      <c r="AP70" s="143">
        <f t="shared" ref="AP70" si="91">SUM(AP68:AP69)</f>
        <v>94.425350000000009</v>
      </c>
      <c r="AQ70" s="142"/>
      <c r="AR70" s="143">
        <f t="shared" ref="AR70" si="92">SUM(AR68:AR69)</f>
        <v>410.17908999999997</v>
      </c>
      <c r="AS70" s="142"/>
      <c r="AT70" s="143">
        <f t="shared" ref="AT70" si="93">SUM(AT68:AT69)</f>
        <v>523.04326000000003</v>
      </c>
      <c r="AU70" s="142"/>
      <c r="AV70" s="143">
        <f t="shared" ref="AV70" si="94">SUM(AV68:AV69)</f>
        <v>322.84566999999998</v>
      </c>
      <c r="AW70" s="142"/>
      <c r="AX70" s="143">
        <f t="shared" ref="AX70" si="95">SUM(AX68:AX69)</f>
        <v>490.26096000000001</v>
      </c>
      <c r="AY70" s="142"/>
      <c r="AZ70" s="143">
        <f t="shared" ref="AZ70" si="96">SUM(AZ68:AZ69)</f>
        <v>500.36580999999995</v>
      </c>
      <c r="BA70" s="142"/>
      <c r="BB70" s="143">
        <f t="shared" ref="BB70" si="97">SUM(BB68:BB69)</f>
        <v>582.03300000000002</v>
      </c>
      <c r="BC70" s="142"/>
      <c r="BD70" s="143">
        <f t="shared" ref="BD70" si="98">SUM(BD68:BD69)</f>
        <v>526.84884</v>
      </c>
      <c r="BE70" s="142"/>
      <c r="BF70" s="143">
        <f t="shared" ref="BF70" si="99">SUM(BF68:BF69)</f>
        <v>359.81356</v>
      </c>
      <c r="BG70" s="142"/>
      <c r="BH70" s="143">
        <f t="shared" ref="BH70" si="100">SUM(BH68:BH69)</f>
        <v>526.60483000000011</v>
      </c>
      <c r="BI70" s="142"/>
      <c r="BJ70" s="143">
        <f t="shared" ref="BJ70" si="101">SUM(BJ68:BJ69)</f>
        <v>369.95807000000013</v>
      </c>
      <c r="BK70" s="142"/>
      <c r="BL70" s="143">
        <f t="shared" ref="BL70" si="102">SUM(BL68:BL69)</f>
        <v>520.89539000000013</v>
      </c>
      <c r="BM70" s="144"/>
      <c r="BN70" s="143">
        <f>SUM(C70:BM70)</f>
        <v>15091.84403</v>
      </c>
      <c r="BO70" s="109"/>
      <c r="BP70" s="109"/>
      <c r="BQ70" s="109"/>
      <c r="BR70" s="109"/>
      <c r="BS70" s="109"/>
      <c r="BT70" s="109"/>
      <c r="BU70" s="109"/>
      <c r="BV70" s="109"/>
      <c r="BW70" s="109"/>
      <c r="BX70" s="109"/>
      <c r="BY70" s="109"/>
      <c r="BZ70" s="109"/>
      <c r="CA70" s="109"/>
      <c r="CB70" s="109"/>
      <c r="CC70" s="109"/>
      <c r="CD70" s="109"/>
      <c r="CE70" s="109"/>
      <c r="CF70" s="109"/>
      <c r="CG70" s="109"/>
      <c r="CH70" s="109"/>
      <c r="CI70" s="109"/>
      <c r="CJ70" s="109"/>
      <c r="CK70" s="109"/>
      <c r="CL70" s="109"/>
      <c r="CM70" s="109"/>
      <c r="CN70" s="109"/>
      <c r="CO70" s="109"/>
      <c r="CP70" s="109"/>
    </row>
    <row r="71" spans="1:94" x14ac:dyDescent="0.25">
      <c r="C71" s="118"/>
      <c r="D71" s="80"/>
      <c r="E71" s="81"/>
      <c r="F71" s="80"/>
      <c r="G71" s="81"/>
      <c r="H71" s="80"/>
      <c r="I71" s="81"/>
      <c r="J71" s="80"/>
      <c r="K71" s="81"/>
      <c r="L71" s="80"/>
      <c r="M71" s="81"/>
      <c r="N71" s="80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  <c r="BA71" s="81"/>
      <c r="BB71" s="81"/>
      <c r="BC71" s="81"/>
      <c r="BD71" s="81"/>
      <c r="BE71" s="81"/>
      <c r="BF71" s="81"/>
      <c r="BG71" s="81"/>
      <c r="BH71" s="81"/>
      <c r="BI71" s="81"/>
      <c r="BJ71" s="81"/>
      <c r="BK71" s="81"/>
      <c r="BL71" s="145"/>
      <c r="BM71" s="81"/>
      <c r="BN71" s="81"/>
      <c r="CA71" s="83"/>
      <c r="CB71" s="83"/>
      <c r="CC71" s="83"/>
      <c r="CD71" s="83"/>
      <c r="CE71" s="83"/>
      <c r="CF71" s="83"/>
      <c r="CG71" s="83"/>
      <c r="CH71" s="83"/>
      <c r="CI71" s="83"/>
      <c r="CJ71" s="83"/>
      <c r="CK71" s="83"/>
      <c r="CL71" s="83"/>
      <c r="CM71" s="83"/>
      <c r="CN71" s="83"/>
      <c r="CO71" s="83"/>
      <c r="CP71" s="83"/>
    </row>
    <row r="72" spans="1:94" x14ac:dyDescent="0.25">
      <c r="A72" s="111" t="s">
        <v>59</v>
      </c>
      <c r="B72" s="93"/>
      <c r="C72" s="132" t="s">
        <v>48</v>
      </c>
      <c r="D72" s="132" t="s">
        <v>49</v>
      </c>
      <c r="E72" s="132" t="s">
        <v>48</v>
      </c>
      <c r="F72" s="132" t="s">
        <v>49</v>
      </c>
      <c r="G72" s="132" t="s">
        <v>48</v>
      </c>
      <c r="H72" s="132" t="s">
        <v>49</v>
      </c>
      <c r="I72" s="132" t="s">
        <v>48</v>
      </c>
      <c r="J72" s="132" t="s">
        <v>49</v>
      </c>
      <c r="K72" s="132" t="s">
        <v>48</v>
      </c>
      <c r="L72" s="132" t="s">
        <v>49</v>
      </c>
      <c r="M72" s="132" t="s">
        <v>48</v>
      </c>
      <c r="N72" s="132" t="s">
        <v>49</v>
      </c>
      <c r="O72" s="132" t="s">
        <v>48</v>
      </c>
      <c r="P72" s="132" t="s">
        <v>49</v>
      </c>
      <c r="Q72" s="132" t="s">
        <v>48</v>
      </c>
      <c r="R72" s="132" t="s">
        <v>49</v>
      </c>
      <c r="S72" s="132" t="s">
        <v>48</v>
      </c>
      <c r="T72" s="132" t="s">
        <v>49</v>
      </c>
      <c r="U72" s="132" t="s">
        <v>48</v>
      </c>
      <c r="V72" s="132" t="s">
        <v>49</v>
      </c>
      <c r="W72" s="132" t="s">
        <v>48</v>
      </c>
      <c r="X72" s="132" t="s">
        <v>49</v>
      </c>
      <c r="Y72" s="132" t="s">
        <v>48</v>
      </c>
      <c r="Z72" s="132" t="s">
        <v>49</v>
      </c>
      <c r="AA72" s="132" t="s">
        <v>48</v>
      </c>
      <c r="AB72" s="132" t="s">
        <v>49</v>
      </c>
      <c r="AC72" s="132" t="s">
        <v>48</v>
      </c>
      <c r="AD72" s="132" t="s">
        <v>49</v>
      </c>
      <c r="AE72" s="132" t="s">
        <v>48</v>
      </c>
      <c r="AF72" s="132" t="s">
        <v>49</v>
      </c>
      <c r="AG72" s="132" t="s">
        <v>48</v>
      </c>
      <c r="AH72" s="132" t="s">
        <v>49</v>
      </c>
      <c r="AI72" s="132" t="s">
        <v>48</v>
      </c>
      <c r="AJ72" s="132" t="s">
        <v>49</v>
      </c>
      <c r="AK72" s="132" t="s">
        <v>48</v>
      </c>
      <c r="AL72" s="132" t="s">
        <v>49</v>
      </c>
      <c r="AM72" s="132" t="s">
        <v>48</v>
      </c>
      <c r="AN72" s="132" t="s">
        <v>49</v>
      </c>
      <c r="AO72" s="132" t="s">
        <v>48</v>
      </c>
      <c r="AP72" s="132" t="s">
        <v>49</v>
      </c>
      <c r="AQ72" s="132" t="s">
        <v>48</v>
      </c>
      <c r="AR72" s="132" t="s">
        <v>49</v>
      </c>
      <c r="AS72" s="132" t="s">
        <v>48</v>
      </c>
      <c r="AT72" s="132" t="s">
        <v>49</v>
      </c>
      <c r="AU72" s="132" t="s">
        <v>48</v>
      </c>
      <c r="AV72" s="132" t="s">
        <v>49</v>
      </c>
      <c r="AW72" s="132" t="s">
        <v>48</v>
      </c>
      <c r="AX72" s="132" t="s">
        <v>49</v>
      </c>
      <c r="AY72" s="132" t="s">
        <v>48</v>
      </c>
      <c r="AZ72" s="132" t="s">
        <v>49</v>
      </c>
      <c r="BA72" s="132" t="s">
        <v>48</v>
      </c>
      <c r="BB72" s="132" t="s">
        <v>49</v>
      </c>
      <c r="BC72" s="132" t="s">
        <v>48</v>
      </c>
      <c r="BD72" s="132" t="s">
        <v>49</v>
      </c>
      <c r="BE72" s="132" t="s">
        <v>48</v>
      </c>
      <c r="BF72" s="132" t="s">
        <v>49</v>
      </c>
      <c r="BG72" s="132" t="s">
        <v>48</v>
      </c>
      <c r="BH72" s="132" t="s">
        <v>49</v>
      </c>
      <c r="BI72" s="132" t="s">
        <v>48</v>
      </c>
      <c r="BJ72" s="132" t="s">
        <v>49</v>
      </c>
      <c r="BK72" s="132" t="s">
        <v>48</v>
      </c>
      <c r="BL72" s="132" t="s">
        <v>49</v>
      </c>
      <c r="BM72" s="133"/>
      <c r="BN72" s="132" t="s">
        <v>50</v>
      </c>
      <c r="CA72" s="83"/>
      <c r="CB72" s="83"/>
      <c r="CC72" s="83"/>
      <c r="CD72" s="83"/>
      <c r="CE72" s="83"/>
      <c r="CF72" s="83"/>
      <c r="CG72" s="83"/>
      <c r="CH72" s="83"/>
      <c r="CI72" s="83"/>
      <c r="CJ72" s="83"/>
      <c r="CK72" s="83"/>
      <c r="CL72" s="83"/>
      <c r="CM72" s="83"/>
      <c r="CN72" s="83"/>
      <c r="CO72" s="83"/>
      <c r="CP72" s="83"/>
    </row>
    <row r="73" spans="1:94" x14ac:dyDescent="0.25">
      <c r="A73" s="110" t="s">
        <v>38</v>
      </c>
      <c r="B73" s="98" t="s">
        <v>52</v>
      </c>
      <c r="C73" s="134">
        <v>1.0500000000000001E-2</v>
      </c>
      <c r="D73" s="135">
        <f>C73*D47</f>
        <v>11.786250000000001</v>
      </c>
      <c r="E73" s="134">
        <v>1.0500000000000001E-2</v>
      </c>
      <c r="F73" s="135">
        <f>E73*F47</f>
        <v>22.11825</v>
      </c>
      <c r="G73" s="134">
        <v>1.0500000000000001E-2</v>
      </c>
      <c r="H73" s="135">
        <f>G73*H47</f>
        <v>19.421850000000003</v>
      </c>
      <c r="I73" s="134">
        <v>1.0500000000000001E-2</v>
      </c>
      <c r="J73" s="135">
        <f>I73*J47</f>
        <v>24.573150000000002</v>
      </c>
      <c r="K73" s="134">
        <v>1.0500000000000001E-2</v>
      </c>
      <c r="L73" s="135">
        <f>K73*L47</f>
        <v>29.4861</v>
      </c>
      <c r="M73" s="134">
        <v>1.0500000000000001E-2</v>
      </c>
      <c r="N73" s="135">
        <f>M73*N47</f>
        <v>37.677150000000005</v>
      </c>
      <c r="O73" s="134">
        <v>1.0500000000000001E-2</v>
      </c>
      <c r="P73" s="135">
        <f>O73*P47</f>
        <v>31.357200000000002</v>
      </c>
      <c r="Q73" s="134">
        <v>1.0500000000000001E-2</v>
      </c>
      <c r="R73" s="135">
        <f>Q73*R47</f>
        <v>13.298250000000001</v>
      </c>
      <c r="S73" s="134">
        <v>1.0500000000000001E-2</v>
      </c>
      <c r="T73" s="135">
        <f>S73*T47</f>
        <v>28.872900000000005</v>
      </c>
      <c r="U73" s="134">
        <v>1.0500000000000001E-2</v>
      </c>
      <c r="V73" s="135">
        <f>U73*V47</f>
        <v>27.714750000000002</v>
      </c>
      <c r="W73" s="134">
        <v>1.0500000000000001E-2</v>
      </c>
      <c r="X73" s="135">
        <f>W73*X47</f>
        <v>25.330200000000001</v>
      </c>
      <c r="Y73" s="134">
        <v>1.0500000000000001E-2</v>
      </c>
      <c r="Z73" s="135">
        <f>Y73*Z47</f>
        <v>18.651150000000001</v>
      </c>
      <c r="AA73" s="134">
        <v>1.0500000000000001E-2</v>
      </c>
      <c r="AB73" s="135">
        <f>AA73*AB47</f>
        <v>23.534700000000001</v>
      </c>
      <c r="AC73" s="134">
        <v>1.0500000000000001E-2</v>
      </c>
      <c r="AD73" s="135">
        <f>AC73*AD47</f>
        <v>27.423900000000003</v>
      </c>
      <c r="AE73" s="134">
        <v>1.0500000000000001E-2</v>
      </c>
      <c r="AF73" s="135">
        <f>AE73*AF47</f>
        <v>26.247900000000005</v>
      </c>
      <c r="AG73" s="134">
        <v>1.0500000000000001E-2</v>
      </c>
      <c r="AH73" s="135">
        <f>AG73*AH47</f>
        <v>17.313450000000003</v>
      </c>
      <c r="AI73" s="134">
        <v>1.0500000000000001E-2</v>
      </c>
      <c r="AJ73" s="135">
        <f>AI73*AJ47</f>
        <v>21.515550000000001</v>
      </c>
      <c r="AK73" s="134">
        <v>1.0500000000000001E-2</v>
      </c>
      <c r="AL73" s="135">
        <f>AK73*AL47</f>
        <v>12.7995</v>
      </c>
      <c r="AM73" s="134">
        <v>1.0500000000000001E-2</v>
      </c>
      <c r="AN73" s="135">
        <f>AM73*AN47</f>
        <v>6.4869000000000003</v>
      </c>
      <c r="AO73" s="134">
        <v>1.0500000000000001E-2</v>
      </c>
      <c r="AP73" s="135">
        <f>AO73*AP47</f>
        <v>7.3636499999999998</v>
      </c>
      <c r="AQ73" s="134">
        <v>1.0500000000000001E-2</v>
      </c>
      <c r="AR73" s="135">
        <f>AQ73*AR47</f>
        <v>34.562849999999997</v>
      </c>
      <c r="AS73" s="134">
        <v>1.0500000000000001E-2</v>
      </c>
      <c r="AT73" s="135">
        <f>AS73*AT47</f>
        <v>40.139400000000002</v>
      </c>
      <c r="AU73" s="134">
        <v>1.0500000000000001E-2</v>
      </c>
      <c r="AV73" s="135">
        <f>AU73*AV47</f>
        <v>10.301550000000001</v>
      </c>
      <c r="AW73" s="134">
        <v>1.0500000000000001E-2</v>
      </c>
      <c r="AX73" s="135">
        <f>AW73*AX47</f>
        <v>27.144600000000001</v>
      </c>
      <c r="AY73" s="134">
        <v>1.0500000000000001E-2</v>
      </c>
      <c r="AZ73" s="135">
        <f>AY73*AZ47</f>
        <v>17.495100000000001</v>
      </c>
      <c r="BA73" s="134">
        <v>1.0500000000000001E-2</v>
      </c>
      <c r="BB73" s="135">
        <f>BA73*BB47</f>
        <v>20.7606</v>
      </c>
      <c r="BC73" s="134">
        <v>1.0500000000000001E-2</v>
      </c>
      <c r="BD73" s="135">
        <f>BC73*BD47</f>
        <v>7.8697500000000007</v>
      </c>
      <c r="BE73" s="134">
        <v>1.0500000000000001E-2</v>
      </c>
      <c r="BF73" s="135">
        <f>BE73*BF47</f>
        <v>33.15795</v>
      </c>
      <c r="BG73" s="134">
        <v>1.0500000000000001E-2</v>
      </c>
      <c r="BH73" s="135">
        <f>BG73*BH47</f>
        <v>18.820200000000003</v>
      </c>
      <c r="BI73" s="134">
        <v>1.0500000000000001E-2</v>
      </c>
      <c r="BJ73" s="135">
        <f>BI73*BJ47</f>
        <v>33.879300000000001</v>
      </c>
      <c r="BK73" s="134">
        <v>1.0500000000000001E-2</v>
      </c>
      <c r="BL73" s="135">
        <f>BK73*BL47</f>
        <v>32.869200000000006</v>
      </c>
      <c r="BM73" s="136"/>
      <c r="BN73" s="113" cm="1">
        <f t="array" ref="BN73">SUMPRODUCT((MOD(COLUMN(D73:BM73)-COLUMN(D73),2)=0)*D73:BM73)</f>
        <v>709.97325000000012</v>
      </c>
      <c r="CA73" s="83"/>
      <c r="CB73" s="83"/>
      <c r="CC73" s="83"/>
      <c r="CD73" s="83"/>
      <c r="CE73" s="83"/>
      <c r="CF73" s="83"/>
      <c r="CG73" s="83"/>
      <c r="CH73" s="83"/>
      <c r="CI73" s="83"/>
      <c r="CJ73" s="83"/>
      <c r="CK73" s="83"/>
      <c r="CL73" s="83"/>
      <c r="CM73" s="83"/>
      <c r="CN73" s="83"/>
      <c r="CO73" s="83"/>
      <c r="CP73" s="83"/>
    </row>
    <row r="74" spans="1:94" x14ac:dyDescent="0.25">
      <c r="A74" s="110" t="s">
        <v>39</v>
      </c>
      <c r="B74" s="98" t="s">
        <v>52</v>
      </c>
      <c r="C74" s="134">
        <v>1.0500000000000001E-2</v>
      </c>
      <c r="D74" s="135">
        <f>C74*D48</f>
        <v>9.8742000000000001</v>
      </c>
      <c r="E74" s="134">
        <v>1.0500000000000001E-2</v>
      </c>
      <c r="F74" s="135">
        <f>E74*F48</f>
        <v>5.3340000000000005</v>
      </c>
      <c r="G74" s="134">
        <v>1.0500000000000001E-2</v>
      </c>
      <c r="H74" s="135">
        <f>G74*H48</f>
        <v>0</v>
      </c>
      <c r="I74" s="134">
        <v>1.0500000000000001E-2</v>
      </c>
      <c r="J74" s="135">
        <f>I74*J48</f>
        <v>0</v>
      </c>
      <c r="K74" s="134">
        <v>1.0500000000000001E-2</v>
      </c>
      <c r="L74" s="135">
        <f>K74*L48</f>
        <v>10.5</v>
      </c>
      <c r="M74" s="134">
        <v>1.0500000000000001E-2</v>
      </c>
      <c r="N74" s="135">
        <f>M74*N48</f>
        <v>0</v>
      </c>
      <c r="O74" s="134">
        <v>1.0500000000000001E-2</v>
      </c>
      <c r="P74" s="135">
        <f>O74*P48</f>
        <v>0.13650000000000001</v>
      </c>
      <c r="Q74" s="134">
        <v>1.0500000000000001E-2</v>
      </c>
      <c r="R74" s="135">
        <f>Q74*R48</f>
        <v>0.60899999999999999</v>
      </c>
      <c r="S74" s="134">
        <v>1.0500000000000001E-2</v>
      </c>
      <c r="T74" s="135">
        <f>S74*T48</f>
        <v>0</v>
      </c>
      <c r="U74" s="134">
        <v>1.0500000000000001E-2</v>
      </c>
      <c r="V74" s="135">
        <f>U74*V48</f>
        <v>1.1025</v>
      </c>
      <c r="W74" s="134">
        <v>1.0500000000000001E-2</v>
      </c>
      <c r="X74" s="135">
        <f>W74*X48</f>
        <v>2.0265</v>
      </c>
      <c r="Y74" s="134">
        <v>1.0500000000000001E-2</v>
      </c>
      <c r="Z74" s="135">
        <f>Y74*Z48</f>
        <v>8.53965</v>
      </c>
      <c r="AA74" s="134">
        <v>1.0500000000000001E-2</v>
      </c>
      <c r="AB74" s="135">
        <f>AA74*AB48</f>
        <v>0.45150000000000001</v>
      </c>
      <c r="AC74" s="134">
        <v>1.0500000000000001E-2</v>
      </c>
      <c r="AD74" s="135">
        <f>AC74*AD48</f>
        <v>10.83705</v>
      </c>
      <c r="AE74" s="134">
        <v>1.0500000000000001E-2</v>
      </c>
      <c r="AF74" s="135">
        <f>AE74*AF48</f>
        <v>5.6910000000000007</v>
      </c>
      <c r="AG74" s="134">
        <v>1.0500000000000001E-2</v>
      </c>
      <c r="AH74" s="135">
        <f>AG74*AH48</f>
        <v>0</v>
      </c>
      <c r="AI74" s="134">
        <v>1.0500000000000001E-2</v>
      </c>
      <c r="AJ74" s="135">
        <f>AI74*AJ48</f>
        <v>0</v>
      </c>
      <c r="AK74" s="134">
        <v>1.0500000000000001E-2</v>
      </c>
      <c r="AL74" s="135">
        <f>AK74*AL48</f>
        <v>16.560600000000001</v>
      </c>
      <c r="AM74" s="134">
        <v>1.0500000000000001E-2</v>
      </c>
      <c r="AN74" s="135">
        <f>AM74*AN48</f>
        <v>0.1575</v>
      </c>
      <c r="AO74" s="134">
        <v>1.0500000000000001E-2</v>
      </c>
      <c r="AP74" s="135">
        <f>AO74*AP48</f>
        <v>0</v>
      </c>
      <c r="AQ74" s="134">
        <v>1.0500000000000001E-2</v>
      </c>
      <c r="AR74" s="135">
        <f>AQ74*AR48</f>
        <v>0.13650000000000001</v>
      </c>
      <c r="AS74" s="134">
        <v>1.0500000000000001E-2</v>
      </c>
      <c r="AT74" s="135">
        <f>AS74*AT48</f>
        <v>3.2550000000000003</v>
      </c>
      <c r="AU74" s="134">
        <v>1.0500000000000001E-2</v>
      </c>
      <c r="AV74" s="135">
        <f>AU74*AV48</f>
        <v>1.8501000000000001</v>
      </c>
      <c r="AW74" s="134">
        <v>1.0500000000000001E-2</v>
      </c>
      <c r="AX74" s="135">
        <f>AW74*AX48</f>
        <v>0</v>
      </c>
      <c r="AY74" s="134">
        <v>1.0500000000000001E-2</v>
      </c>
      <c r="AZ74" s="135">
        <f>AY74*AZ48</f>
        <v>6.1708500000000006</v>
      </c>
      <c r="BA74" s="134">
        <v>1.0500000000000001E-2</v>
      </c>
      <c r="BB74" s="135">
        <f>BA74*BB48</f>
        <v>0</v>
      </c>
      <c r="BC74" s="134">
        <v>1.0500000000000001E-2</v>
      </c>
      <c r="BD74" s="135">
        <f>BC74*BD48</f>
        <v>1.5708</v>
      </c>
      <c r="BE74" s="134">
        <v>1.0500000000000001E-2</v>
      </c>
      <c r="BF74" s="135">
        <f>BE74*BF48</f>
        <v>0.42000000000000004</v>
      </c>
      <c r="BG74" s="134">
        <v>1.0500000000000001E-2</v>
      </c>
      <c r="BH74" s="135">
        <f>BG74*BH48</f>
        <v>0</v>
      </c>
      <c r="BI74" s="134">
        <v>1.0500000000000001E-2</v>
      </c>
      <c r="BJ74" s="135">
        <f>BI74*BJ48</f>
        <v>1.3786500000000002</v>
      </c>
      <c r="BK74" s="134">
        <v>1.0500000000000001E-2</v>
      </c>
      <c r="BL74" s="135">
        <f>BK74*BL48</f>
        <v>4.62</v>
      </c>
      <c r="BM74" s="136"/>
      <c r="BN74" s="113" cm="1">
        <f t="array" ref="BN74">SUMPRODUCT((MOD(COLUMN(D74:BM74)-COLUMN(D74),2)=0)*D74:BM74)</f>
        <v>91.221900000000005</v>
      </c>
      <c r="CA74" s="83"/>
      <c r="CB74" s="83"/>
      <c r="CC74" s="83"/>
      <c r="CD74" s="83"/>
      <c r="CE74" s="83"/>
      <c r="CF74" s="83"/>
      <c r="CG74" s="83"/>
      <c r="CH74" s="83"/>
      <c r="CI74" s="83"/>
      <c r="CJ74" s="83"/>
      <c r="CK74" s="83"/>
      <c r="CL74" s="83"/>
      <c r="CM74" s="83"/>
      <c r="CN74" s="83"/>
      <c r="CO74" s="83"/>
      <c r="CP74" s="83"/>
    </row>
    <row r="75" spans="1:94" x14ac:dyDescent="0.25">
      <c r="A75" s="110"/>
      <c r="C75" s="137"/>
      <c r="D75" s="138"/>
      <c r="E75" s="137"/>
      <c r="F75" s="138"/>
      <c r="G75" s="137"/>
      <c r="H75" s="138"/>
      <c r="I75" s="137"/>
      <c r="J75" s="138"/>
      <c r="K75" s="137"/>
      <c r="L75" s="138"/>
      <c r="M75" s="137"/>
      <c r="N75" s="138"/>
      <c r="O75" s="137"/>
      <c r="P75" s="138"/>
      <c r="Q75" s="137"/>
      <c r="R75" s="138"/>
      <c r="S75" s="137"/>
      <c r="T75" s="138"/>
      <c r="U75" s="137"/>
      <c r="V75" s="138"/>
      <c r="W75" s="137"/>
      <c r="X75" s="138"/>
      <c r="Y75" s="137"/>
      <c r="Z75" s="138"/>
      <c r="AA75" s="137"/>
      <c r="AB75" s="138"/>
      <c r="AC75" s="137"/>
      <c r="AD75" s="138"/>
      <c r="AE75" s="137"/>
      <c r="AF75" s="138"/>
      <c r="AG75" s="137"/>
      <c r="AH75" s="138"/>
      <c r="AI75" s="137"/>
      <c r="AJ75" s="138"/>
      <c r="AK75" s="137"/>
      <c r="AL75" s="138"/>
      <c r="AM75" s="137"/>
      <c r="AN75" s="138"/>
      <c r="AO75" s="137"/>
      <c r="AP75" s="138"/>
      <c r="AQ75" s="137"/>
      <c r="AR75" s="138"/>
      <c r="AS75" s="137"/>
      <c r="AT75" s="138"/>
      <c r="AU75" s="137"/>
      <c r="AV75" s="138"/>
      <c r="AW75" s="137"/>
      <c r="AX75" s="138"/>
      <c r="AY75" s="137"/>
      <c r="AZ75" s="138"/>
      <c r="BA75" s="137"/>
      <c r="BB75" s="138"/>
      <c r="BC75" s="137"/>
      <c r="BD75" s="138"/>
      <c r="BE75" s="137"/>
      <c r="BF75" s="138"/>
      <c r="BG75" s="137"/>
      <c r="BH75" s="138"/>
      <c r="BI75" s="137"/>
      <c r="BJ75" s="138"/>
      <c r="BK75" s="137"/>
      <c r="BL75" s="138"/>
      <c r="BM75" s="120"/>
      <c r="BN75" s="138"/>
      <c r="CA75" s="83"/>
      <c r="CB75" s="83"/>
      <c r="CC75" s="83"/>
      <c r="CD75" s="83"/>
      <c r="CE75" s="83"/>
      <c r="CF75" s="83"/>
      <c r="CG75" s="83"/>
      <c r="CH75" s="83"/>
      <c r="CI75" s="83"/>
      <c r="CJ75" s="83"/>
      <c r="CK75" s="83"/>
      <c r="CL75" s="83"/>
      <c r="CM75" s="83"/>
      <c r="CN75" s="83"/>
      <c r="CO75" s="83"/>
      <c r="CP75" s="83"/>
    </row>
    <row r="76" spans="1:94" x14ac:dyDescent="0.25">
      <c r="A76" s="110" t="s">
        <v>60</v>
      </c>
      <c r="B76" s="98" t="s">
        <v>52</v>
      </c>
      <c r="C76" s="139">
        <v>0.75</v>
      </c>
      <c r="D76" s="140">
        <f>C76*D73</f>
        <v>8.8396875000000001</v>
      </c>
      <c r="E76" s="139">
        <v>0.75</v>
      </c>
      <c r="F76" s="140">
        <f>E76*F73</f>
        <v>16.588687499999999</v>
      </c>
      <c r="G76" s="139">
        <v>0.75</v>
      </c>
      <c r="H76" s="140">
        <f>G76*H73</f>
        <v>14.566387500000001</v>
      </c>
      <c r="I76" s="139">
        <v>0.75</v>
      </c>
      <c r="J76" s="140">
        <f>I76*J73</f>
        <v>18.429862500000002</v>
      </c>
      <c r="K76" s="139">
        <v>0.75</v>
      </c>
      <c r="L76" s="140">
        <f>K76*L73</f>
        <v>22.114575000000002</v>
      </c>
      <c r="M76" s="139">
        <v>0.75</v>
      </c>
      <c r="N76" s="140">
        <f>M76*N73</f>
        <v>28.257862500000002</v>
      </c>
      <c r="O76" s="139">
        <v>0.75</v>
      </c>
      <c r="P76" s="140">
        <f>O76*P73</f>
        <v>23.517900000000001</v>
      </c>
      <c r="Q76" s="139">
        <v>0.75</v>
      </c>
      <c r="R76" s="140">
        <f>Q76*R73</f>
        <v>9.9736875000000005</v>
      </c>
      <c r="S76" s="139">
        <v>0.75</v>
      </c>
      <c r="T76" s="140">
        <f>S76*T73</f>
        <v>21.654675000000005</v>
      </c>
      <c r="U76" s="139">
        <v>0.75</v>
      </c>
      <c r="V76" s="140">
        <f>U76*V73</f>
        <v>20.7860625</v>
      </c>
      <c r="W76" s="139">
        <v>0.75</v>
      </c>
      <c r="X76" s="140">
        <f>W76*X73</f>
        <v>18.99765</v>
      </c>
      <c r="Y76" s="139">
        <v>0.75</v>
      </c>
      <c r="Z76" s="140">
        <f>Y76*Z73</f>
        <v>13.988362500000001</v>
      </c>
      <c r="AA76" s="139">
        <v>0.75</v>
      </c>
      <c r="AB76" s="140">
        <f>AA76*AB73</f>
        <v>17.651025000000001</v>
      </c>
      <c r="AC76" s="139">
        <v>0.75</v>
      </c>
      <c r="AD76" s="140">
        <f>AC76*AD73</f>
        <v>20.567925000000002</v>
      </c>
      <c r="AE76" s="139">
        <v>0.75</v>
      </c>
      <c r="AF76" s="140">
        <f>AE76*AF73</f>
        <v>19.685925000000005</v>
      </c>
      <c r="AG76" s="139">
        <v>0.75</v>
      </c>
      <c r="AH76" s="140">
        <f>AG76*AH73</f>
        <v>12.985087500000002</v>
      </c>
      <c r="AI76" s="139">
        <v>0.75</v>
      </c>
      <c r="AJ76" s="140">
        <f>AI76*AJ73</f>
        <v>16.1366625</v>
      </c>
      <c r="AK76" s="139">
        <v>0.75</v>
      </c>
      <c r="AL76" s="140">
        <f>AK76*AL73</f>
        <v>9.5996249999999996</v>
      </c>
      <c r="AM76" s="139">
        <v>0.75</v>
      </c>
      <c r="AN76" s="140">
        <f>AM76*AN73</f>
        <v>4.8651750000000007</v>
      </c>
      <c r="AO76" s="139">
        <v>0.75</v>
      </c>
      <c r="AP76" s="140">
        <f>AO76*AP73</f>
        <v>5.5227374999999999</v>
      </c>
      <c r="AQ76" s="139">
        <v>0.75</v>
      </c>
      <c r="AR76" s="140">
        <f>AQ76*AR73</f>
        <v>25.922137499999998</v>
      </c>
      <c r="AS76" s="139">
        <v>0.75</v>
      </c>
      <c r="AT76" s="140">
        <f>AS76*AT73</f>
        <v>30.104550000000003</v>
      </c>
      <c r="AU76" s="139">
        <v>0.75</v>
      </c>
      <c r="AV76" s="140">
        <f>AU76*AV73</f>
        <v>7.7261625000000009</v>
      </c>
      <c r="AW76" s="139">
        <v>0.75</v>
      </c>
      <c r="AX76" s="140">
        <f>AW76*AX73</f>
        <v>20.358450000000001</v>
      </c>
      <c r="AY76" s="139">
        <v>0.75</v>
      </c>
      <c r="AZ76" s="140">
        <f>AY76*AZ73</f>
        <v>13.121325000000001</v>
      </c>
      <c r="BA76" s="139">
        <v>0.75</v>
      </c>
      <c r="BB76" s="140">
        <f>BA76*BB73</f>
        <v>15.570450000000001</v>
      </c>
      <c r="BC76" s="139">
        <v>0.75</v>
      </c>
      <c r="BD76" s="140">
        <f>BC76*BD73</f>
        <v>5.9023125000000007</v>
      </c>
      <c r="BE76" s="139">
        <v>0.75</v>
      </c>
      <c r="BF76" s="140">
        <f>BE76*BF73</f>
        <v>24.8684625</v>
      </c>
      <c r="BG76" s="139">
        <v>0.75</v>
      </c>
      <c r="BH76" s="140">
        <f>BG76*BH73</f>
        <v>14.115150000000003</v>
      </c>
      <c r="BI76" s="139">
        <v>0.75</v>
      </c>
      <c r="BJ76" s="140">
        <f>BI76*BJ73</f>
        <v>25.409475</v>
      </c>
      <c r="BK76" s="139">
        <v>0.75</v>
      </c>
      <c r="BL76" s="140">
        <f>BK76*BL73</f>
        <v>24.651900000000005</v>
      </c>
      <c r="BM76" s="141"/>
      <c r="BN76" s="113" cm="1">
        <f t="array" ref="BN76">SUMPRODUCT((MOD(COLUMN(D76:BM76)-COLUMN(D76),2)=0)*D76:BM76)</f>
        <v>532.47993750000012</v>
      </c>
      <c r="CA76" s="83"/>
      <c r="CB76" s="83"/>
      <c r="CC76" s="83"/>
      <c r="CD76" s="83"/>
      <c r="CE76" s="83"/>
      <c r="CF76" s="83"/>
      <c r="CG76" s="83"/>
      <c r="CH76" s="83"/>
      <c r="CI76" s="83"/>
      <c r="CJ76" s="83"/>
      <c r="CK76" s="83"/>
      <c r="CL76" s="83"/>
      <c r="CM76" s="83"/>
      <c r="CN76" s="83"/>
      <c r="CO76" s="83"/>
      <c r="CP76" s="83"/>
    </row>
    <row r="77" spans="1:94" x14ac:dyDescent="0.25">
      <c r="A77" s="110" t="s">
        <v>61</v>
      </c>
      <c r="B77" s="98" t="s">
        <v>52</v>
      </c>
      <c r="C77" s="139">
        <v>0.75</v>
      </c>
      <c r="D77" s="140">
        <f>C77*D74</f>
        <v>7.4056499999999996</v>
      </c>
      <c r="E77" s="139">
        <v>0.75</v>
      </c>
      <c r="F77" s="140">
        <f>E77*F74</f>
        <v>4.0005000000000006</v>
      </c>
      <c r="G77" s="139">
        <v>0.75</v>
      </c>
      <c r="H77" s="140">
        <f>G77*H74</f>
        <v>0</v>
      </c>
      <c r="I77" s="139">
        <v>0.75</v>
      </c>
      <c r="J77" s="140">
        <f>I77*J74</f>
        <v>0</v>
      </c>
      <c r="K77" s="139">
        <v>0.75</v>
      </c>
      <c r="L77" s="140">
        <f>K77*L74</f>
        <v>7.875</v>
      </c>
      <c r="M77" s="139">
        <v>0.75</v>
      </c>
      <c r="N77" s="140">
        <f>M77*N74</f>
        <v>0</v>
      </c>
      <c r="O77" s="139">
        <v>0.75</v>
      </c>
      <c r="P77" s="140">
        <f>O77*P74</f>
        <v>0.10237500000000001</v>
      </c>
      <c r="Q77" s="139">
        <v>0.75</v>
      </c>
      <c r="R77" s="140">
        <f>Q77*R74</f>
        <v>0.45674999999999999</v>
      </c>
      <c r="S77" s="139">
        <v>0.75</v>
      </c>
      <c r="T77" s="140">
        <f>S77*T74</f>
        <v>0</v>
      </c>
      <c r="U77" s="139">
        <v>0.75</v>
      </c>
      <c r="V77" s="140">
        <f>U77*V74</f>
        <v>0.82687500000000003</v>
      </c>
      <c r="W77" s="139">
        <v>0.75</v>
      </c>
      <c r="X77" s="140">
        <f>W77*X74</f>
        <v>1.5198749999999999</v>
      </c>
      <c r="Y77" s="139">
        <v>0.75</v>
      </c>
      <c r="Z77" s="140">
        <f>Y77*Z74</f>
        <v>6.4047374999999995</v>
      </c>
      <c r="AA77" s="139">
        <v>0.75</v>
      </c>
      <c r="AB77" s="140">
        <f>AA77*AB74</f>
        <v>0.33862500000000001</v>
      </c>
      <c r="AC77" s="139">
        <v>0.75</v>
      </c>
      <c r="AD77" s="140">
        <f>AC77*AD74</f>
        <v>8.1277875000000002</v>
      </c>
      <c r="AE77" s="139">
        <v>0.75</v>
      </c>
      <c r="AF77" s="140">
        <f>AE77*AF74</f>
        <v>4.2682500000000001</v>
      </c>
      <c r="AG77" s="139">
        <v>0.75</v>
      </c>
      <c r="AH77" s="140">
        <f>AG77*AH74</f>
        <v>0</v>
      </c>
      <c r="AI77" s="139">
        <v>0.75</v>
      </c>
      <c r="AJ77" s="140">
        <f>AI77*AJ74</f>
        <v>0</v>
      </c>
      <c r="AK77" s="139">
        <v>0.75</v>
      </c>
      <c r="AL77" s="140">
        <f>AK77*AL74</f>
        <v>12.420450000000001</v>
      </c>
      <c r="AM77" s="139">
        <v>0.75</v>
      </c>
      <c r="AN77" s="140">
        <f>AM77*AN74</f>
        <v>0.11812500000000001</v>
      </c>
      <c r="AO77" s="139">
        <v>0.75</v>
      </c>
      <c r="AP77" s="140">
        <f>AO77*AP74</f>
        <v>0</v>
      </c>
      <c r="AQ77" s="139">
        <v>0.75</v>
      </c>
      <c r="AR77" s="140">
        <f>AQ77*AR74</f>
        <v>0.10237500000000001</v>
      </c>
      <c r="AS77" s="139">
        <v>0.75</v>
      </c>
      <c r="AT77" s="140">
        <f>AS77*AT74</f>
        <v>2.4412500000000001</v>
      </c>
      <c r="AU77" s="139">
        <v>0.75</v>
      </c>
      <c r="AV77" s="140">
        <f>AU77*AV74</f>
        <v>1.387575</v>
      </c>
      <c r="AW77" s="139">
        <v>0.75</v>
      </c>
      <c r="AX77" s="140">
        <f>AW77*AX74</f>
        <v>0</v>
      </c>
      <c r="AY77" s="139">
        <v>0.75</v>
      </c>
      <c r="AZ77" s="140">
        <f>AY77*AZ74</f>
        <v>4.6281375000000002</v>
      </c>
      <c r="BA77" s="139">
        <v>0.75</v>
      </c>
      <c r="BB77" s="140">
        <f>BA77*BB74</f>
        <v>0</v>
      </c>
      <c r="BC77" s="139">
        <v>0.75</v>
      </c>
      <c r="BD77" s="140">
        <f>BC77*BD74</f>
        <v>1.1780999999999999</v>
      </c>
      <c r="BE77" s="139">
        <v>0.75</v>
      </c>
      <c r="BF77" s="140">
        <f>BE77*BF74</f>
        <v>0.31500000000000006</v>
      </c>
      <c r="BG77" s="139">
        <v>0.75</v>
      </c>
      <c r="BH77" s="140">
        <f>BG77*BH74</f>
        <v>0</v>
      </c>
      <c r="BI77" s="139">
        <v>0.75</v>
      </c>
      <c r="BJ77" s="140">
        <f>BI77*BJ74</f>
        <v>1.0339875000000001</v>
      </c>
      <c r="BK77" s="139">
        <v>0.75</v>
      </c>
      <c r="BL77" s="140">
        <f>BK77*BL74</f>
        <v>3.4649999999999999</v>
      </c>
      <c r="BM77" s="141"/>
      <c r="BN77" s="113" cm="1">
        <f t="array" ref="BN77">SUMPRODUCT((MOD(COLUMN(D77:BM77)-COLUMN(D77),2)=0)*D77:BM77)</f>
        <v>68.416425000000004</v>
      </c>
      <c r="CA77" s="83"/>
      <c r="CB77" s="83"/>
      <c r="CC77" s="83"/>
      <c r="CD77" s="83"/>
      <c r="CE77" s="83"/>
      <c r="CF77" s="83"/>
      <c r="CG77" s="83"/>
      <c r="CH77" s="83"/>
      <c r="CI77" s="83"/>
      <c r="CJ77" s="83"/>
      <c r="CK77" s="83"/>
      <c r="CL77" s="83"/>
      <c r="CM77" s="83"/>
      <c r="CN77" s="83"/>
      <c r="CO77" s="83"/>
      <c r="CP77" s="83"/>
    </row>
    <row r="78" spans="1:94" x14ac:dyDescent="0.25">
      <c r="A78" s="110" t="s">
        <v>62</v>
      </c>
      <c r="B78" s="98" t="s">
        <v>52</v>
      </c>
      <c r="C78" s="139">
        <v>0.25</v>
      </c>
      <c r="D78" s="140">
        <f>C78*D73</f>
        <v>2.9465625000000002</v>
      </c>
      <c r="E78" s="139">
        <v>0.25</v>
      </c>
      <c r="F78" s="140">
        <f>E78*F73</f>
        <v>5.5295624999999999</v>
      </c>
      <c r="G78" s="139">
        <v>0.25</v>
      </c>
      <c r="H78" s="140">
        <f>G78*H73</f>
        <v>4.8554625000000007</v>
      </c>
      <c r="I78" s="139">
        <v>0.25</v>
      </c>
      <c r="J78" s="140">
        <f>I78*J73</f>
        <v>6.1432875000000005</v>
      </c>
      <c r="K78" s="139">
        <v>0.25</v>
      </c>
      <c r="L78" s="140">
        <f>K78*L73</f>
        <v>7.3715250000000001</v>
      </c>
      <c r="M78" s="139">
        <v>0.25</v>
      </c>
      <c r="N78" s="140">
        <f>M78*N73</f>
        <v>9.4192875000000011</v>
      </c>
      <c r="O78" s="139">
        <v>0.25</v>
      </c>
      <c r="P78" s="140">
        <f>O78*P73</f>
        <v>7.8393000000000006</v>
      </c>
      <c r="Q78" s="139">
        <v>0.25</v>
      </c>
      <c r="R78" s="140">
        <f>Q78*R73</f>
        <v>3.3245625000000003</v>
      </c>
      <c r="S78" s="139">
        <v>0.25</v>
      </c>
      <c r="T78" s="140">
        <f>S78*T73</f>
        <v>7.2182250000000012</v>
      </c>
      <c r="U78" s="139">
        <v>0.25</v>
      </c>
      <c r="V78" s="140">
        <f>U78*V73</f>
        <v>6.9286875000000006</v>
      </c>
      <c r="W78" s="139">
        <v>0.25</v>
      </c>
      <c r="X78" s="140">
        <f>W78*X73</f>
        <v>6.3325500000000003</v>
      </c>
      <c r="Y78" s="139">
        <v>0.25</v>
      </c>
      <c r="Z78" s="140">
        <f>Y78*Z73</f>
        <v>4.6627875000000003</v>
      </c>
      <c r="AA78" s="139">
        <v>0.25</v>
      </c>
      <c r="AB78" s="140">
        <f>AA78*AB73</f>
        <v>5.8836750000000002</v>
      </c>
      <c r="AC78" s="139">
        <v>0.25</v>
      </c>
      <c r="AD78" s="140">
        <f>AC78*AD73</f>
        <v>6.8559750000000008</v>
      </c>
      <c r="AE78" s="139">
        <v>0.25</v>
      </c>
      <c r="AF78" s="140">
        <f>AE78*AF73</f>
        <v>6.5619750000000012</v>
      </c>
      <c r="AG78" s="139">
        <v>0.25</v>
      </c>
      <c r="AH78" s="140">
        <f>AG78*AH73</f>
        <v>4.3283625000000008</v>
      </c>
      <c r="AI78" s="139">
        <v>0.25</v>
      </c>
      <c r="AJ78" s="140">
        <f>AI78*AJ73</f>
        <v>5.3788875000000003</v>
      </c>
      <c r="AK78" s="139">
        <v>0.25</v>
      </c>
      <c r="AL78" s="140">
        <f>AK78*AL73</f>
        <v>3.199875</v>
      </c>
      <c r="AM78" s="139">
        <v>0.25</v>
      </c>
      <c r="AN78" s="140">
        <f>AM78*AN73</f>
        <v>1.6217250000000001</v>
      </c>
      <c r="AO78" s="139">
        <v>0.25</v>
      </c>
      <c r="AP78" s="140">
        <f>AO78*AP73</f>
        <v>1.8409125</v>
      </c>
      <c r="AQ78" s="139">
        <v>0.25</v>
      </c>
      <c r="AR78" s="140">
        <f>AQ78*AR73</f>
        <v>8.6407124999999994</v>
      </c>
      <c r="AS78" s="139">
        <v>0.25</v>
      </c>
      <c r="AT78" s="140">
        <f>AS78*AT73</f>
        <v>10.03485</v>
      </c>
      <c r="AU78" s="139">
        <v>0.25</v>
      </c>
      <c r="AV78" s="140">
        <f>AU78*AV73</f>
        <v>2.5753875000000002</v>
      </c>
      <c r="AW78" s="139">
        <v>0.25</v>
      </c>
      <c r="AX78" s="140">
        <f>AW78*AX73</f>
        <v>6.7861500000000001</v>
      </c>
      <c r="AY78" s="139">
        <v>0.25</v>
      </c>
      <c r="AZ78" s="140">
        <f>AY78*AZ73</f>
        <v>4.3737750000000002</v>
      </c>
      <c r="BA78" s="139">
        <v>0.25</v>
      </c>
      <c r="BB78" s="140">
        <f>BA78*BB73</f>
        <v>5.19015</v>
      </c>
      <c r="BC78" s="139">
        <v>0.25</v>
      </c>
      <c r="BD78" s="140">
        <f>BC78*BD73</f>
        <v>1.9674375000000002</v>
      </c>
      <c r="BE78" s="139">
        <v>0.25</v>
      </c>
      <c r="BF78" s="140">
        <f>BE78*BF73</f>
        <v>8.2894874999999999</v>
      </c>
      <c r="BG78" s="139">
        <v>0.25</v>
      </c>
      <c r="BH78" s="140">
        <f>BG78*BH73</f>
        <v>4.7050500000000008</v>
      </c>
      <c r="BI78" s="139">
        <v>0.25</v>
      </c>
      <c r="BJ78" s="140">
        <f>BI78*BJ73</f>
        <v>8.4698250000000002</v>
      </c>
      <c r="BK78" s="139">
        <v>0.25</v>
      </c>
      <c r="BL78" s="140">
        <f>BK78*BL73</f>
        <v>8.2173000000000016</v>
      </c>
      <c r="BM78" s="141"/>
      <c r="BN78" s="113" cm="1">
        <f t="array" ref="BN78">SUMPRODUCT((MOD(COLUMN(D78:BM78)-COLUMN(D78),2)=0)*D78:BM78)</f>
        <v>177.49331250000003</v>
      </c>
      <c r="CA78" s="83"/>
      <c r="CB78" s="83"/>
      <c r="CC78" s="83"/>
      <c r="CD78" s="83"/>
      <c r="CE78" s="83"/>
      <c r="CF78" s="83"/>
      <c r="CG78" s="83"/>
      <c r="CH78" s="83"/>
      <c r="CI78" s="83"/>
      <c r="CJ78" s="83"/>
      <c r="CK78" s="83"/>
      <c r="CL78" s="83"/>
      <c r="CM78" s="83"/>
      <c r="CN78" s="83"/>
      <c r="CO78" s="83"/>
      <c r="CP78" s="83"/>
    </row>
    <row r="79" spans="1:94" x14ac:dyDescent="0.25">
      <c r="A79" s="110" t="s">
        <v>63</v>
      </c>
      <c r="B79" s="98" t="s">
        <v>52</v>
      </c>
      <c r="C79" s="139">
        <v>0.25</v>
      </c>
      <c r="D79" s="140">
        <f>C79*D74</f>
        <v>2.46855</v>
      </c>
      <c r="E79" s="139">
        <v>0.25</v>
      </c>
      <c r="F79" s="140">
        <f>E79*F74</f>
        <v>1.3335000000000001</v>
      </c>
      <c r="G79" s="139">
        <v>0.25</v>
      </c>
      <c r="H79" s="140">
        <f>G79*H74</f>
        <v>0</v>
      </c>
      <c r="I79" s="139">
        <v>0.25</v>
      </c>
      <c r="J79" s="140">
        <f>I79*J74</f>
        <v>0</v>
      </c>
      <c r="K79" s="139">
        <v>0.25</v>
      </c>
      <c r="L79" s="140">
        <f>K79*L74</f>
        <v>2.625</v>
      </c>
      <c r="M79" s="139">
        <v>0.25</v>
      </c>
      <c r="N79" s="140">
        <f>M79*N74</f>
        <v>0</v>
      </c>
      <c r="O79" s="139">
        <v>0.25</v>
      </c>
      <c r="P79" s="140">
        <f>O79*P74</f>
        <v>3.4125000000000003E-2</v>
      </c>
      <c r="Q79" s="139">
        <v>0.25</v>
      </c>
      <c r="R79" s="140">
        <f>Q79*R74</f>
        <v>0.15225</v>
      </c>
      <c r="S79" s="139">
        <v>0.25</v>
      </c>
      <c r="T79" s="140">
        <f>S79*T74</f>
        <v>0</v>
      </c>
      <c r="U79" s="139">
        <v>0.25</v>
      </c>
      <c r="V79" s="140">
        <f>U79*V74</f>
        <v>0.27562500000000001</v>
      </c>
      <c r="W79" s="139">
        <v>0.25</v>
      </c>
      <c r="X79" s="140">
        <f>W79*X74</f>
        <v>0.50662499999999999</v>
      </c>
      <c r="Y79" s="139">
        <v>0.25</v>
      </c>
      <c r="Z79" s="140">
        <f>Y79*Z74</f>
        <v>2.1349125</v>
      </c>
      <c r="AA79" s="139">
        <v>0.25</v>
      </c>
      <c r="AB79" s="140">
        <f>AA79*AB74</f>
        <v>0.112875</v>
      </c>
      <c r="AC79" s="139">
        <v>0.25</v>
      </c>
      <c r="AD79" s="140">
        <f>AC79*AD74</f>
        <v>2.7092624999999999</v>
      </c>
      <c r="AE79" s="139">
        <v>0.25</v>
      </c>
      <c r="AF79" s="140">
        <f>AE79*AF74</f>
        <v>1.4227500000000002</v>
      </c>
      <c r="AG79" s="139">
        <v>0.25</v>
      </c>
      <c r="AH79" s="140">
        <f>AG79*AH74</f>
        <v>0</v>
      </c>
      <c r="AI79" s="139">
        <v>0.25</v>
      </c>
      <c r="AJ79" s="140">
        <f>AI79*AJ74</f>
        <v>0</v>
      </c>
      <c r="AK79" s="139">
        <v>0.25</v>
      </c>
      <c r="AL79" s="140">
        <f>AK79*AL74</f>
        <v>4.1401500000000002</v>
      </c>
      <c r="AM79" s="139">
        <v>0.25</v>
      </c>
      <c r="AN79" s="140">
        <f>AM79*AN74</f>
        <v>3.9375E-2</v>
      </c>
      <c r="AO79" s="139">
        <v>0.25</v>
      </c>
      <c r="AP79" s="140">
        <f>AO79*AP74</f>
        <v>0</v>
      </c>
      <c r="AQ79" s="139">
        <v>0.25</v>
      </c>
      <c r="AR79" s="140">
        <f>AQ79*AR74</f>
        <v>3.4125000000000003E-2</v>
      </c>
      <c r="AS79" s="139">
        <v>0.25</v>
      </c>
      <c r="AT79" s="140">
        <f>AS79*AT74</f>
        <v>0.81375000000000008</v>
      </c>
      <c r="AU79" s="139">
        <v>0.25</v>
      </c>
      <c r="AV79" s="140">
        <f>AU79*AV74</f>
        <v>0.46252500000000002</v>
      </c>
      <c r="AW79" s="139">
        <v>0.25</v>
      </c>
      <c r="AX79" s="140">
        <f>AW79*AX74</f>
        <v>0</v>
      </c>
      <c r="AY79" s="139">
        <v>0.25</v>
      </c>
      <c r="AZ79" s="140">
        <f>AY79*AZ74</f>
        <v>1.5427125000000002</v>
      </c>
      <c r="BA79" s="139">
        <v>0.25</v>
      </c>
      <c r="BB79" s="140">
        <f>BA79*BB74</f>
        <v>0</v>
      </c>
      <c r="BC79" s="139">
        <v>0.25</v>
      </c>
      <c r="BD79" s="140">
        <f>BC79*BD74</f>
        <v>0.39269999999999999</v>
      </c>
      <c r="BE79" s="139">
        <v>0.25</v>
      </c>
      <c r="BF79" s="140">
        <f>BE79*BF74</f>
        <v>0.10500000000000001</v>
      </c>
      <c r="BG79" s="139">
        <v>0.25</v>
      </c>
      <c r="BH79" s="140">
        <f>BG79*BH74</f>
        <v>0</v>
      </c>
      <c r="BI79" s="139">
        <v>0.25</v>
      </c>
      <c r="BJ79" s="140">
        <f>BI79*BJ74</f>
        <v>0.34466250000000004</v>
      </c>
      <c r="BK79" s="139">
        <v>0.25</v>
      </c>
      <c r="BL79" s="140">
        <f>BK79*BL74</f>
        <v>1.155</v>
      </c>
      <c r="BM79" s="141"/>
      <c r="BN79" s="113" cm="1">
        <f t="array" ref="BN79">SUMPRODUCT((MOD(COLUMN(D79:BM79)-COLUMN(D79),2)=0)*D79:BM79)</f>
        <v>22.805475000000001</v>
      </c>
      <c r="CA79" s="83"/>
      <c r="CB79" s="83"/>
      <c r="CC79" s="83"/>
      <c r="CD79" s="83"/>
      <c r="CE79" s="83"/>
      <c r="CF79" s="83"/>
      <c r="CG79" s="83"/>
      <c r="CH79" s="83"/>
      <c r="CI79" s="83"/>
      <c r="CJ79" s="83"/>
      <c r="CK79" s="83"/>
      <c r="CL79" s="83"/>
      <c r="CM79" s="83"/>
      <c r="CN79" s="83"/>
      <c r="CO79" s="83"/>
      <c r="CP79" s="83"/>
    </row>
    <row r="80" spans="1:94" x14ac:dyDescent="0.25">
      <c r="A80" s="107" t="s">
        <v>64</v>
      </c>
      <c r="B80" s="101"/>
      <c r="C80" s="115"/>
      <c r="D80" s="116">
        <f>SUM(D78:D79)</f>
        <v>5.4151125000000002</v>
      </c>
      <c r="E80" s="115"/>
      <c r="F80" s="116">
        <f>SUM(F78:F79)</f>
        <v>6.8630624999999998</v>
      </c>
      <c r="G80" s="115"/>
      <c r="H80" s="116">
        <f>SUM(H78:H79)</f>
        <v>4.8554625000000007</v>
      </c>
      <c r="I80" s="115"/>
      <c r="J80" s="116">
        <f>SUM(J78:J79)</f>
        <v>6.1432875000000005</v>
      </c>
      <c r="K80" s="115"/>
      <c r="L80" s="116">
        <f>SUM(L78:L79)</f>
        <v>9.9965250000000001</v>
      </c>
      <c r="M80" s="115"/>
      <c r="N80" s="116">
        <f>SUM(N78:N79)</f>
        <v>9.4192875000000011</v>
      </c>
      <c r="O80" s="115"/>
      <c r="P80" s="116">
        <f>SUM(P78:P79)</f>
        <v>7.873425000000001</v>
      </c>
      <c r="Q80" s="115"/>
      <c r="R80" s="116">
        <f>SUM(R78:R79)</f>
        <v>3.4768125000000003</v>
      </c>
      <c r="S80" s="115"/>
      <c r="T80" s="116">
        <f>SUM(T78:T79)</f>
        <v>7.2182250000000012</v>
      </c>
      <c r="U80" s="115"/>
      <c r="V80" s="116">
        <f>SUM(V78:V79)</f>
        <v>7.2043125000000003</v>
      </c>
      <c r="W80" s="115"/>
      <c r="X80" s="116">
        <f>SUM(X78:X79)</f>
        <v>6.839175</v>
      </c>
      <c r="Y80" s="115"/>
      <c r="Z80" s="116">
        <f>SUM(Z78:Z79)</f>
        <v>6.7977000000000007</v>
      </c>
      <c r="AA80" s="115"/>
      <c r="AB80" s="116">
        <f>SUM(AB78:AB79)</f>
        <v>5.99655</v>
      </c>
      <c r="AC80" s="115"/>
      <c r="AD80" s="116">
        <f>SUM(AD78:AD79)</f>
        <v>9.5652375000000003</v>
      </c>
      <c r="AE80" s="115"/>
      <c r="AF80" s="116">
        <f>SUM(AF78:AF79)</f>
        <v>7.984725000000001</v>
      </c>
      <c r="AG80" s="115"/>
      <c r="AH80" s="116">
        <f>SUM(AH78:AH79)</f>
        <v>4.3283625000000008</v>
      </c>
      <c r="AI80" s="115"/>
      <c r="AJ80" s="116">
        <f>SUM(AJ78:AJ79)</f>
        <v>5.3788875000000003</v>
      </c>
      <c r="AK80" s="115"/>
      <c r="AL80" s="116">
        <f>SUM(AL78:AL79)</f>
        <v>7.3400250000000007</v>
      </c>
      <c r="AM80" s="115"/>
      <c r="AN80" s="116">
        <f>SUM(AN78:AN79)</f>
        <v>1.6611</v>
      </c>
      <c r="AO80" s="115"/>
      <c r="AP80" s="116">
        <f>SUM(AP78:AP79)</f>
        <v>1.8409125</v>
      </c>
      <c r="AQ80" s="115"/>
      <c r="AR80" s="116">
        <f>SUM(AR78:AR79)</f>
        <v>8.6748374999999989</v>
      </c>
      <c r="AS80" s="115"/>
      <c r="AT80" s="116">
        <f>SUM(AT78:AT79)</f>
        <v>10.848600000000001</v>
      </c>
      <c r="AU80" s="115"/>
      <c r="AV80" s="116">
        <f>SUM(AV78:AV79)</f>
        <v>3.0379125</v>
      </c>
      <c r="AW80" s="115"/>
      <c r="AX80" s="116">
        <f>SUM(AX78:AX79)</f>
        <v>6.7861500000000001</v>
      </c>
      <c r="AY80" s="115"/>
      <c r="AZ80" s="116">
        <f>SUM(AZ78:AZ79)</f>
        <v>5.9164875000000006</v>
      </c>
      <c r="BA80" s="115"/>
      <c r="BB80" s="116">
        <f>SUM(BB78:BB79)</f>
        <v>5.19015</v>
      </c>
      <c r="BC80" s="115"/>
      <c r="BD80" s="116">
        <f>SUM(BD78:BD79)</f>
        <v>2.3601375</v>
      </c>
      <c r="BE80" s="115"/>
      <c r="BF80" s="116">
        <f>SUM(BF78:BF79)</f>
        <v>8.3944875000000003</v>
      </c>
      <c r="BG80" s="115"/>
      <c r="BH80" s="116">
        <f>SUM(BH78:BH79)</f>
        <v>4.7050500000000008</v>
      </c>
      <c r="BI80" s="115"/>
      <c r="BJ80" s="116">
        <f>SUM(BJ78:BJ79)</f>
        <v>8.8144875000000003</v>
      </c>
      <c r="BK80" s="115"/>
      <c r="BL80" s="116">
        <f>SUM(BL78:BL79)</f>
        <v>9.372300000000001</v>
      </c>
      <c r="BM80" s="117"/>
      <c r="BN80" s="116">
        <f>SUM(C80:BM80)</f>
        <v>200.2987875</v>
      </c>
      <c r="CA80" s="83"/>
      <c r="CB80" s="83"/>
      <c r="CC80" s="83"/>
      <c r="CD80" s="83"/>
      <c r="CE80" s="83"/>
      <c r="CF80" s="83"/>
      <c r="CG80" s="83"/>
      <c r="CH80" s="83"/>
      <c r="CI80" s="83"/>
      <c r="CJ80" s="83"/>
      <c r="CK80" s="83"/>
      <c r="CL80" s="83"/>
      <c r="CM80" s="83"/>
      <c r="CN80" s="83"/>
      <c r="CO80" s="83"/>
      <c r="CP80" s="83"/>
    </row>
    <row r="81" spans="1:1" x14ac:dyDescent="0.25">
      <c r="A81" s="1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D636-C9DB-4138-919D-633CB1F9833C}">
  <sheetPr codeName="Sheet4">
    <tabColor theme="0" tint="-0.249977111117893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1083B-028F-447E-9362-BE6C11E37C7A}">
  <sheetPr codeName="Sheet3"/>
  <dimension ref="A2:CP81"/>
  <sheetViews>
    <sheetView showGridLines="0" topLeftCell="A3" workbookViewId="0">
      <selection activeCell="C21" sqref="C21"/>
    </sheetView>
  </sheetViews>
  <sheetFormatPr defaultColWidth="9.140625" defaultRowHeight="12.75" x14ac:dyDescent="0.25"/>
  <cols>
    <col min="1" max="1" width="26.7109375" style="79" customWidth="1"/>
    <col min="2" max="2" width="19.7109375" style="79" customWidth="1"/>
    <col min="3" max="3" width="20.7109375" style="79" customWidth="1"/>
    <col min="4" max="4" width="20.7109375" style="82" customWidth="1"/>
    <col min="5" max="5" width="20.7109375" style="83" customWidth="1"/>
    <col min="6" max="6" width="20.7109375" style="82" customWidth="1"/>
    <col min="7" max="7" width="20.7109375" style="83" customWidth="1"/>
    <col min="8" max="8" width="20.7109375" style="82" customWidth="1"/>
    <col min="9" max="9" width="20.7109375" style="83" customWidth="1"/>
    <col min="10" max="10" width="20.7109375" style="82" customWidth="1"/>
    <col min="11" max="11" width="20.7109375" style="83" customWidth="1"/>
    <col min="12" max="12" width="20.7109375" style="82" customWidth="1"/>
    <col min="13" max="13" width="20.7109375" style="83" customWidth="1"/>
    <col min="14" max="14" width="20.7109375" style="82" customWidth="1"/>
    <col min="15" max="66" width="20.7109375" style="83" customWidth="1"/>
    <col min="67" max="75" width="11.42578125" style="83" customWidth="1"/>
    <col min="76" max="76" width="10.42578125" style="83" bestFit="1" customWidth="1"/>
    <col min="77" max="78" width="9.140625" style="83"/>
    <col min="79" max="16384" width="9.140625" style="79"/>
  </cols>
  <sheetData>
    <row r="2" spans="1:94" ht="15.75" x14ac:dyDescent="0.25">
      <c r="A2" s="78" t="s">
        <v>0</v>
      </c>
      <c r="D2" s="80"/>
      <c r="E2" s="81"/>
      <c r="F2" s="80"/>
      <c r="G2" s="81"/>
    </row>
    <row r="3" spans="1:94" x14ac:dyDescent="0.25">
      <c r="A3" s="79" t="s">
        <v>1</v>
      </c>
      <c r="D3" s="80"/>
      <c r="E3" s="81"/>
      <c r="F3" s="80"/>
      <c r="G3" s="81"/>
    </row>
    <row r="4" spans="1:94" x14ac:dyDescent="0.25">
      <c r="A4" s="1">
        <v>45839</v>
      </c>
      <c r="D4" s="80"/>
      <c r="E4" s="81"/>
      <c r="F4" s="80"/>
      <c r="G4" s="81"/>
    </row>
    <row r="5" spans="1:94" x14ac:dyDescent="0.25">
      <c r="D5" s="80"/>
      <c r="E5" s="81"/>
      <c r="F5" s="80"/>
      <c r="G5" s="81"/>
    </row>
    <row r="6" spans="1:94" s="84" customFormat="1" x14ac:dyDescent="0.25">
      <c r="B6" s="85"/>
      <c r="C6" s="150">
        <f>IF(MOD(COLUMN()-COLUMN($C$6),2)=0,IF(DAY(DATE(YEAR($A$4),MONTH($A$4),(COLUMN()-COLUMN($C$6))/2+1))=(COLUMN()-COLUMN($C$6))/2+1,DATE(YEAR($A$4),MONTH($A$4),(COLUMN()-COLUMN($C$6))/2+1),""),"")</f>
        <v>45839</v>
      </c>
      <c r="D6" s="150" t="str">
        <f t="shared" ref="D6:BL6" si="0">IF(MOD(COLUMN()-COLUMN($C$6),2)=0,IF(DAY(DATE(YEAR($A$4),MONTH($A$4),(COLUMN()-COLUMN($C$6))/2+1))=(COLUMN()-COLUMN($C$6))/2+1,DATE(YEAR($A$4),MONTH($A$4),(COLUMN()-COLUMN($C$6))/2+1),""),"")</f>
        <v/>
      </c>
      <c r="E6" s="150">
        <f t="shared" si="0"/>
        <v>45840</v>
      </c>
      <c r="F6" s="150" t="str">
        <f t="shared" si="0"/>
        <v/>
      </c>
      <c r="G6" s="150">
        <f t="shared" si="0"/>
        <v>45841</v>
      </c>
      <c r="H6" s="150" t="str">
        <f t="shared" si="0"/>
        <v/>
      </c>
      <c r="I6" s="150">
        <f t="shared" si="0"/>
        <v>45842</v>
      </c>
      <c r="J6" s="150" t="str">
        <f t="shared" si="0"/>
        <v/>
      </c>
      <c r="K6" s="150">
        <f t="shared" si="0"/>
        <v>45843</v>
      </c>
      <c r="L6" s="150" t="str">
        <f t="shared" si="0"/>
        <v/>
      </c>
      <c r="M6" s="150">
        <f t="shared" si="0"/>
        <v>45844</v>
      </c>
      <c r="N6" s="150" t="str">
        <f t="shared" si="0"/>
        <v/>
      </c>
      <c r="O6" s="150">
        <f t="shared" si="0"/>
        <v>45845</v>
      </c>
      <c r="P6" s="150" t="str">
        <f t="shared" si="0"/>
        <v/>
      </c>
      <c r="Q6" s="150">
        <f t="shared" si="0"/>
        <v>45846</v>
      </c>
      <c r="R6" s="150" t="str">
        <f t="shared" si="0"/>
        <v/>
      </c>
      <c r="S6" s="150">
        <f t="shared" si="0"/>
        <v>45847</v>
      </c>
      <c r="T6" s="150" t="str">
        <f t="shared" si="0"/>
        <v/>
      </c>
      <c r="U6" s="150">
        <f t="shared" si="0"/>
        <v>45848</v>
      </c>
      <c r="V6" s="150" t="str">
        <f t="shared" si="0"/>
        <v/>
      </c>
      <c r="W6" s="150">
        <f t="shared" si="0"/>
        <v>45849</v>
      </c>
      <c r="X6" s="150" t="str">
        <f t="shared" si="0"/>
        <v/>
      </c>
      <c r="Y6" s="150">
        <f t="shared" si="0"/>
        <v>45850</v>
      </c>
      <c r="Z6" s="150" t="str">
        <f t="shared" si="0"/>
        <v/>
      </c>
      <c r="AA6" s="150">
        <f t="shared" si="0"/>
        <v>45851</v>
      </c>
      <c r="AB6" s="150" t="str">
        <f t="shared" si="0"/>
        <v/>
      </c>
      <c r="AC6" s="150">
        <f t="shared" si="0"/>
        <v>45852</v>
      </c>
      <c r="AD6" s="150" t="str">
        <f t="shared" si="0"/>
        <v/>
      </c>
      <c r="AE6" s="150">
        <f t="shared" si="0"/>
        <v>45853</v>
      </c>
      <c r="AF6" s="150" t="str">
        <f t="shared" si="0"/>
        <v/>
      </c>
      <c r="AG6" s="150">
        <f t="shared" si="0"/>
        <v>45854</v>
      </c>
      <c r="AH6" s="150" t="str">
        <f t="shared" si="0"/>
        <v/>
      </c>
      <c r="AI6" s="150">
        <f t="shared" si="0"/>
        <v>45855</v>
      </c>
      <c r="AJ6" s="150" t="str">
        <f t="shared" si="0"/>
        <v/>
      </c>
      <c r="AK6" s="150">
        <f t="shared" si="0"/>
        <v>45856</v>
      </c>
      <c r="AL6" s="150" t="str">
        <f t="shared" si="0"/>
        <v/>
      </c>
      <c r="AM6" s="150">
        <f t="shared" si="0"/>
        <v>45857</v>
      </c>
      <c r="AN6" s="150" t="str">
        <f t="shared" si="0"/>
        <v/>
      </c>
      <c r="AO6" s="150">
        <f t="shared" si="0"/>
        <v>45858</v>
      </c>
      <c r="AP6" s="150" t="str">
        <f t="shared" si="0"/>
        <v/>
      </c>
      <c r="AQ6" s="150">
        <f t="shared" si="0"/>
        <v>45859</v>
      </c>
      <c r="AR6" s="150" t="str">
        <f t="shared" si="0"/>
        <v/>
      </c>
      <c r="AS6" s="150">
        <f t="shared" si="0"/>
        <v>45860</v>
      </c>
      <c r="AT6" s="150" t="str">
        <f t="shared" si="0"/>
        <v/>
      </c>
      <c r="AU6" s="150">
        <f t="shared" si="0"/>
        <v>45861</v>
      </c>
      <c r="AV6" s="150" t="str">
        <f t="shared" si="0"/>
        <v/>
      </c>
      <c r="AW6" s="150">
        <f t="shared" si="0"/>
        <v>45862</v>
      </c>
      <c r="AX6" s="150" t="str">
        <f t="shared" si="0"/>
        <v/>
      </c>
      <c r="AY6" s="150">
        <f t="shared" si="0"/>
        <v>45863</v>
      </c>
      <c r="AZ6" s="150" t="str">
        <f t="shared" si="0"/>
        <v/>
      </c>
      <c r="BA6" s="150">
        <f t="shared" si="0"/>
        <v>45864</v>
      </c>
      <c r="BB6" s="150" t="str">
        <f t="shared" si="0"/>
        <v/>
      </c>
      <c r="BC6" s="150">
        <f t="shared" si="0"/>
        <v>45865</v>
      </c>
      <c r="BD6" s="150" t="str">
        <f t="shared" si="0"/>
        <v/>
      </c>
      <c r="BE6" s="150">
        <f t="shared" si="0"/>
        <v>45866</v>
      </c>
      <c r="BF6" s="150" t="str">
        <f t="shared" si="0"/>
        <v/>
      </c>
      <c r="BG6" s="150">
        <f t="shared" si="0"/>
        <v>45867</v>
      </c>
      <c r="BH6" s="150" t="str">
        <f t="shared" si="0"/>
        <v/>
      </c>
      <c r="BI6" s="150">
        <f t="shared" si="0"/>
        <v>45868</v>
      </c>
      <c r="BJ6" s="150" t="str">
        <f t="shared" si="0"/>
        <v/>
      </c>
      <c r="BK6" s="150">
        <f t="shared" si="0"/>
        <v>45869</v>
      </c>
      <c r="BL6" s="150" t="str">
        <f t="shared" si="0"/>
        <v/>
      </c>
      <c r="BM6" s="151"/>
      <c r="BN6" s="151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7"/>
      <c r="BZ6" s="87"/>
    </row>
    <row r="7" spans="1:94" x14ac:dyDescent="0.25">
      <c r="B7" s="149" t="s">
        <v>2</v>
      </c>
      <c r="C7" s="146" t="s">
        <v>3</v>
      </c>
      <c r="D7" s="147" t="s">
        <v>4</v>
      </c>
      <c r="E7" s="146" t="s">
        <v>3</v>
      </c>
      <c r="F7" s="147" t="s">
        <v>4</v>
      </c>
      <c r="G7" s="146" t="s">
        <v>3</v>
      </c>
      <c r="H7" s="147" t="s">
        <v>4</v>
      </c>
      <c r="I7" s="146" t="s">
        <v>3</v>
      </c>
      <c r="J7" s="147" t="s">
        <v>4</v>
      </c>
      <c r="K7" s="146" t="s">
        <v>3</v>
      </c>
      <c r="L7" s="147" t="s">
        <v>4</v>
      </c>
      <c r="M7" s="146" t="s">
        <v>3</v>
      </c>
      <c r="N7" s="147" t="s">
        <v>4</v>
      </c>
      <c r="O7" s="146" t="s">
        <v>3</v>
      </c>
      <c r="P7" s="147" t="s">
        <v>4</v>
      </c>
      <c r="Q7" s="146" t="s">
        <v>3</v>
      </c>
      <c r="R7" s="147" t="s">
        <v>4</v>
      </c>
      <c r="S7" s="146" t="s">
        <v>3</v>
      </c>
      <c r="T7" s="147" t="s">
        <v>4</v>
      </c>
      <c r="U7" s="146" t="s">
        <v>3</v>
      </c>
      <c r="V7" s="147" t="s">
        <v>4</v>
      </c>
      <c r="W7" s="146" t="s">
        <v>3</v>
      </c>
      <c r="X7" s="147" t="s">
        <v>4</v>
      </c>
      <c r="Y7" s="146" t="s">
        <v>3</v>
      </c>
      <c r="Z7" s="147" t="s">
        <v>4</v>
      </c>
      <c r="AA7" s="146" t="s">
        <v>3</v>
      </c>
      <c r="AB7" s="147" t="s">
        <v>4</v>
      </c>
      <c r="AC7" s="146" t="s">
        <v>3</v>
      </c>
      <c r="AD7" s="147" t="s">
        <v>4</v>
      </c>
      <c r="AE7" s="146" t="s">
        <v>3</v>
      </c>
      <c r="AF7" s="147" t="s">
        <v>4</v>
      </c>
      <c r="AG7" s="146" t="s">
        <v>3</v>
      </c>
      <c r="AH7" s="147" t="s">
        <v>4</v>
      </c>
      <c r="AI7" s="146" t="s">
        <v>3</v>
      </c>
      <c r="AJ7" s="147" t="s">
        <v>4</v>
      </c>
      <c r="AK7" s="146" t="s">
        <v>3</v>
      </c>
      <c r="AL7" s="147" t="s">
        <v>4</v>
      </c>
      <c r="AM7" s="146" t="s">
        <v>3</v>
      </c>
      <c r="AN7" s="147" t="s">
        <v>4</v>
      </c>
      <c r="AO7" s="146" t="s">
        <v>3</v>
      </c>
      <c r="AP7" s="147" t="s">
        <v>4</v>
      </c>
      <c r="AQ7" s="146" t="s">
        <v>3</v>
      </c>
      <c r="AR7" s="147" t="s">
        <v>4</v>
      </c>
      <c r="AS7" s="146" t="s">
        <v>3</v>
      </c>
      <c r="AT7" s="147" t="s">
        <v>4</v>
      </c>
      <c r="AU7" s="146" t="s">
        <v>3</v>
      </c>
      <c r="AV7" s="147" t="s">
        <v>4</v>
      </c>
      <c r="AW7" s="146" t="s">
        <v>3</v>
      </c>
      <c r="AX7" s="147" t="s">
        <v>4</v>
      </c>
      <c r="AY7" s="146" t="s">
        <v>3</v>
      </c>
      <c r="AZ7" s="147" t="s">
        <v>4</v>
      </c>
      <c r="BA7" s="146" t="s">
        <v>3</v>
      </c>
      <c r="BB7" s="147" t="s">
        <v>4</v>
      </c>
      <c r="BC7" s="146" t="s">
        <v>3</v>
      </c>
      <c r="BD7" s="147" t="s">
        <v>4</v>
      </c>
      <c r="BE7" s="146" t="s">
        <v>3</v>
      </c>
      <c r="BF7" s="147" t="s">
        <v>4</v>
      </c>
      <c r="BG7" s="146" t="s">
        <v>3</v>
      </c>
      <c r="BH7" s="147" t="s">
        <v>4</v>
      </c>
      <c r="BI7" s="146" t="s">
        <v>3</v>
      </c>
      <c r="BJ7" s="147" t="s">
        <v>4</v>
      </c>
      <c r="BK7" s="146" t="s">
        <v>3</v>
      </c>
      <c r="BL7" s="147" t="s">
        <v>4</v>
      </c>
      <c r="BM7" s="148" t="s">
        <v>5</v>
      </c>
      <c r="BN7" s="147" t="s">
        <v>6</v>
      </c>
      <c r="CA7" s="83"/>
      <c r="CB7" s="83"/>
      <c r="CC7" s="83"/>
      <c r="CD7" s="83"/>
      <c r="CE7" s="83"/>
      <c r="CF7" s="83"/>
      <c r="CG7" s="83"/>
      <c r="CH7" s="83"/>
      <c r="CI7" s="83"/>
      <c r="CJ7" s="83"/>
      <c r="CK7" s="83"/>
      <c r="CL7" s="83"/>
      <c r="CM7" s="83"/>
      <c r="CN7" s="83"/>
      <c r="CO7" s="83"/>
      <c r="CP7" s="83"/>
    </row>
    <row r="8" spans="1:94" x14ac:dyDescent="0.25">
      <c r="B8" s="88"/>
      <c r="C8" s="89"/>
      <c r="D8" s="90"/>
      <c r="E8" s="89"/>
      <c r="F8" s="90"/>
      <c r="G8" s="89"/>
      <c r="H8" s="90"/>
      <c r="I8" s="89"/>
      <c r="J8" s="90"/>
      <c r="K8" s="89"/>
      <c r="L8" s="90"/>
      <c r="M8" s="89"/>
      <c r="N8" s="90"/>
      <c r="O8" s="89"/>
      <c r="P8" s="90"/>
      <c r="Q8" s="89"/>
      <c r="R8" s="90"/>
      <c r="S8" s="89"/>
      <c r="T8" s="90"/>
      <c r="U8" s="89"/>
      <c r="V8" s="90"/>
      <c r="W8" s="89"/>
      <c r="X8" s="90"/>
      <c r="Y8" s="89"/>
      <c r="Z8" s="90"/>
      <c r="AA8" s="89"/>
      <c r="AB8" s="90"/>
      <c r="AC8" s="89"/>
      <c r="AD8" s="90"/>
      <c r="AE8" s="89"/>
      <c r="AF8" s="90"/>
      <c r="AG8" s="89"/>
      <c r="AH8" s="90"/>
      <c r="AI8" s="89"/>
      <c r="AJ8" s="90"/>
      <c r="AK8" s="89"/>
      <c r="AL8" s="90"/>
      <c r="AM8" s="89"/>
      <c r="AN8" s="90"/>
      <c r="AO8" s="89"/>
      <c r="AP8" s="90"/>
      <c r="AQ8" s="89"/>
      <c r="AR8" s="90"/>
      <c r="AS8" s="89"/>
      <c r="AT8" s="90"/>
      <c r="AU8" s="89"/>
      <c r="AV8" s="90"/>
      <c r="AW8" s="89"/>
      <c r="AX8" s="90"/>
      <c r="AY8" s="89"/>
      <c r="AZ8" s="90"/>
      <c r="BA8" s="89"/>
      <c r="BB8" s="90"/>
      <c r="BC8" s="89"/>
      <c r="BD8" s="90"/>
      <c r="BE8" s="89"/>
      <c r="BF8" s="90"/>
      <c r="BG8" s="89"/>
      <c r="BH8" s="90"/>
      <c r="BI8" s="89"/>
      <c r="BJ8" s="90"/>
      <c r="BK8" s="89"/>
      <c r="BL8" s="90"/>
      <c r="BM8" s="91"/>
      <c r="BN8" s="90"/>
      <c r="CA8" s="83"/>
      <c r="CB8" s="83"/>
      <c r="CC8" s="83"/>
      <c r="CD8" s="83"/>
      <c r="CE8" s="83"/>
      <c r="CF8" s="83"/>
      <c r="CG8" s="83"/>
      <c r="CH8" s="83"/>
      <c r="CI8" s="83"/>
      <c r="CJ8" s="83"/>
      <c r="CK8" s="83"/>
      <c r="CL8" s="83"/>
      <c r="CM8" s="83"/>
      <c r="CN8" s="83"/>
      <c r="CO8" s="83"/>
      <c r="CP8" s="83"/>
    </row>
    <row r="9" spans="1:94" x14ac:dyDescent="0.25">
      <c r="A9" s="92" t="s">
        <v>7</v>
      </c>
      <c r="B9" s="93"/>
      <c r="C9" s="94"/>
      <c r="D9" s="95"/>
      <c r="E9" s="94"/>
      <c r="F9" s="95"/>
      <c r="G9" s="94"/>
      <c r="H9" s="95"/>
      <c r="I9" s="94"/>
      <c r="J9" s="95"/>
      <c r="K9" s="94"/>
      <c r="L9" s="95"/>
      <c r="M9" s="94"/>
      <c r="N9" s="95"/>
      <c r="O9" s="94"/>
      <c r="P9" s="95"/>
      <c r="Q9" s="94"/>
      <c r="R9" s="95"/>
      <c r="S9" s="94"/>
      <c r="T9" s="95"/>
      <c r="U9" s="94"/>
      <c r="V9" s="95"/>
      <c r="W9" s="94"/>
      <c r="X9" s="95"/>
      <c r="Y9" s="94"/>
      <c r="Z9" s="95"/>
      <c r="AA9" s="94"/>
      <c r="AB9" s="95"/>
      <c r="AC9" s="94"/>
      <c r="AD9" s="95"/>
      <c r="AE9" s="94"/>
      <c r="AF9" s="95"/>
      <c r="AG9" s="94"/>
      <c r="AH9" s="95"/>
      <c r="AI9" s="94"/>
      <c r="AJ9" s="95"/>
      <c r="AK9" s="94"/>
      <c r="AL9" s="95"/>
      <c r="AM9" s="94"/>
      <c r="AN9" s="95"/>
      <c r="AO9" s="94"/>
      <c r="AP9" s="95"/>
      <c r="AQ9" s="94"/>
      <c r="AR9" s="95"/>
      <c r="AS9" s="94"/>
      <c r="AT9" s="95"/>
      <c r="AU9" s="94"/>
      <c r="AV9" s="95"/>
      <c r="AW9" s="94"/>
      <c r="AX9" s="95"/>
      <c r="AY9" s="94"/>
      <c r="AZ9" s="95"/>
      <c r="BA9" s="94"/>
      <c r="BB9" s="95"/>
      <c r="BC9" s="94"/>
      <c r="BD9" s="95"/>
      <c r="BE9" s="94"/>
      <c r="BF9" s="95"/>
      <c r="BG9" s="94"/>
      <c r="BH9" s="95"/>
      <c r="BI9" s="94"/>
      <c r="BJ9" s="95"/>
      <c r="BK9" s="94"/>
      <c r="BL9" s="95"/>
      <c r="BM9" s="96"/>
      <c r="BN9" s="97"/>
      <c r="CA9" s="83"/>
      <c r="CB9" s="83"/>
      <c r="CC9" s="83"/>
      <c r="CD9" s="83"/>
      <c r="CE9" s="83"/>
      <c r="CF9" s="83"/>
      <c r="CG9" s="83"/>
      <c r="CH9" s="83"/>
      <c r="CI9" s="83"/>
      <c r="CJ9" s="83"/>
      <c r="CK9" s="83"/>
      <c r="CL9" s="83"/>
      <c r="CM9" s="83"/>
      <c r="CN9" s="83"/>
      <c r="CO9" s="83"/>
      <c r="CP9" s="83"/>
    </row>
    <row r="10" spans="1:94" x14ac:dyDescent="0.25">
      <c r="A10" s="79" t="s">
        <v>8</v>
      </c>
      <c r="B10" s="98" t="s">
        <v>9</v>
      </c>
      <c r="C10" s="112">
        <f>EOD_Credit_CW!D6</f>
        <v>3</v>
      </c>
      <c r="D10" s="113">
        <f>EOD_Credit_CW!E6</f>
        <v>296.10000000000002</v>
      </c>
      <c r="E10" s="112">
        <f>EOD_Credit_CW!F6</f>
        <v>2</v>
      </c>
      <c r="F10" s="113">
        <f>EOD_Credit_CW!G6</f>
        <v>800</v>
      </c>
      <c r="G10" s="112">
        <f>EOD_Credit_CW!H6</f>
        <v>1</v>
      </c>
      <c r="H10" s="113">
        <f>EOD_Credit_CW!I6</f>
        <v>154.6</v>
      </c>
      <c r="I10" s="112">
        <f>EOD_Credit_CW!J6</f>
        <v>2</v>
      </c>
      <c r="J10" s="113">
        <f>EOD_Credit_CW!K6</f>
        <v>270.89999999999998</v>
      </c>
      <c r="K10" s="112">
        <f>EOD_Credit_CW!L6</f>
        <v>2</v>
      </c>
      <c r="L10" s="113">
        <f>EOD_Credit_CW!M6</f>
        <v>963.2</v>
      </c>
      <c r="M10" s="112">
        <f>EOD_Credit_CW!N6</f>
        <v>8</v>
      </c>
      <c r="N10" s="113">
        <f>EOD_Credit_CW!O6</f>
        <v>3203.2</v>
      </c>
      <c r="O10" s="112">
        <f>EOD_Credit_CW!P6</f>
        <v>4</v>
      </c>
      <c r="P10" s="113">
        <f>EOD_Credit_CW!Q6</f>
        <v>1364.2</v>
      </c>
      <c r="Q10" s="112">
        <f>EOD_Credit_CW!R6</f>
        <v>0</v>
      </c>
      <c r="R10" s="113">
        <f>EOD_Credit_CW!S6</f>
        <v>0</v>
      </c>
      <c r="S10" s="112">
        <f>EOD_Credit_CW!T6</f>
        <v>4</v>
      </c>
      <c r="T10" s="113">
        <f>EOD_Credit_CW!U6</f>
        <v>493.2</v>
      </c>
      <c r="U10" s="112">
        <f>EOD_Credit_CW!V6</f>
        <v>0</v>
      </c>
      <c r="V10" s="113">
        <f>EOD_Credit_CW!W6</f>
        <v>0</v>
      </c>
      <c r="W10" s="112">
        <f>EOD_Credit_CW!X6</f>
        <v>0</v>
      </c>
      <c r="X10" s="113">
        <f>EOD_Credit_CW!Y6</f>
        <v>0</v>
      </c>
      <c r="Y10" s="112">
        <f>EOD_Credit_CW!Z6</f>
        <v>7</v>
      </c>
      <c r="Z10" s="113">
        <f>EOD_Credit_CW!AA6</f>
        <v>2888.3</v>
      </c>
      <c r="AA10" s="112">
        <f>EOD_Credit_CW!AB6</f>
        <v>3</v>
      </c>
      <c r="AB10" s="113">
        <f>EOD_Credit_CW!AC6</f>
        <v>2061.6999999999998</v>
      </c>
      <c r="AC10" s="112">
        <f>EOD_Credit_CW!AD6</f>
        <v>3</v>
      </c>
      <c r="AD10" s="113">
        <f>EOD_Credit_CW!AE6</f>
        <v>1600</v>
      </c>
      <c r="AE10" s="112">
        <f>EOD_Credit_CW!AF6</f>
        <v>4</v>
      </c>
      <c r="AF10" s="113">
        <f>EOD_Credit_CW!AG6</f>
        <v>1007.5</v>
      </c>
      <c r="AG10" s="112">
        <f>EOD_Credit_CW!AH6</f>
        <v>0</v>
      </c>
      <c r="AH10" s="113">
        <f>EOD_Credit_CW!AI6</f>
        <v>0</v>
      </c>
      <c r="AI10" s="112">
        <f>EOD_Credit_CW!AJ6</f>
        <v>2</v>
      </c>
      <c r="AJ10" s="113">
        <f>EOD_Credit_CW!AK6</f>
        <v>1180.2</v>
      </c>
      <c r="AK10" s="112">
        <f>EOD_Credit_CW!AL6</f>
        <v>4</v>
      </c>
      <c r="AL10" s="113">
        <f>EOD_Credit_CW!AM6</f>
        <v>919.4</v>
      </c>
      <c r="AM10" s="112">
        <f>EOD_Credit_CW!AN6</f>
        <v>7</v>
      </c>
      <c r="AN10" s="113">
        <f>EOD_Credit_CW!AO6</f>
        <v>3264.4</v>
      </c>
      <c r="AO10" s="112">
        <f>EOD_Credit_CW!AP6</f>
        <v>0</v>
      </c>
      <c r="AP10" s="113">
        <f>EOD_Credit_CW!AQ6</f>
        <v>0</v>
      </c>
      <c r="AQ10" s="112">
        <f>EOD_Credit_CW!AR6</f>
        <v>2</v>
      </c>
      <c r="AR10" s="113">
        <f>EOD_Credit_CW!AS6</f>
        <v>1381.6</v>
      </c>
      <c r="AS10" s="112">
        <f>EOD_Credit_CW!AT6</f>
        <v>2</v>
      </c>
      <c r="AT10" s="113">
        <f>EOD_Credit_CW!AU6</f>
        <v>801.4</v>
      </c>
      <c r="AU10" s="112">
        <f>EOD_Credit_CW!AV6</f>
        <v>4</v>
      </c>
      <c r="AV10" s="113">
        <f>EOD_Credit_CW!AW6</f>
        <v>1713.5</v>
      </c>
      <c r="AW10" s="112">
        <f>EOD_Credit_CW!AX6</f>
        <v>1</v>
      </c>
      <c r="AX10" s="113">
        <f>EOD_Credit_CW!AY6</f>
        <v>487.3</v>
      </c>
      <c r="AY10" s="112">
        <f>EOD_Credit_CW!AZ6</f>
        <v>2</v>
      </c>
      <c r="AZ10" s="113">
        <f>EOD_Credit_CW!BA6</f>
        <v>600</v>
      </c>
      <c r="BA10" s="112">
        <f>EOD_Credit_CW!BB6</f>
        <v>5</v>
      </c>
      <c r="BB10" s="113">
        <f>EOD_Credit_CW!BC6</f>
        <v>1917.5</v>
      </c>
      <c r="BC10" s="112">
        <f>EOD_Credit_CW!BD6</f>
        <v>4</v>
      </c>
      <c r="BD10" s="113">
        <f>EOD_Credit_CW!BE6</f>
        <v>1994.1</v>
      </c>
      <c r="BE10" s="112">
        <f>EOD_Credit_CW!BF6</f>
        <v>4</v>
      </c>
      <c r="BF10" s="113">
        <f>EOD_Credit_CW!BG6</f>
        <v>1771.6</v>
      </c>
      <c r="BG10" s="112">
        <f>EOD_Credit_CW!BH6</f>
        <v>1</v>
      </c>
      <c r="BH10" s="113">
        <f>EOD_Credit_CW!BI6</f>
        <v>500</v>
      </c>
      <c r="BI10" s="112">
        <f>EOD_Credit_CW!BJ6</f>
        <v>5</v>
      </c>
      <c r="BJ10" s="113">
        <f>EOD_Credit_CW!BK6</f>
        <v>2096.1999999999998</v>
      </c>
      <c r="BK10" s="112">
        <f>EOD_Credit_CW!BL6</f>
        <v>1</v>
      </c>
      <c r="BL10" s="113">
        <f>EOD_Credit_CW!BM6</f>
        <v>591.6</v>
      </c>
      <c r="BM10" s="114" cm="1">
        <f t="array" ref="BM10">SUMPRODUCT((MOD(COLUMN(C10:BL10)-COLUMN(C10),2)=0)*C10:BL10)</f>
        <v>87</v>
      </c>
      <c r="BN10" s="113" cm="1">
        <f t="array" ref="BN10">SUMPRODUCT((MOD(COLUMN(D10:BM10)-COLUMN(D10),2)=0)*D10:BM10)</f>
        <v>34321.699999999997</v>
      </c>
      <c r="BO10" s="99"/>
      <c r="BP10" s="99"/>
      <c r="BQ10" s="99"/>
      <c r="BR10" s="99"/>
      <c r="BS10" s="99"/>
      <c r="BT10" s="99"/>
      <c r="BU10" s="99"/>
      <c r="BV10" s="99"/>
      <c r="BW10" s="99"/>
      <c r="BX10" s="99"/>
      <c r="CA10" s="83"/>
      <c r="CB10" s="83"/>
      <c r="CC10" s="83"/>
      <c r="CD10" s="83"/>
      <c r="CE10" s="83"/>
      <c r="CF10" s="83"/>
      <c r="CG10" s="83"/>
      <c r="CH10" s="83"/>
      <c r="CI10" s="83"/>
      <c r="CJ10" s="83"/>
      <c r="CK10" s="83"/>
      <c r="CL10" s="83"/>
      <c r="CM10" s="83"/>
      <c r="CN10" s="83"/>
      <c r="CO10" s="83"/>
      <c r="CP10" s="83"/>
    </row>
    <row r="11" spans="1:94" x14ac:dyDescent="0.25">
      <c r="A11" s="79" t="s">
        <v>10</v>
      </c>
      <c r="B11" s="98" t="s">
        <v>9</v>
      </c>
      <c r="C11" s="112">
        <f>EOD_Credit_CW!D8</f>
        <v>3</v>
      </c>
      <c r="D11" s="113">
        <f>EOD_Credit_CW!E8</f>
        <v>1351.9</v>
      </c>
      <c r="E11" s="112">
        <f>EOD_Credit_CW!F8</f>
        <v>3</v>
      </c>
      <c r="F11" s="113">
        <f>EOD_Credit_CW!G8</f>
        <v>1200</v>
      </c>
      <c r="G11" s="112">
        <f>EOD_Credit_CW!H8</f>
        <v>2</v>
      </c>
      <c r="H11" s="113">
        <f>EOD_Credit_CW!I8</f>
        <v>800</v>
      </c>
      <c r="I11" s="112">
        <f>EOD_Credit_CW!J8</f>
        <v>6</v>
      </c>
      <c r="J11" s="113">
        <f>EOD_Credit_CW!K8</f>
        <v>2444.1</v>
      </c>
      <c r="K11" s="112">
        <f>EOD_Credit_CW!L8</f>
        <v>2</v>
      </c>
      <c r="L11" s="113">
        <f>EOD_Credit_CW!M8</f>
        <v>1000</v>
      </c>
      <c r="M11" s="112">
        <f>EOD_Credit_CW!N8</f>
        <v>7</v>
      </c>
      <c r="N11" s="113">
        <f>EOD_Credit_CW!O8</f>
        <v>3136</v>
      </c>
      <c r="O11" s="112">
        <f>EOD_Credit_CW!P8</f>
        <v>2</v>
      </c>
      <c r="P11" s="113">
        <f>EOD_Credit_CW!Q8</f>
        <v>1250.7</v>
      </c>
      <c r="Q11" s="112">
        <f>EOD_Credit_CW!R8</f>
        <v>3</v>
      </c>
      <c r="R11" s="113">
        <f>EOD_Credit_CW!S8</f>
        <v>1562.4</v>
      </c>
      <c r="S11" s="112">
        <f>EOD_Credit_CW!T8</f>
        <v>4</v>
      </c>
      <c r="T11" s="113">
        <f>EOD_Credit_CW!U8</f>
        <v>1600</v>
      </c>
      <c r="U11" s="112">
        <f>EOD_Credit_CW!V8</f>
        <v>1</v>
      </c>
      <c r="V11" s="113">
        <f>EOD_Credit_CW!W8</f>
        <v>159</v>
      </c>
      <c r="W11" s="112">
        <f>EOD_Credit_CW!X8</f>
        <v>4</v>
      </c>
      <c r="X11" s="113">
        <f>EOD_Credit_CW!Y8</f>
        <v>2210</v>
      </c>
      <c r="Y11" s="112">
        <f>EOD_Credit_CW!Z8</f>
        <v>4</v>
      </c>
      <c r="Z11" s="113">
        <f>EOD_Credit_CW!AA8</f>
        <v>2158.6</v>
      </c>
      <c r="AA11" s="112">
        <f>EOD_Credit_CW!AB8</f>
        <v>6</v>
      </c>
      <c r="AB11" s="113">
        <f>EOD_Credit_CW!AC8</f>
        <v>2127.1</v>
      </c>
      <c r="AC11" s="112">
        <f>EOD_Credit_CW!AD8</f>
        <v>3</v>
      </c>
      <c r="AD11" s="113">
        <f>EOD_Credit_CW!AE8</f>
        <v>795.8</v>
      </c>
      <c r="AE11" s="112">
        <f>EOD_Credit_CW!AF8</f>
        <v>4</v>
      </c>
      <c r="AF11" s="113">
        <f>EOD_Credit_CW!AG8</f>
        <v>2413.8000000000002</v>
      </c>
      <c r="AG11" s="112">
        <f>EOD_Credit_CW!AH8</f>
        <v>2</v>
      </c>
      <c r="AH11" s="113">
        <f>EOD_Credit_CW!AI8</f>
        <v>1000</v>
      </c>
      <c r="AI11" s="112">
        <f>EOD_Credit_CW!AJ8</f>
        <v>6</v>
      </c>
      <c r="AJ11" s="113">
        <f>EOD_Credit_CW!AK8</f>
        <v>1975.8</v>
      </c>
      <c r="AK11" s="112">
        <f>EOD_Credit_CW!AL8</f>
        <v>4</v>
      </c>
      <c r="AL11" s="113">
        <f>EOD_Credit_CW!AM8</f>
        <v>1866.5</v>
      </c>
      <c r="AM11" s="112">
        <f>EOD_Credit_CW!AN8</f>
        <v>4</v>
      </c>
      <c r="AN11" s="113">
        <f>EOD_Credit_CW!AO8</f>
        <v>1080.8</v>
      </c>
      <c r="AO11" s="112">
        <f>EOD_Credit_CW!AP8</f>
        <v>0</v>
      </c>
      <c r="AP11" s="113">
        <f>EOD_Credit_CW!AQ8</f>
        <v>0</v>
      </c>
      <c r="AQ11" s="112">
        <f>EOD_Credit_CW!AR8</f>
        <v>4</v>
      </c>
      <c r="AR11" s="113">
        <f>EOD_Credit_CW!AS8</f>
        <v>1505.8</v>
      </c>
      <c r="AS11" s="112">
        <f>EOD_Credit_CW!AT8</f>
        <v>2</v>
      </c>
      <c r="AT11" s="113">
        <f>EOD_Credit_CW!AU8</f>
        <v>560</v>
      </c>
      <c r="AU11" s="112">
        <f>EOD_Credit_CW!AV8</f>
        <v>3</v>
      </c>
      <c r="AV11" s="113">
        <f>EOD_Credit_CW!AW8</f>
        <v>2723.1</v>
      </c>
      <c r="AW11" s="112">
        <f>EOD_Credit_CW!AX8</f>
        <v>6</v>
      </c>
      <c r="AX11" s="113">
        <f>EOD_Credit_CW!AY8</f>
        <v>3095.6</v>
      </c>
      <c r="AY11" s="112">
        <f>EOD_Credit_CW!AZ8</f>
        <v>4</v>
      </c>
      <c r="AZ11" s="113">
        <f>EOD_Credit_CW!BA8</f>
        <v>2078.1999999999998</v>
      </c>
      <c r="BA11" s="112">
        <f>EOD_Credit_CW!BB8</f>
        <v>5</v>
      </c>
      <c r="BB11" s="113">
        <f>EOD_Credit_CW!BC8</f>
        <v>2115.3000000000002</v>
      </c>
      <c r="BC11" s="112">
        <f>EOD_Credit_CW!BD8</f>
        <v>8</v>
      </c>
      <c r="BD11" s="113">
        <f>EOD_Credit_CW!BE8</f>
        <v>3881.4</v>
      </c>
      <c r="BE11" s="112">
        <f>EOD_Credit_CW!BF8</f>
        <v>2</v>
      </c>
      <c r="BF11" s="113">
        <f>EOD_Credit_CW!BG8</f>
        <v>600</v>
      </c>
      <c r="BG11" s="112">
        <f>EOD_Credit_CW!BH8</f>
        <v>2</v>
      </c>
      <c r="BH11" s="113">
        <f>EOD_Credit_CW!BI8</f>
        <v>694.9</v>
      </c>
      <c r="BI11" s="112">
        <f>EOD_Credit_CW!BJ8</f>
        <v>1</v>
      </c>
      <c r="BJ11" s="113">
        <f>EOD_Credit_CW!BK8</f>
        <v>357.3</v>
      </c>
      <c r="BK11" s="112">
        <f>EOD_Credit_CW!BL8</f>
        <v>2</v>
      </c>
      <c r="BL11" s="113">
        <f>EOD_Credit_CW!BM8</f>
        <v>1000</v>
      </c>
      <c r="BM11" s="114" cm="1">
        <f t="array" ref="BM11">SUMPRODUCT((MOD(COLUMN(C11:BL11)-COLUMN(C11),2)=0)*C11:BL11)</f>
        <v>109</v>
      </c>
      <c r="BN11" s="113" cm="1">
        <f t="array" ref="BN11">SUMPRODUCT((MOD(COLUMN(D11:BM11)-COLUMN(D11),2)=0)*D11:BM11)</f>
        <v>48744.1</v>
      </c>
      <c r="BO11" s="99"/>
      <c r="BP11" s="99"/>
      <c r="BQ11" s="99"/>
      <c r="BR11" s="99"/>
      <c r="BS11" s="99"/>
      <c r="BT11" s="99"/>
      <c r="BU11" s="99"/>
      <c r="BV11" s="99"/>
      <c r="BW11" s="99"/>
      <c r="BX11" s="99"/>
      <c r="CA11" s="83"/>
      <c r="CB11" s="83"/>
      <c r="CC11" s="83"/>
      <c r="CD11" s="83"/>
      <c r="CE11" s="83"/>
      <c r="CF11" s="83"/>
      <c r="CG11" s="83"/>
      <c r="CH11" s="83"/>
      <c r="CI11" s="83"/>
      <c r="CJ11" s="83"/>
      <c r="CK11" s="83"/>
      <c r="CL11" s="83"/>
      <c r="CM11" s="83"/>
      <c r="CN11" s="83"/>
      <c r="CO11" s="83"/>
      <c r="CP11" s="83"/>
    </row>
    <row r="12" spans="1:94" x14ac:dyDescent="0.25">
      <c r="A12" s="79" t="s">
        <v>11</v>
      </c>
      <c r="B12" s="98" t="s">
        <v>9</v>
      </c>
      <c r="C12" s="112">
        <f>EOD_Credit_CW!D10</f>
        <v>3</v>
      </c>
      <c r="D12" s="113">
        <f>EOD_Credit_CW!E10</f>
        <v>2077.3000000000002</v>
      </c>
      <c r="E12" s="112">
        <f>EOD_Credit_CW!F10</f>
        <v>2</v>
      </c>
      <c r="F12" s="113">
        <f>EOD_Credit_CW!G10</f>
        <v>1500</v>
      </c>
      <c r="G12" s="112">
        <f>EOD_Credit_CW!H10</f>
        <v>4</v>
      </c>
      <c r="H12" s="113">
        <f>EOD_Credit_CW!I10</f>
        <v>1722.8</v>
      </c>
      <c r="I12" s="112">
        <f>EOD_Credit_CW!J10</f>
        <v>0</v>
      </c>
      <c r="J12" s="113">
        <f>EOD_Credit_CW!K10</f>
        <v>0</v>
      </c>
      <c r="K12" s="112">
        <f>EOD_Credit_CW!L10</f>
        <v>1</v>
      </c>
      <c r="L12" s="113">
        <f>EOD_Credit_CW!M10</f>
        <v>608.5</v>
      </c>
      <c r="M12" s="112">
        <f>EOD_Credit_CW!N10</f>
        <v>7</v>
      </c>
      <c r="N12" s="113">
        <f>EOD_Credit_CW!O10</f>
        <v>3542.4</v>
      </c>
      <c r="O12" s="112">
        <f>EOD_Credit_CW!P10</f>
        <v>0</v>
      </c>
      <c r="P12" s="113">
        <f>EOD_Credit_CW!Q10</f>
        <v>0</v>
      </c>
      <c r="Q12" s="112">
        <f>EOD_Credit_CW!R10</f>
        <v>5</v>
      </c>
      <c r="R12" s="113">
        <f>EOD_Credit_CW!S10</f>
        <v>1653.7</v>
      </c>
      <c r="S12" s="112">
        <f>EOD_Credit_CW!T10</f>
        <v>2</v>
      </c>
      <c r="T12" s="113">
        <f>EOD_Credit_CW!U10</f>
        <v>722.9</v>
      </c>
      <c r="U12" s="112">
        <f>EOD_Credit_CW!V10</f>
        <v>3</v>
      </c>
      <c r="V12" s="113">
        <f>EOD_Credit_CW!W10</f>
        <v>1409.6</v>
      </c>
      <c r="W12" s="112">
        <f>EOD_Credit_CW!X10</f>
        <v>3</v>
      </c>
      <c r="X12" s="113">
        <f>EOD_Credit_CW!Y10</f>
        <v>1219.0999999999999</v>
      </c>
      <c r="Y12" s="112">
        <f>EOD_Credit_CW!Z10</f>
        <v>2</v>
      </c>
      <c r="Z12" s="113">
        <f>EOD_Credit_CW!AA10</f>
        <v>1359.1</v>
      </c>
      <c r="AA12" s="112">
        <f>EOD_Credit_CW!AB10</f>
        <v>2</v>
      </c>
      <c r="AB12" s="113">
        <f>EOD_Credit_CW!AC10</f>
        <v>961.3</v>
      </c>
      <c r="AC12" s="112">
        <f>EOD_Credit_CW!AD10</f>
        <v>1</v>
      </c>
      <c r="AD12" s="113">
        <f>EOD_Credit_CW!AE10</f>
        <v>800</v>
      </c>
      <c r="AE12" s="112">
        <f>EOD_Credit_CW!AF10</f>
        <v>2</v>
      </c>
      <c r="AF12" s="113">
        <f>EOD_Credit_CW!AG10</f>
        <v>969.6</v>
      </c>
      <c r="AG12" s="112">
        <f>EOD_Credit_CW!AH10</f>
        <v>0</v>
      </c>
      <c r="AH12" s="113">
        <f>EOD_Credit_CW!AI10</f>
        <v>0</v>
      </c>
      <c r="AI12" s="112">
        <f>EOD_Credit_CW!AJ10</f>
        <v>4</v>
      </c>
      <c r="AJ12" s="113">
        <f>EOD_Credit_CW!AK10</f>
        <v>1914.1</v>
      </c>
      <c r="AK12" s="112">
        <f>EOD_Credit_CW!AL10</f>
        <v>0</v>
      </c>
      <c r="AL12" s="113">
        <f>EOD_Credit_CW!AM10</f>
        <v>0</v>
      </c>
      <c r="AM12" s="112">
        <f>EOD_Credit_CW!AN10</f>
        <v>6</v>
      </c>
      <c r="AN12" s="113">
        <f>EOD_Credit_CW!AO10</f>
        <v>3621.6</v>
      </c>
      <c r="AO12" s="112">
        <f>EOD_Credit_CW!AP10</f>
        <v>0</v>
      </c>
      <c r="AP12" s="113">
        <f>EOD_Credit_CW!AQ10</f>
        <v>0</v>
      </c>
      <c r="AQ12" s="112">
        <f>EOD_Credit_CW!AR10</f>
        <v>0</v>
      </c>
      <c r="AR12" s="113">
        <f>EOD_Credit_CW!AS10</f>
        <v>0</v>
      </c>
      <c r="AS12" s="112">
        <f>EOD_Credit_CW!AT10</f>
        <v>0</v>
      </c>
      <c r="AT12" s="113">
        <f>EOD_Credit_CW!AU10</f>
        <v>0</v>
      </c>
      <c r="AU12" s="112">
        <f>EOD_Credit_CW!AV10</f>
        <v>4</v>
      </c>
      <c r="AV12" s="113">
        <f>EOD_Credit_CW!AW10</f>
        <v>1299.5999999999999</v>
      </c>
      <c r="AW12" s="112">
        <f>EOD_Credit_CW!AX10</f>
        <v>2</v>
      </c>
      <c r="AX12" s="113">
        <f>EOD_Credit_CW!AY10</f>
        <v>1416.4</v>
      </c>
      <c r="AY12" s="112">
        <f>EOD_Credit_CW!AZ10</f>
        <v>3</v>
      </c>
      <c r="AZ12" s="113">
        <f>EOD_Credit_CW!BA10</f>
        <v>1170.7</v>
      </c>
      <c r="BA12" s="112">
        <f>EOD_Credit_CW!BB10</f>
        <v>1</v>
      </c>
      <c r="BB12" s="113">
        <f>EOD_Credit_CW!BC10</f>
        <v>230.3</v>
      </c>
      <c r="BC12" s="112">
        <f>EOD_Credit_CW!BD10</f>
        <v>5</v>
      </c>
      <c r="BD12" s="113">
        <f>EOD_Credit_CW!BE10</f>
        <v>2339.1999999999998</v>
      </c>
      <c r="BE12" s="112">
        <f>EOD_Credit_CW!BF10</f>
        <v>1</v>
      </c>
      <c r="BF12" s="113">
        <f>EOD_Credit_CW!BG10</f>
        <v>100</v>
      </c>
      <c r="BG12" s="112">
        <f>EOD_Credit_CW!BH10</f>
        <v>2</v>
      </c>
      <c r="BH12" s="113">
        <f>EOD_Credit_CW!BI10</f>
        <v>685.9</v>
      </c>
      <c r="BI12" s="112">
        <f>EOD_Credit_CW!BJ10</f>
        <v>0</v>
      </c>
      <c r="BJ12" s="113">
        <f>EOD_Credit_CW!BK10</f>
        <v>0</v>
      </c>
      <c r="BK12" s="112">
        <f>EOD_Credit_CW!BL10</f>
        <v>5</v>
      </c>
      <c r="BL12" s="113">
        <f>EOD_Credit_CW!BM10</f>
        <v>2182.1999999999998</v>
      </c>
      <c r="BM12" s="114" cm="1">
        <f t="array" ref="BM12">SUMPRODUCT((MOD(COLUMN(C12:BL12)-COLUMN(C12),2)=0)*C12:BL12)</f>
        <v>70</v>
      </c>
      <c r="BN12" s="113" cm="1">
        <f t="array" ref="BN12">SUMPRODUCT((MOD(COLUMN(D12:BM12)-COLUMN(D12),2)=0)*D12:BM12)</f>
        <v>33506.299999999996</v>
      </c>
      <c r="BO12" s="99"/>
      <c r="BP12" s="99"/>
      <c r="BQ12" s="99"/>
      <c r="BR12" s="99"/>
      <c r="BS12" s="99"/>
      <c r="BT12" s="99"/>
      <c r="BU12" s="99"/>
      <c r="BV12" s="99"/>
      <c r="BW12" s="99"/>
      <c r="BX12" s="99"/>
      <c r="CA12" s="83"/>
      <c r="CB12" s="83"/>
      <c r="CC12" s="83"/>
      <c r="CD12" s="83"/>
      <c r="CE12" s="83"/>
      <c r="CF12" s="83"/>
      <c r="CG12" s="83"/>
      <c r="CH12" s="83"/>
      <c r="CI12" s="83"/>
      <c r="CJ12" s="83"/>
      <c r="CK12" s="83"/>
      <c r="CL12" s="83"/>
      <c r="CM12" s="83"/>
      <c r="CN12" s="83"/>
      <c r="CO12" s="83"/>
      <c r="CP12" s="83"/>
    </row>
    <row r="13" spans="1:94" x14ac:dyDescent="0.25">
      <c r="A13" s="79" t="s">
        <v>12</v>
      </c>
      <c r="B13" s="98" t="s">
        <v>9</v>
      </c>
      <c r="C13" s="112">
        <f>EOD_Credit_CW!D12</f>
        <v>4</v>
      </c>
      <c r="D13" s="113">
        <f>EOD_Credit_CW!E12</f>
        <v>1565.6</v>
      </c>
      <c r="E13" s="112">
        <f>EOD_Credit_CW!F12</f>
        <v>4</v>
      </c>
      <c r="F13" s="113">
        <f>EOD_Credit_CW!G12</f>
        <v>1979.5</v>
      </c>
      <c r="G13" s="112">
        <f>EOD_Credit_CW!H12</f>
        <v>10</v>
      </c>
      <c r="H13" s="113">
        <f>EOD_Credit_CW!I12</f>
        <v>5982.5</v>
      </c>
      <c r="I13" s="112">
        <f>EOD_Credit_CW!J12</f>
        <v>3</v>
      </c>
      <c r="J13" s="113">
        <f>EOD_Credit_CW!K12</f>
        <v>1756.1</v>
      </c>
      <c r="K13" s="112">
        <f>EOD_Credit_CW!L12</f>
        <v>5</v>
      </c>
      <c r="L13" s="113">
        <f>EOD_Credit_CW!M12</f>
        <v>3216.9</v>
      </c>
      <c r="M13" s="112">
        <f>EOD_Credit_CW!N12</f>
        <v>2</v>
      </c>
      <c r="N13" s="113">
        <f>EOD_Credit_CW!O12</f>
        <v>410.3</v>
      </c>
      <c r="O13" s="112">
        <f>EOD_Credit_CW!P12</f>
        <v>4</v>
      </c>
      <c r="P13" s="113">
        <f>EOD_Credit_CW!Q12</f>
        <v>1305.4000000000001</v>
      </c>
      <c r="Q13" s="112">
        <f>EOD_Credit_CW!R12</f>
        <v>6</v>
      </c>
      <c r="R13" s="113">
        <f>EOD_Credit_CW!S12</f>
        <v>3265.9</v>
      </c>
      <c r="S13" s="112">
        <f>EOD_Credit_CW!T12</f>
        <v>4</v>
      </c>
      <c r="T13" s="113">
        <f>EOD_Credit_CW!U12</f>
        <v>1342.8</v>
      </c>
      <c r="U13" s="112">
        <f>EOD_Credit_CW!V12</f>
        <v>7</v>
      </c>
      <c r="V13" s="113">
        <f>EOD_Credit_CW!W12</f>
        <v>3499.7</v>
      </c>
      <c r="W13" s="112">
        <f>EOD_Credit_CW!X12</f>
        <v>5</v>
      </c>
      <c r="X13" s="113">
        <f>EOD_Credit_CW!Y12</f>
        <v>1566.8</v>
      </c>
      <c r="Y13" s="112">
        <f>EOD_Credit_CW!Z12</f>
        <v>8</v>
      </c>
      <c r="Z13" s="113">
        <f>EOD_Credit_CW!AA12</f>
        <v>4512.8999999999996</v>
      </c>
      <c r="AA13" s="112">
        <f>EOD_Credit_CW!AB12</f>
        <v>6</v>
      </c>
      <c r="AB13" s="113">
        <f>EOD_Credit_CW!AC12</f>
        <v>2486.8000000000002</v>
      </c>
      <c r="AC13" s="112">
        <f>EOD_Credit_CW!AD12</f>
        <v>4</v>
      </c>
      <c r="AD13" s="113">
        <f>EOD_Credit_CW!AE12</f>
        <v>1574.6</v>
      </c>
      <c r="AE13" s="112">
        <f>EOD_Credit_CW!AF12</f>
        <v>6</v>
      </c>
      <c r="AF13" s="113">
        <f>EOD_Credit_CW!AG12</f>
        <v>2660.4</v>
      </c>
      <c r="AG13" s="112">
        <f>EOD_Credit_CW!AH12</f>
        <v>3</v>
      </c>
      <c r="AH13" s="113">
        <f>EOD_Credit_CW!AI12</f>
        <v>1500</v>
      </c>
      <c r="AI13" s="112">
        <f>EOD_Credit_CW!AJ12</f>
        <v>13</v>
      </c>
      <c r="AJ13" s="113">
        <f>EOD_Credit_CW!AK12</f>
        <v>7069.8</v>
      </c>
      <c r="AK13" s="112">
        <f>EOD_Credit_CW!AL12</f>
        <v>7</v>
      </c>
      <c r="AL13" s="113">
        <f>EOD_Credit_CW!AM12</f>
        <v>4554.8</v>
      </c>
      <c r="AM13" s="112">
        <f>EOD_Credit_CW!AN12</f>
        <v>4</v>
      </c>
      <c r="AN13" s="113">
        <f>EOD_Credit_CW!AO12</f>
        <v>2357.5</v>
      </c>
      <c r="AO13" s="112">
        <f>EOD_Credit_CW!AP12</f>
        <v>0</v>
      </c>
      <c r="AP13" s="113">
        <f>EOD_Credit_CW!AQ12</f>
        <v>0</v>
      </c>
      <c r="AQ13" s="112">
        <f>EOD_Credit_CW!AR12</f>
        <v>5</v>
      </c>
      <c r="AR13" s="113">
        <f>EOD_Credit_CW!AS12</f>
        <v>1855.3</v>
      </c>
      <c r="AS13" s="112">
        <f>EOD_Credit_CW!AT12</f>
        <v>3</v>
      </c>
      <c r="AT13" s="113">
        <f>EOD_Credit_CW!AU12</f>
        <v>1638.7</v>
      </c>
      <c r="AU13" s="112">
        <f>EOD_Credit_CW!AV12</f>
        <v>4</v>
      </c>
      <c r="AV13" s="113">
        <f>EOD_Credit_CW!AW12</f>
        <v>1240.7</v>
      </c>
      <c r="AW13" s="112">
        <f>EOD_Credit_CW!AX12</f>
        <v>8</v>
      </c>
      <c r="AX13" s="113">
        <f>EOD_Credit_CW!AY12</f>
        <v>4379</v>
      </c>
      <c r="AY13" s="112">
        <f>EOD_Credit_CW!AZ12</f>
        <v>5</v>
      </c>
      <c r="AZ13" s="113">
        <f>EOD_Credit_CW!BA12</f>
        <v>2559.5</v>
      </c>
      <c r="BA13" s="112">
        <f>EOD_Credit_CW!BB12</f>
        <v>5</v>
      </c>
      <c r="BB13" s="113">
        <f>EOD_Credit_CW!BC12</f>
        <v>3941.5</v>
      </c>
      <c r="BC13" s="112">
        <f>EOD_Credit_CW!BD12</f>
        <v>5</v>
      </c>
      <c r="BD13" s="113">
        <f>EOD_Credit_CW!BE12</f>
        <v>2339.4</v>
      </c>
      <c r="BE13" s="112">
        <f>EOD_Credit_CW!BF12</f>
        <v>2</v>
      </c>
      <c r="BF13" s="113">
        <f>EOD_Credit_CW!BG12</f>
        <v>1000</v>
      </c>
      <c r="BG13" s="112">
        <f>EOD_Credit_CW!BH12</f>
        <v>4</v>
      </c>
      <c r="BH13" s="113">
        <f>EOD_Credit_CW!BI12</f>
        <v>1593.9</v>
      </c>
      <c r="BI13" s="112">
        <f>EOD_Credit_CW!BJ12</f>
        <v>3</v>
      </c>
      <c r="BJ13" s="113">
        <f>EOD_Credit_CW!BK12</f>
        <v>1059.2</v>
      </c>
      <c r="BK13" s="112">
        <f>EOD_Credit_CW!BL12</f>
        <v>17</v>
      </c>
      <c r="BL13" s="113">
        <f>EOD_Credit_CW!BM12</f>
        <v>9330.7999999999993</v>
      </c>
      <c r="BM13" s="114" cm="1">
        <f t="array" ref="BM13">SUMPRODUCT((MOD(COLUMN(C13:BL13)-COLUMN(C13),2)=0)*C13:BL13)</f>
        <v>166</v>
      </c>
      <c r="BN13" s="113" cm="1">
        <f t="array" ref="BN13">SUMPRODUCT((MOD(COLUMN(D13:BM13)-COLUMN(D13),2)=0)*D13:BM13)</f>
        <v>83546.299999999988</v>
      </c>
      <c r="BO13" s="99"/>
      <c r="BP13" s="99"/>
      <c r="BQ13" s="99"/>
      <c r="BR13" s="99"/>
      <c r="BS13" s="99"/>
      <c r="BT13" s="99"/>
      <c r="BU13" s="99"/>
      <c r="BV13" s="99"/>
      <c r="BW13" s="99"/>
      <c r="BX13" s="99"/>
      <c r="CA13" s="83"/>
      <c r="CB13" s="83"/>
      <c r="CC13" s="83"/>
      <c r="CD13" s="83"/>
      <c r="CE13" s="83"/>
      <c r="CF13" s="83"/>
      <c r="CG13" s="83"/>
      <c r="CH13" s="83"/>
      <c r="CI13" s="83"/>
      <c r="CJ13" s="83"/>
      <c r="CK13" s="83"/>
      <c r="CL13" s="83"/>
      <c r="CM13" s="83"/>
      <c r="CN13" s="83"/>
      <c r="CO13" s="83"/>
      <c r="CP13" s="83"/>
    </row>
    <row r="14" spans="1:94" x14ac:dyDescent="0.25">
      <c r="A14" s="79" t="s">
        <v>13</v>
      </c>
      <c r="B14" s="98" t="s">
        <v>9</v>
      </c>
      <c r="C14" s="112">
        <f>EOD_Credit_CW!D13</f>
        <v>4</v>
      </c>
      <c r="D14" s="113">
        <f>EOD_Credit_CW!E13</f>
        <v>2979.3</v>
      </c>
      <c r="E14" s="112">
        <f>EOD_Credit_CW!F13</f>
        <v>6</v>
      </c>
      <c r="F14" s="113">
        <f>EOD_Credit_CW!G13</f>
        <v>2289.1</v>
      </c>
      <c r="G14" s="112">
        <f>EOD_Credit_CW!H13</f>
        <v>17</v>
      </c>
      <c r="H14" s="113">
        <f>EOD_Credit_CW!I13</f>
        <v>7752.3</v>
      </c>
      <c r="I14" s="112">
        <f>EOD_Credit_CW!J13</f>
        <v>4</v>
      </c>
      <c r="J14" s="113">
        <f>EOD_Credit_CW!K13</f>
        <v>1138</v>
      </c>
      <c r="K14" s="112">
        <f>EOD_Credit_CW!L13</f>
        <v>12</v>
      </c>
      <c r="L14" s="113">
        <f>EOD_Credit_CW!M13</f>
        <v>7707.2</v>
      </c>
      <c r="M14" s="112">
        <f>EOD_Credit_CW!N13</f>
        <v>14</v>
      </c>
      <c r="N14" s="113">
        <f>EOD_Credit_CW!O13</f>
        <v>7911.7</v>
      </c>
      <c r="O14" s="112">
        <f>EOD_Credit_CW!P13</f>
        <v>9</v>
      </c>
      <c r="P14" s="113">
        <f>EOD_Credit_CW!Q13</f>
        <v>4802.5</v>
      </c>
      <c r="Q14" s="112">
        <f>EOD_Credit_CW!R13</f>
        <v>5</v>
      </c>
      <c r="R14" s="113">
        <f>EOD_Credit_CW!S13</f>
        <v>2074.3000000000002</v>
      </c>
      <c r="S14" s="112">
        <f>EOD_Credit_CW!T13</f>
        <v>5</v>
      </c>
      <c r="T14" s="113">
        <f>EOD_Credit_CW!U13</f>
        <v>1707.4</v>
      </c>
      <c r="U14" s="112">
        <f>EOD_Credit_CW!V13</f>
        <v>8</v>
      </c>
      <c r="V14" s="113">
        <f>EOD_Credit_CW!W13</f>
        <v>4178.3999999999996</v>
      </c>
      <c r="W14" s="112">
        <f>EOD_Credit_CW!X13</f>
        <v>8</v>
      </c>
      <c r="X14" s="113">
        <f>EOD_Credit_CW!Y13</f>
        <v>4869.8999999999996</v>
      </c>
      <c r="Y14" s="112">
        <f>EOD_Credit_CW!Z13</f>
        <v>9</v>
      </c>
      <c r="Z14" s="113">
        <f>EOD_Credit_CW!AA13</f>
        <v>5410.5</v>
      </c>
      <c r="AA14" s="112">
        <f>EOD_Credit_CW!AB13</f>
        <v>6</v>
      </c>
      <c r="AB14" s="113">
        <f>EOD_Credit_CW!AC13</f>
        <v>1269.4000000000001</v>
      </c>
      <c r="AC14" s="112">
        <f>EOD_Credit_CW!AD13</f>
        <v>4</v>
      </c>
      <c r="AD14" s="113">
        <f>EOD_Credit_CW!AE13</f>
        <v>1702.1</v>
      </c>
      <c r="AE14" s="112">
        <f>EOD_Credit_CW!AF13</f>
        <v>9</v>
      </c>
      <c r="AF14" s="113">
        <f>EOD_Credit_CW!AG13</f>
        <v>4847.7</v>
      </c>
      <c r="AG14" s="112">
        <f>EOD_Credit_CW!AH13</f>
        <v>4</v>
      </c>
      <c r="AH14" s="113">
        <f>EOD_Credit_CW!AI13</f>
        <v>1201</v>
      </c>
      <c r="AI14" s="112">
        <f>EOD_Credit_CW!AJ13</f>
        <v>11</v>
      </c>
      <c r="AJ14" s="113">
        <f>EOD_Credit_CW!AK13</f>
        <v>4531.2</v>
      </c>
      <c r="AK14" s="112">
        <f>EOD_Credit_CW!AL13</f>
        <v>10</v>
      </c>
      <c r="AL14" s="113">
        <f>EOD_Credit_CW!AM13</f>
        <v>6129</v>
      </c>
      <c r="AM14" s="112">
        <f>EOD_Credit_CW!AN13</f>
        <v>10</v>
      </c>
      <c r="AN14" s="113">
        <f>EOD_Credit_CW!AO13</f>
        <v>6476.4</v>
      </c>
      <c r="AO14" s="112">
        <f>EOD_Credit_CW!AP13</f>
        <v>0</v>
      </c>
      <c r="AP14" s="113">
        <f>EOD_Credit_CW!AQ13</f>
        <v>0</v>
      </c>
      <c r="AQ14" s="112">
        <f>EOD_Credit_CW!AR13</f>
        <v>7</v>
      </c>
      <c r="AR14" s="113">
        <f>EOD_Credit_CW!AS13</f>
        <v>3180.8</v>
      </c>
      <c r="AS14" s="112">
        <f>EOD_Credit_CW!AT13</f>
        <v>6</v>
      </c>
      <c r="AT14" s="113">
        <f>EOD_Credit_CW!AU13</f>
        <v>3110.2</v>
      </c>
      <c r="AU14" s="112">
        <f>EOD_Credit_CW!AV13</f>
        <v>7</v>
      </c>
      <c r="AV14" s="113">
        <f>EOD_Credit_CW!AW13</f>
        <v>2901.5</v>
      </c>
      <c r="AW14" s="112">
        <f>EOD_Credit_CW!AX13</f>
        <v>15</v>
      </c>
      <c r="AX14" s="113">
        <f>EOD_Credit_CW!AY13</f>
        <v>7080</v>
      </c>
      <c r="AY14" s="112">
        <f>EOD_Credit_CW!AZ13</f>
        <v>9</v>
      </c>
      <c r="AZ14" s="113">
        <f>EOD_Credit_CW!BA13</f>
        <v>5014.6000000000004</v>
      </c>
      <c r="BA14" s="112">
        <f>EOD_Credit_CW!BB13</f>
        <v>10</v>
      </c>
      <c r="BB14" s="113">
        <f>EOD_Credit_CW!BC13</f>
        <v>3868.6</v>
      </c>
      <c r="BC14" s="112">
        <f>EOD_Credit_CW!BD13</f>
        <v>17</v>
      </c>
      <c r="BD14" s="113">
        <f>EOD_Credit_CW!BE13</f>
        <v>7663.8</v>
      </c>
      <c r="BE14" s="112">
        <f>EOD_Credit_CW!BF13</f>
        <v>4</v>
      </c>
      <c r="BF14" s="113">
        <f>EOD_Credit_CW!BG13</f>
        <v>1322.6</v>
      </c>
      <c r="BG14" s="112">
        <f>EOD_Credit_CW!BH13</f>
        <v>5</v>
      </c>
      <c r="BH14" s="113">
        <f>EOD_Credit_CW!BI13</f>
        <v>3282.2</v>
      </c>
      <c r="BI14" s="112">
        <f>EOD_Credit_CW!BJ13</f>
        <v>6</v>
      </c>
      <c r="BJ14" s="113">
        <f>EOD_Credit_CW!BK13</f>
        <v>1998.6</v>
      </c>
      <c r="BK14" s="112">
        <f>EOD_Credit_CW!BL13</f>
        <v>13</v>
      </c>
      <c r="BL14" s="113">
        <f>EOD_Credit_CW!BM13</f>
        <v>4983.2</v>
      </c>
      <c r="BM14" s="114" cm="1">
        <f t="array" ref="BM14">SUMPRODUCT((MOD(COLUMN(C14:BL14)-COLUMN(C14),2)=0)*C14:BL14)</f>
        <v>254</v>
      </c>
      <c r="BN14" s="113" cm="1">
        <f t="array" ref="BN14">SUMPRODUCT((MOD(COLUMN(D14:BM14)-COLUMN(D14),2)=0)*D14:BM14)</f>
        <v>123383.50000000003</v>
      </c>
      <c r="BO14" s="99"/>
      <c r="BP14" s="99"/>
      <c r="BQ14" s="99"/>
      <c r="BR14" s="99"/>
      <c r="BS14" s="99"/>
      <c r="BT14" s="99"/>
      <c r="BU14" s="99"/>
      <c r="BV14" s="99"/>
      <c r="BW14" s="99"/>
      <c r="BX14" s="99"/>
      <c r="CA14" s="83"/>
      <c r="CB14" s="83"/>
      <c r="CC14" s="83"/>
      <c r="CD14" s="83"/>
      <c r="CE14" s="83"/>
      <c r="CF14" s="83"/>
      <c r="CG14" s="83"/>
      <c r="CH14" s="83"/>
      <c r="CI14" s="83"/>
      <c r="CJ14" s="83"/>
      <c r="CK14" s="83"/>
      <c r="CL14" s="83"/>
      <c r="CM14" s="83"/>
      <c r="CN14" s="83"/>
      <c r="CO14" s="83"/>
      <c r="CP14" s="83"/>
    </row>
    <row r="15" spans="1:94" x14ac:dyDescent="0.25">
      <c r="A15" s="79" t="s">
        <v>14</v>
      </c>
      <c r="B15" s="98" t="s">
        <v>9</v>
      </c>
      <c r="C15" s="112">
        <f>EOD_Credit_CW!D16</f>
        <v>9</v>
      </c>
      <c r="D15" s="113">
        <f>EOD_Credit_CW!E16</f>
        <v>4840.3999999999996</v>
      </c>
      <c r="E15" s="112">
        <f>EOD_Credit_CW!F16</f>
        <v>10</v>
      </c>
      <c r="F15" s="113">
        <f>EOD_Credit_CW!G16</f>
        <v>4154.1000000000004</v>
      </c>
      <c r="G15" s="112">
        <f>EOD_Credit_CW!H16</f>
        <v>20</v>
      </c>
      <c r="H15" s="113">
        <f>EOD_Credit_CW!I16</f>
        <v>9995.2000000000007</v>
      </c>
      <c r="I15" s="112">
        <f>EOD_Credit_CW!J16</f>
        <v>11</v>
      </c>
      <c r="J15" s="113">
        <f>EOD_Credit_CW!K16</f>
        <v>6536.3</v>
      </c>
      <c r="K15" s="112">
        <f>EOD_Credit_CW!L16</f>
        <v>9</v>
      </c>
      <c r="L15" s="113">
        <f>EOD_Credit_CW!M16</f>
        <v>4870.3</v>
      </c>
      <c r="M15" s="112">
        <f>EOD_Credit_CW!N16</f>
        <v>15</v>
      </c>
      <c r="N15" s="113">
        <f>EOD_Credit_CW!O16</f>
        <v>6172.6</v>
      </c>
      <c r="O15" s="112">
        <f>EOD_Credit_CW!P16</f>
        <v>11</v>
      </c>
      <c r="P15" s="113">
        <f>EOD_Credit_CW!Q16</f>
        <v>4719.6000000000004</v>
      </c>
      <c r="Q15" s="112">
        <f>EOD_Credit_CW!R16</f>
        <v>6</v>
      </c>
      <c r="R15" s="113">
        <f>EOD_Credit_CW!S16</f>
        <v>4624.6000000000004</v>
      </c>
      <c r="S15" s="112">
        <f>EOD_Credit_CW!T16</f>
        <v>15</v>
      </c>
      <c r="T15" s="113">
        <f>EOD_Credit_CW!U16</f>
        <v>6400.7</v>
      </c>
      <c r="U15" s="112">
        <f>EOD_Credit_CW!V16</f>
        <v>12</v>
      </c>
      <c r="V15" s="113">
        <f>EOD_Credit_CW!W16</f>
        <v>5451.7</v>
      </c>
      <c r="W15" s="112">
        <f>EOD_Credit_CW!X16</f>
        <v>3</v>
      </c>
      <c r="X15" s="113">
        <f>EOD_Credit_CW!Y16</f>
        <v>1271.3</v>
      </c>
      <c r="Y15" s="112">
        <f>EOD_Credit_CW!Z16</f>
        <v>5</v>
      </c>
      <c r="Z15" s="113">
        <f>EOD_Credit_CW!AA16</f>
        <v>2420.1999999999998</v>
      </c>
      <c r="AA15" s="112">
        <f>EOD_Credit_CW!AB16</f>
        <v>17</v>
      </c>
      <c r="AB15" s="113">
        <f>EOD_Credit_CW!AC16</f>
        <v>13071.1</v>
      </c>
      <c r="AC15" s="112">
        <f>EOD_Credit_CW!AD16</f>
        <v>12</v>
      </c>
      <c r="AD15" s="113">
        <f>EOD_Credit_CW!AE16</f>
        <v>6354.6</v>
      </c>
      <c r="AE15" s="112">
        <f>EOD_Credit_CW!AF16</f>
        <v>6</v>
      </c>
      <c r="AF15" s="113">
        <f>EOD_Credit_CW!AG16</f>
        <v>2122.6999999999998</v>
      </c>
      <c r="AG15" s="112">
        <f>EOD_Credit_CW!AH16</f>
        <v>5</v>
      </c>
      <c r="AH15" s="113">
        <f>EOD_Credit_CW!AI16</f>
        <v>2197.9</v>
      </c>
      <c r="AI15" s="112">
        <f>EOD_Credit_CW!AJ16</f>
        <v>18</v>
      </c>
      <c r="AJ15" s="113">
        <f>EOD_Credit_CW!AK16</f>
        <v>6853.8</v>
      </c>
      <c r="AK15" s="112">
        <f>EOD_Credit_CW!AL16</f>
        <v>6</v>
      </c>
      <c r="AL15" s="113">
        <f>EOD_Credit_CW!AM16</f>
        <v>1427.9</v>
      </c>
      <c r="AM15" s="112">
        <f>EOD_Credit_CW!AN16</f>
        <v>12</v>
      </c>
      <c r="AN15" s="113">
        <f>EOD_Credit_CW!AO16</f>
        <v>6733.5</v>
      </c>
      <c r="AO15" s="112">
        <f>EOD_Credit_CW!AP16</f>
        <v>0</v>
      </c>
      <c r="AP15" s="113">
        <f>EOD_Credit_CW!AQ16</f>
        <v>0</v>
      </c>
      <c r="AQ15" s="112">
        <f>EOD_Credit_CW!AR16</f>
        <v>7</v>
      </c>
      <c r="AR15" s="113">
        <f>EOD_Credit_CW!AS16</f>
        <v>3426</v>
      </c>
      <c r="AS15" s="112">
        <f>EOD_Credit_CW!AT16</f>
        <v>7</v>
      </c>
      <c r="AT15" s="113">
        <f>EOD_Credit_CW!AU16</f>
        <v>4760.8</v>
      </c>
      <c r="AU15" s="112">
        <f>EOD_Credit_CW!AV16</f>
        <v>7</v>
      </c>
      <c r="AV15" s="113">
        <f>EOD_Credit_CW!AW16</f>
        <v>4075</v>
      </c>
      <c r="AW15" s="112">
        <f>EOD_Credit_CW!AX16</f>
        <v>12</v>
      </c>
      <c r="AX15" s="113">
        <f>EOD_Credit_CW!AY16</f>
        <v>6676.9</v>
      </c>
      <c r="AY15" s="112">
        <f>EOD_Credit_CW!AZ16</f>
        <v>6</v>
      </c>
      <c r="AZ15" s="113">
        <f>EOD_Credit_CW!BA16</f>
        <v>2727.2</v>
      </c>
      <c r="BA15" s="112">
        <f>EOD_Credit_CW!BB16</f>
        <v>11</v>
      </c>
      <c r="BB15" s="113">
        <f>EOD_Credit_CW!BC16</f>
        <v>7387.8</v>
      </c>
      <c r="BC15" s="112">
        <f>EOD_Credit_CW!BD16</f>
        <v>12</v>
      </c>
      <c r="BD15" s="113">
        <f>EOD_Credit_CW!BE16</f>
        <v>6849</v>
      </c>
      <c r="BE15" s="112">
        <f>EOD_Credit_CW!BF16</f>
        <v>2</v>
      </c>
      <c r="BF15" s="113">
        <f>EOD_Credit_CW!BG16</f>
        <v>734</v>
      </c>
      <c r="BG15" s="112">
        <f>EOD_Credit_CW!BH16</f>
        <v>8</v>
      </c>
      <c r="BH15" s="113">
        <f>EOD_Credit_CW!BI16</f>
        <v>7205.7</v>
      </c>
      <c r="BI15" s="112">
        <f>EOD_Credit_CW!BJ16</f>
        <v>9</v>
      </c>
      <c r="BJ15" s="113">
        <f>EOD_Credit_CW!BK16</f>
        <v>4169.7</v>
      </c>
      <c r="BK15" s="112">
        <f>EOD_Credit_CW!BL16</f>
        <v>19</v>
      </c>
      <c r="BL15" s="113">
        <f>EOD_Credit_CW!BM16</f>
        <v>8244.2000000000007</v>
      </c>
      <c r="BM15" s="114" cm="1">
        <f t="array" ref="BM15">SUMPRODUCT((MOD(COLUMN(C15:BL15)-COLUMN(C15),2)=0)*C15:BL15)</f>
        <v>302</v>
      </c>
      <c r="BN15" s="113" cm="1">
        <f t="array" ref="BN15">SUMPRODUCT((MOD(COLUMN(D15:BM15)-COLUMN(D15),2)=0)*D15:BM15)</f>
        <v>156474.80000000002</v>
      </c>
      <c r="BO15" s="99"/>
      <c r="BP15" s="99"/>
      <c r="BQ15" s="99"/>
      <c r="BR15" s="99"/>
      <c r="BS15" s="99"/>
      <c r="BT15" s="99"/>
      <c r="BU15" s="99"/>
      <c r="BV15" s="99"/>
      <c r="BW15" s="99"/>
      <c r="BX15" s="99"/>
      <c r="CA15" s="83"/>
      <c r="CB15" s="83"/>
      <c r="CC15" s="83"/>
      <c r="CD15" s="83"/>
      <c r="CE15" s="83"/>
      <c r="CF15" s="83"/>
      <c r="CG15" s="83"/>
      <c r="CH15" s="83"/>
      <c r="CI15" s="83"/>
      <c r="CJ15" s="83"/>
      <c r="CK15" s="83"/>
      <c r="CL15" s="83"/>
      <c r="CM15" s="83"/>
      <c r="CN15" s="83"/>
      <c r="CO15" s="83"/>
      <c r="CP15" s="83"/>
    </row>
    <row r="16" spans="1:94" x14ac:dyDescent="0.25">
      <c r="A16" s="79" t="s">
        <v>7</v>
      </c>
      <c r="B16" s="98" t="s">
        <v>9</v>
      </c>
      <c r="C16" s="112">
        <f>EOD_Credit_CW!D15</f>
        <v>25</v>
      </c>
      <c r="D16" s="113">
        <f>EOD_Credit_CW!E15</f>
        <v>11437.6</v>
      </c>
      <c r="E16" s="112">
        <f>EOD_Credit_CW!F15</f>
        <v>16</v>
      </c>
      <c r="F16" s="113">
        <f>EOD_Credit_CW!G15</f>
        <v>6086.7</v>
      </c>
      <c r="G16" s="112">
        <f>EOD_Credit_CW!H15</f>
        <v>30</v>
      </c>
      <c r="H16" s="113">
        <f>EOD_Credit_CW!I15</f>
        <v>10746.2</v>
      </c>
      <c r="I16" s="112">
        <f>EOD_Credit_CW!J15</f>
        <v>26</v>
      </c>
      <c r="J16" s="113">
        <f>EOD_Credit_CW!K15</f>
        <v>12167.7</v>
      </c>
      <c r="K16" s="112">
        <f>EOD_Credit_CW!L15</f>
        <v>29</v>
      </c>
      <c r="L16" s="113">
        <f>EOD_Credit_CW!M15</f>
        <v>10814.8</v>
      </c>
      <c r="M16" s="112">
        <f>EOD_Credit_CW!N15</f>
        <v>23</v>
      </c>
      <c r="N16" s="113">
        <f>EOD_Credit_CW!O15</f>
        <v>8960.1</v>
      </c>
      <c r="O16" s="112">
        <f>EOD_Credit_CW!P15</f>
        <v>23</v>
      </c>
      <c r="P16" s="113">
        <f>EOD_Credit_CW!Q15</f>
        <v>9908.5</v>
      </c>
      <c r="Q16" s="112">
        <f>EOD_Credit_CW!R15</f>
        <v>24</v>
      </c>
      <c r="R16" s="113">
        <f>EOD_Credit_CW!S15</f>
        <v>8939.7999999999993</v>
      </c>
      <c r="S16" s="112">
        <f>EOD_Credit_CW!T15</f>
        <v>22</v>
      </c>
      <c r="T16" s="113">
        <f>EOD_Credit_CW!U15</f>
        <v>11602.1</v>
      </c>
      <c r="U16" s="112">
        <f>EOD_Credit_CW!V15</f>
        <v>35</v>
      </c>
      <c r="V16" s="113">
        <f>EOD_Credit_CW!W15</f>
        <v>17153.099999999999</v>
      </c>
      <c r="W16" s="112">
        <f>EOD_Credit_CW!X15</f>
        <v>29</v>
      </c>
      <c r="X16" s="113">
        <f>EOD_Credit_CW!Y15</f>
        <v>13716.3</v>
      </c>
      <c r="Y16" s="112">
        <f>EOD_Credit_CW!Z15</f>
        <v>27</v>
      </c>
      <c r="Z16" s="113">
        <f>EOD_Credit_CW!AA15</f>
        <v>13894.5</v>
      </c>
      <c r="AA16" s="112">
        <f>EOD_Credit_CW!AB15</f>
        <v>21</v>
      </c>
      <c r="AB16" s="113">
        <f>EOD_Credit_CW!AC15</f>
        <v>9970.1</v>
      </c>
      <c r="AC16" s="112">
        <f>EOD_Credit_CW!AD15</f>
        <v>26</v>
      </c>
      <c r="AD16" s="113">
        <f>EOD_Credit_CW!AE15</f>
        <v>10989.4</v>
      </c>
      <c r="AE16" s="112">
        <f>EOD_Credit_CW!AF15</f>
        <v>29</v>
      </c>
      <c r="AF16" s="113">
        <f>EOD_Credit_CW!AG15</f>
        <v>12477.1</v>
      </c>
      <c r="AG16" s="112">
        <f>EOD_Credit_CW!AH15</f>
        <v>23</v>
      </c>
      <c r="AH16" s="113">
        <f>EOD_Credit_CW!AI15</f>
        <v>9684.4</v>
      </c>
      <c r="AI16" s="112">
        <f>EOD_Credit_CW!AJ15</f>
        <v>29</v>
      </c>
      <c r="AJ16" s="113">
        <f>EOD_Credit_CW!AK15</f>
        <v>13370.6</v>
      </c>
      <c r="AK16" s="112">
        <f>EOD_Credit_CW!AL15</f>
        <v>27</v>
      </c>
      <c r="AL16" s="113">
        <f>EOD_Credit_CW!AM15</f>
        <v>11279.5</v>
      </c>
      <c r="AM16" s="112">
        <f>EOD_Credit_CW!AN15</f>
        <v>41</v>
      </c>
      <c r="AN16" s="113">
        <f>EOD_Credit_CW!AO15</f>
        <v>21022.5</v>
      </c>
      <c r="AO16" s="112">
        <f>EOD_Credit_CW!AP15</f>
        <v>0</v>
      </c>
      <c r="AP16" s="113">
        <f>EOD_Credit_CW!AQ15</f>
        <v>0</v>
      </c>
      <c r="AQ16" s="112">
        <f>EOD_Credit_CW!AR15</f>
        <v>20</v>
      </c>
      <c r="AR16" s="113">
        <f>EOD_Credit_CW!AS15</f>
        <v>9264.7999999999993</v>
      </c>
      <c r="AS16" s="112">
        <f>EOD_Credit_CW!AT15</f>
        <v>15</v>
      </c>
      <c r="AT16" s="113">
        <f>EOD_Credit_CW!AU15</f>
        <v>9320.4</v>
      </c>
      <c r="AU16" s="112">
        <f>EOD_Credit_CW!AV15</f>
        <v>17</v>
      </c>
      <c r="AV16" s="113">
        <f>EOD_Credit_CW!AW15</f>
        <v>8390.4</v>
      </c>
      <c r="AW16" s="112">
        <f>EOD_Credit_CW!AX15</f>
        <v>39</v>
      </c>
      <c r="AX16" s="113">
        <f>EOD_Credit_CW!AY15</f>
        <v>17450.5</v>
      </c>
      <c r="AY16" s="112">
        <f>EOD_Credit_CW!AZ15</f>
        <v>23</v>
      </c>
      <c r="AZ16" s="113">
        <f>EOD_Credit_CW!BA15</f>
        <v>13272.9</v>
      </c>
      <c r="BA16" s="112">
        <f>EOD_Credit_CW!BB15</f>
        <v>27</v>
      </c>
      <c r="BB16" s="113">
        <f>EOD_Credit_CW!BC15</f>
        <v>13334.7</v>
      </c>
      <c r="BC16" s="112">
        <f>EOD_Credit_CW!BD15</f>
        <v>28</v>
      </c>
      <c r="BD16" s="113">
        <f>EOD_Credit_CW!BE15</f>
        <v>11191.1</v>
      </c>
      <c r="BE16" s="112">
        <f>EOD_Credit_CW!BF15</f>
        <v>23</v>
      </c>
      <c r="BF16" s="113">
        <f>EOD_Credit_CW!BG15</f>
        <v>10777.2</v>
      </c>
      <c r="BG16" s="112">
        <f>EOD_Credit_CW!BH15</f>
        <v>16</v>
      </c>
      <c r="BH16" s="113">
        <f>EOD_Credit_CW!BI15</f>
        <v>10671.5</v>
      </c>
      <c r="BI16" s="112">
        <f>EOD_Credit_CW!BJ15</f>
        <v>28</v>
      </c>
      <c r="BJ16" s="113">
        <f>EOD_Credit_CW!BK15</f>
        <v>10362.1</v>
      </c>
      <c r="BK16" s="112">
        <f>EOD_Credit_CW!BL15</f>
        <v>34</v>
      </c>
      <c r="BL16" s="113">
        <f>EOD_Credit_CW!BM15</f>
        <v>17325.3</v>
      </c>
      <c r="BM16" s="114" cm="1">
        <f t="array" ref="BM16">SUMPRODUCT((MOD(COLUMN(C16:BL16)-COLUMN(C16),2)=0)*C16:BL16)</f>
        <v>775</v>
      </c>
      <c r="BN16" s="113" cm="1">
        <f t="array" ref="BN16">SUMPRODUCT((MOD(COLUMN(D16:BM16)-COLUMN(D16),2)=0)*D16:BM16)</f>
        <v>355581.89999999997</v>
      </c>
      <c r="BO16" s="99"/>
      <c r="BP16" s="99"/>
      <c r="BQ16" s="99"/>
      <c r="BR16" s="99"/>
      <c r="BS16" s="99"/>
      <c r="BT16" s="99"/>
      <c r="BU16" s="99"/>
      <c r="BV16" s="99"/>
      <c r="BW16" s="99"/>
      <c r="BX16" s="99"/>
      <c r="CA16" s="83"/>
      <c r="CB16" s="83"/>
      <c r="CC16" s="83"/>
      <c r="CD16" s="83"/>
      <c r="CE16" s="83"/>
      <c r="CF16" s="83"/>
      <c r="CG16" s="83"/>
      <c r="CH16" s="83"/>
      <c r="CI16" s="83"/>
      <c r="CJ16" s="83"/>
      <c r="CK16" s="83"/>
      <c r="CL16" s="83"/>
      <c r="CM16" s="83"/>
      <c r="CN16" s="83"/>
      <c r="CO16" s="83"/>
      <c r="CP16" s="83"/>
    </row>
    <row r="17" spans="1:94" x14ac:dyDescent="0.25">
      <c r="A17" s="100" t="s">
        <v>15</v>
      </c>
      <c r="B17" s="101"/>
      <c r="C17" s="115">
        <f>SUM(C10:C16)</f>
        <v>51</v>
      </c>
      <c r="D17" s="116">
        <f>SUM(D10:D16)</f>
        <v>24548.2</v>
      </c>
      <c r="E17" s="115">
        <f t="shared" ref="E17:BL17" si="1">SUM(E10:E16)</f>
        <v>43</v>
      </c>
      <c r="F17" s="116">
        <f t="shared" si="1"/>
        <v>18009.400000000001</v>
      </c>
      <c r="G17" s="115">
        <f t="shared" si="1"/>
        <v>84</v>
      </c>
      <c r="H17" s="116">
        <f t="shared" si="1"/>
        <v>37153.600000000006</v>
      </c>
      <c r="I17" s="115">
        <f t="shared" si="1"/>
        <v>52</v>
      </c>
      <c r="J17" s="116">
        <f t="shared" si="1"/>
        <v>24313.100000000002</v>
      </c>
      <c r="K17" s="115">
        <f t="shared" si="1"/>
        <v>60</v>
      </c>
      <c r="L17" s="116">
        <f t="shared" si="1"/>
        <v>29180.899999999998</v>
      </c>
      <c r="M17" s="115">
        <f t="shared" si="1"/>
        <v>76</v>
      </c>
      <c r="N17" s="116">
        <f t="shared" si="1"/>
        <v>33336.299999999996</v>
      </c>
      <c r="O17" s="115">
        <f t="shared" si="1"/>
        <v>53</v>
      </c>
      <c r="P17" s="116">
        <f t="shared" si="1"/>
        <v>23350.9</v>
      </c>
      <c r="Q17" s="115">
        <f t="shared" si="1"/>
        <v>49</v>
      </c>
      <c r="R17" s="116">
        <f t="shared" si="1"/>
        <v>22120.699999999997</v>
      </c>
      <c r="S17" s="115">
        <f t="shared" si="1"/>
        <v>56</v>
      </c>
      <c r="T17" s="116">
        <f t="shared" si="1"/>
        <v>23869.1</v>
      </c>
      <c r="U17" s="115">
        <f t="shared" si="1"/>
        <v>66</v>
      </c>
      <c r="V17" s="116">
        <f t="shared" si="1"/>
        <v>31851.499999999996</v>
      </c>
      <c r="W17" s="115">
        <f t="shared" si="1"/>
        <v>52</v>
      </c>
      <c r="X17" s="116">
        <f t="shared" si="1"/>
        <v>24853.399999999998</v>
      </c>
      <c r="Y17" s="115">
        <f t="shared" si="1"/>
        <v>62</v>
      </c>
      <c r="Z17" s="116">
        <f t="shared" si="1"/>
        <v>32644.1</v>
      </c>
      <c r="AA17" s="115">
        <f t="shared" si="1"/>
        <v>61</v>
      </c>
      <c r="AB17" s="116">
        <f t="shared" si="1"/>
        <v>31947.5</v>
      </c>
      <c r="AC17" s="115">
        <f t="shared" si="1"/>
        <v>53</v>
      </c>
      <c r="AD17" s="116">
        <f t="shared" si="1"/>
        <v>23816.5</v>
      </c>
      <c r="AE17" s="115">
        <f t="shared" si="1"/>
        <v>60</v>
      </c>
      <c r="AF17" s="116">
        <f t="shared" si="1"/>
        <v>26498.800000000003</v>
      </c>
      <c r="AG17" s="115">
        <f t="shared" si="1"/>
        <v>37</v>
      </c>
      <c r="AH17" s="116">
        <f t="shared" si="1"/>
        <v>15583.3</v>
      </c>
      <c r="AI17" s="115">
        <f t="shared" si="1"/>
        <v>83</v>
      </c>
      <c r="AJ17" s="116">
        <f t="shared" si="1"/>
        <v>36895.5</v>
      </c>
      <c r="AK17" s="115">
        <f t="shared" si="1"/>
        <v>58</v>
      </c>
      <c r="AL17" s="116">
        <f t="shared" si="1"/>
        <v>26177.1</v>
      </c>
      <c r="AM17" s="115">
        <f t="shared" si="1"/>
        <v>84</v>
      </c>
      <c r="AN17" s="116">
        <f t="shared" si="1"/>
        <v>44556.7</v>
      </c>
      <c r="AO17" s="115">
        <f t="shared" si="1"/>
        <v>0</v>
      </c>
      <c r="AP17" s="116">
        <f t="shared" si="1"/>
        <v>0</v>
      </c>
      <c r="AQ17" s="115">
        <f t="shared" si="1"/>
        <v>45</v>
      </c>
      <c r="AR17" s="116">
        <f t="shared" si="1"/>
        <v>20614.3</v>
      </c>
      <c r="AS17" s="115">
        <f t="shared" si="1"/>
        <v>35</v>
      </c>
      <c r="AT17" s="116">
        <f t="shared" si="1"/>
        <v>20191.5</v>
      </c>
      <c r="AU17" s="115">
        <f t="shared" si="1"/>
        <v>46</v>
      </c>
      <c r="AV17" s="116">
        <f t="shared" si="1"/>
        <v>22343.800000000003</v>
      </c>
      <c r="AW17" s="115">
        <f t="shared" si="1"/>
        <v>83</v>
      </c>
      <c r="AX17" s="116">
        <f t="shared" si="1"/>
        <v>40585.699999999997</v>
      </c>
      <c r="AY17" s="115">
        <f t="shared" si="1"/>
        <v>52</v>
      </c>
      <c r="AZ17" s="116">
        <f t="shared" si="1"/>
        <v>27423.1</v>
      </c>
      <c r="BA17" s="115">
        <f t="shared" si="1"/>
        <v>64</v>
      </c>
      <c r="BB17" s="116">
        <f t="shared" si="1"/>
        <v>32795.699999999997</v>
      </c>
      <c r="BC17" s="115">
        <f t="shared" si="1"/>
        <v>79</v>
      </c>
      <c r="BD17" s="116">
        <f t="shared" si="1"/>
        <v>36258</v>
      </c>
      <c r="BE17" s="115">
        <f t="shared" si="1"/>
        <v>38</v>
      </c>
      <c r="BF17" s="116">
        <f t="shared" si="1"/>
        <v>16305.400000000001</v>
      </c>
      <c r="BG17" s="115">
        <f t="shared" si="1"/>
        <v>38</v>
      </c>
      <c r="BH17" s="116">
        <f t="shared" si="1"/>
        <v>24634.1</v>
      </c>
      <c r="BI17" s="115">
        <f t="shared" si="1"/>
        <v>52</v>
      </c>
      <c r="BJ17" s="116">
        <f t="shared" si="1"/>
        <v>20043.099999999999</v>
      </c>
      <c r="BK17" s="115">
        <f t="shared" si="1"/>
        <v>91</v>
      </c>
      <c r="BL17" s="116">
        <f t="shared" si="1"/>
        <v>43657.3</v>
      </c>
      <c r="BM17" s="117">
        <f t="shared" ref="BM17:BN17" si="2">SUM(BM10:BM16)</f>
        <v>1763</v>
      </c>
      <c r="BN17" s="116">
        <f t="shared" si="2"/>
        <v>835558.60000000009</v>
      </c>
      <c r="BO17" s="102"/>
      <c r="BP17" s="102"/>
      <c r="BQ17" s="102"/>
      <c r="BR17" s="102"/>
      <c r="BS17" s="102"/>
      <c r="BT17" s="102"/>
      <c r="BU17" s="102"/>
      <c r="BV17" s="102"/>
      <c r="BW17" s="102"/>
      <c r="BX17" s="102"/>
      <c r="CA17" s="83"/>
      <c r="CB17" s="83"/>
      <c r="CC17" s="83"/>
      <c r="CD17" s="83"/>
      <c r="CE17" s="83"/>
      <c r="CF17" s="83"/>
      <c r="CG17" s="83"/>
      <c r="CH17" s="83"/>
      <c r="CI17" s="83"/>
      <c r="CJ17" s="83"/>
      <c r="CK17" s="83"/>
      <c r="CL17" s="83"/>
      <c r="CM17" s="83"/>
      <c r="CN17" s="83"/>
      <c r="CO17" s="83"/>
      <c r="CP17" s="83"/>
    </row>
    <row r="18" spans="1:94" x14ac:dyDescent="0.25">
      <c r="C18" s="118"/>
      <c r="D18" s="119"/>
      <c r="E18" s="118"/>
      <c r="F18" s="119"/>
      <c r="G18" s="118"/>
      <c r="H18" s="119"/>
      <c r="I18" s="118"/>
      <c r="J18" s="119"/>
      <c r="K18" s="118"/>
      <c r="L18" s="119"/>
      <c r="M18" s="118"/>
      <c r="N18" s="119"/>
      <c r="O18" s="118"/>
      <c r="P18" s="119"/>
      <c r="Q18" s="118"/>
      <c r="R18" s="119"/>
      <c r="S18" s="118"/>
      <c r="T18" s="119"/>
      <c r="U18" s="118"/>
      <c r="V18" s="119"/>
      <c r="W18" s="118"/>
      <c r="X18" s="119"/>
      <c r="Y18" s="118"/>
      <c r="Z18" s="119"/>
      <c r="AA18" s="118"/>
      <c r="AB18" s="119"/>
      <c r="AC18" s="118"/>
      <c r="AD18" s="119"/>
      <c r="AE18" s="118"/>
      <c r="AF18" s="119"/>
      <c r="AG18" s="118"/>
      <c r="AH18" s="119"/>
      <c r="AI18" s="118"/>
      <c r="AJ18" s="119"/>
      <c r="AK18" s="118"/>
      <c r="AL18" s="119"/>
      <c r="AM18" s="118"/>
      <c r="AN18" s="119"/>
      <c r="AO18" s="118"/>
      <c r="AP18" s="119"/>
      <c r="AQ18" s="118"/>
      <c r="AR18" s="119"/>
      <c r="AS18" s="118"/>
      <c r="AT18" s="119"/>
      <c r="AU18" s="118"/>
      <c r="AV18" s="119"/>
      <c r="AW18" s="118"/>
      <c r="AX18" s="119"/>
      <c r="AY18" s="118"/>
      <c r="AZ18" s="119"/>
      <c r="BA18" s="118"/>
      <c r="BB18" s="119"/>
      <c r="BC18" s="118"/>
      <c r="BD18" s="119"/>
      <c r="BE18" s="118"/>
      <c r="BF18" s="119"/>
      <c r="BG18" s="118"/>
      <c r="BH18" s="119"/>
      <c r="BI18" s="118"/>
      <c r="BJ18" s="119"/>
      <c r="BK18" s="118"/>
      <c r="BL18" s="119"/>
      <c r="BM18" s="120"/>
      <c r="BN18" s="119"/>
      <c r="CA18" s="83"/>
      <c r="CB18" s="83"/>
      <c r="CC18" s="83"/>
      <c r="CD18" s="83"/>
      <c r="CE18" s="83"/>
      <c r="CF18" s="83"/>
      <c r="CG18" s="83"/>
      <c r="CH18" s="83"/>
      <c r="CI18" s="83"/>
      <c r="CJ18" s="83"/>
      <c r="CK18" s="83"/>
      <c r="CL18" s="83"/>
      <c r="CM18" s="83"/>
      <c r="CN18" s="83"/>
      <c r="CO18" s="83"/>
      <c r="CP18" s="83"/>
    </row>
    <row r="19" spans="1:94" x14ac:dyDescent="0.25">
      <c r="A19" s="92" t="s">
        <v>16</v>
      </c>
      <c r="B19" s="93"/>
      <c r="C19" s="121"/>
      <c r="D19" s="122"/>
      <c r="E19" s="121"/>
      <c r="F19" s="122"/>
      <c r="G19" s="121"/>
      <c r="H19" s="122"/>
      <c r="I19" s="121"/>
      <c r="J19" s="122"/>
      <c r="K19" s="121"/>
      <c r="L19" s="122"/>
      <c r="M19" s="121"/>
      <c r="N19" s="122"/>
      <c r="O19" s="121"/>
      <c r="P19" s="122"/>
      <c r="Q19" s="121"/>
      <c r="R19" s="122"/>
      <c r="S19" s="121"/>
      <c r="T19" s="122"/>
      <c r="U19" s="121"/>
      <c r="V19" s="122"/>
      <c r="W19" s="121"/>
      <c r="X19" s="122"/>
      <c r="Y19" s="121"/>
      <c r="Z19" s="122"/>
      <c r="AA19" s="121"/>
      <c r="AB19" s="122"/>
      <c r="AC19" s="121"/>
      <c r="AD19" s="122"/>
      <c r="AE19" s="121"/>
      <c r="AF19" s="122"/>
      <c r="AG19" s="121"/>
      <c r="AH19" s="122"/>
      <c r="AI19" s="121"/>
      <c r="AJ19" s="122"/>
      <c r="AK19" s="121"/>
      <c r="AL19" s="122"/>
      <c r="AM19" s="121"/>
      <c r="AN19" s="122"/>
      <c r="AO19" s="121"/>
      <c r="AP19" s="122"/>
      <c r="AQ19" s="121"/>
      <c r="AR19" s="122"/>
      <c r="AS19" s="121"/>
      <c r="AT19" s="122"/>
      <c r="AU19" s="121"/>
      <c r="AV19" s="122"/>
      <c r="AW19" s="121"/>
      <c r="AX19" s="122"/>
      <c r="AY19" s="121"/>
      <c r="AZ19" s="122"/>
      <c r="BA19" s="121"/>
      <c r="BB19" s="122"/>
      <c r="BC19" s="121"/>
      <c r="BD19" s="122"/>
      <c r="BE19" s="121"/>
      <c r="BF19" s="122"/>
      <c r="BG19" s="121"/>
      <c r="BH19" s="122"/>
      <c r="BI19" s="121"/>
      <c r="BJ19" s="122"/>
      <c r="BK19" s="121"/>
      <c r="BL19" s="122"/>
      <c r="BM19" s="123"/>
      <c r="BN19" s="122"/>
      <c r="CA19" s="83"/>
      <c r="CB19" s="83"/>
      <c r="CC19" s="83"/>
      <c r="CD19" s="83"/>
      <c r="CE19" s="83"/>
      <c r="CF19" s="83"/>
      <c r="CG19" s="83"/>
      <c r="CH19" s="83"/>
      <c r="CI19" s="83"/>
      <c r="CJ19" s="83"/>
      <c r="CK19" s="83"/>
      <c r="CL19" s="83"/>
      <c r="CM19" s="83"/>
      <c r="CN19" s="83"/>
      <c r="CO19" s="83"/>
      <c r="CP19" s="83"/>
    </row>
    <row r="20" spans="1:94" x14ac:dyDescent="0.25">
      <c r="A20" s="79" t="s">
        <v>17</v>
      </c>
      <c r="B20" s="98" t="s">
        <v>9</v>
      </c>
      <c r="C20" s="112">
        <f>EOD_Credit_CW!D7</f>
        <v>3</v>
      </c>
      <c r="D20" s="113">
        <f>EOD_Credit_CW!E7</f>
        <v>2047.1</v>
      </c>
      <c r="E20" s="112">
        <f>EOD_Credit_CW!F7</f>
        <v>5</v>
      </c>
      <c r="F20" s="113">
        <f>EOD_Credit_CW!G7</f>
        <v>1537.5</v>
      </c>
      <c r="G20" s="112">
        <f>EOD_Credit_CW!H7</f>
        <v>6</v>
      </c>
      <c r="H20" s="113">
        <f>EOD_Credit_CW!I7</f>
        <v>2908.2</v>
      </c>
      <c r="I20" s="112">
        <f>EOD_Credit_CW!J7</f>
        <v>5</v>
      </c>
      <c r="J20" s="113">
        <f>EOD_Credit_CW!K7</f>
        <v>3734</v>
      </c>
      <c r="K20" s="112">
        <f>EOD_Credit_CW!L7</f>
        <v>2</v>
      </c>
      <c r="L20" s="113">
        <f>EOD_Credit_CW!M7</f>
        <v>1000</v>
      </c>
      <c r="M20" s="112">
        <f>EOD_Credit_CW!N7</f>
        <v>4</v>
      </c>
      <c r="N20" s="113">
        <f>EOD_Credit_CW!O7</f>
        <v>975.1</v>
      </c>
      <c r="O20" s="112">
        <f>EOD_Credit_CW!P7</f>
        <v>4</v>
      </c>
      <c r="P20" s="113">
        <f>EOD_Credit_CW!Q7</f>
        <v>2115.9</v>
      </c>
      <c r="Q20" s="112">
        <f>EOD_Credit_CW!R7</f>
        <v>9</v>
      </c>
      <c r="R20" s="113">
        <f>EOD_Credit_CW!S7</f>
        <v>3487.5</v>
      </c>
      <c r="S20" s="112">
        <f>EOD_Credit_CW!T7</f>
        <v>5</v>
      </c>
      <c r="T20" s="113">
        <f>EOD_Credit_CW!U7</f>
        <v>2476.3000000000002</v>
      </c>
      <c r="U20" s="112">
        <f>EOD_Credit_CW!V7</f>
        <v>3</v>
      </c>
      <c r="V20" s="113">
        <f>EOD_Credit_CW!W7</f>
        <v>1605.9</v>
      </c>
      <c r="W20" s="112">
        <f>EOD_Credit_CW!X7</f>
        <v>4</v>
      </c>
      <c r="X20" s="113">
        <f>EOD_Credit_CW!Y7</f>
        <v>2167.9</v>
      </c>
      <c r="Y20" s="112">
        <f>EOD_Credit_CW!Z7</f>
        <v>7</v>
      </c>
      <c r="Z20" s="113">
        <f>EOD_Credit_CW!AA7</f>
        <v>3323.8</v>
      </c>
      <c r="AA20" s="112">
        <f>EOD_Credit_CW!AB7</f>
        <v>8</v>
      </c>
      <c r="AB20" s="113">
        <f>EOD_Credit_CW!AC7</f>
        <v>4000.8</v>
      </c>
      <c r="AC20" s="112">
        <f>EOD_Credit_CW!AD7</f>
        <v>2</v>
      </c>
      <c r="AD20" s="113">
        <f>EOD_Credit_CW!AE7</f>
        <v>1092</v>
      </c>
      <c r="AE20" s="112">
        <f>EOD_Credit_CW!AF7</f>
        <v>12</v>
      </c>
      <c r="AF20" s="113">
        <f>EOD_Credit_CW!AG7</f>
        <v>4983.8</v>
      </c>
      <c r="AG20" s="112">
        <f>EOD_Credit_CW!AH7</f>
        <v>4</v>
      </c>
      <c r="AH20" s="113">
        <f>EOD_Credit_CW!AI7</f>
        <v>2486.6</v>
      </c>
      <c r="AI20" s="112">
        <f>EOD_Credit_CW!AJ7</f>
        <v>8</v>
      </c>
      <c r="AJ20" s="113">
        <f>EOD_Credit_CW!AK7</f>
        <v>3102.6</v>
      </c>
      <c r="AK20" s="112">
        <f>EOD_Credit_CW!AL7</f>
        <v>1</v>
      </c>
      <c r="AL20" s="113">
        <f>EOD_Credit_CW!AM7</f>
        <v>1000</v>
      </c>
      <c r="AM20" s="112">
        <f>EOD_Credit_CW!AN7</f>
        <v>4</v>
      </c>
      <c r="AN20" s="113">
        <f>EOD_Credit_CW!AO7</f>
        <v>2018.4</v>
      </c>
      <c r="AO20" s="112">
        <f>EOD_Credit_CW!AP7</f>
        <v>0</v>
      </c>
      <c r="AP20" s="113">
        <f>EOD_Credit_CW!AQ7</f>
        <v>0</v>
      </c>
      <c r="AQ20" s="112">
        <f>EOD_Credit_CW!AR7</f>
        <v>2</v>
      </c>
      <c r="AR20" s="113">
        <f>EOD_Credit_CW!AS7</f>
        <v>896.2</v>
      </c>
      <c r="AS20" s="112">
        <f>EOD_Credit_CW!AT7</f>
        <v>5</v>
      </c>
      <c r="AT20" s="113">
        <f>EOD_Credit_CW!AU7</f>
        <v>1798</v>
      </c>
      <c r="AU20" s="112">
        <f>EOD_Credit_CW!AV7</f>
        <v>4</v>
      </c>
      <c r="AV20" s="113">
        <f>EOD_Credit_CW!AW7</f>
        <v>2540</v>
      </c>
      <c r="AW20" s="112">
        <f>EOD_Credit_CW!AX7</f>
        <v>5</v>
      </c>
      <c r="AX20" s="113">
        <f>EOD_Credit_CW!AY7</f>
        <v>1824.6</v>
      </c>
      <c r="AY20" s="112">
        <f>EOD_Credit_CW!AZ7</f>
        <v>4</v>
      </c>
      <c r="AZ20" s="113">
        <f>EOD_Credit_CW!BA7</f>
        <v>3032.8</v>
      </c>
      <c r="BA20" s="112">
        <f>EOD_Credit_CW!BB7</f>
        <v>8</v>
      </c>
      <c r="BB20" s="113">
        <f>EOD_Credit_CW!BC7</f>
        <v>3347.3</v>
      </c>
      <c r="BC20" s="112">
        <f>EOD_Credit_CW!BD7</f>
        <v>7</v>
      </c>
      <c r="BD20" s="113">
        <f>EOD_Credit_CW!BE7</f>
        <v>3292.7</v>
      </c>
      <c r="BE20" s="112">
        <f>EOD_Credit_CW!BF7</f>
        <v>2</v>
      </c>
      <c r="BF20" s="113">
        <f>EOD_Credit_CW!BG7</f>
        <v>175.7</v>
      </c>
      <c r="BG20" s="112">
        <f>EOD_Credit_CW!BH7</f>
        <v>5</v>
      </c>
      <c r="BH20" s="113">
        <f>EOD_Credit_CW!BI7</f>
        <v>2618.6999999999998</v>
      </c>
      <c r="BI20" s="112">
        <f>EOD_Credit_CW!BJ7</f>
        <v>6</v>
      </c>
      <c r="BJ20" s="113">
        <f>EOD_Credit_CW!BK7</f>
        <v>2340.3000000000002</v>
      </c>
      <c r="BK20" s="112">
        <f>EOD_Credit_CW!BL7</f>
        <v>4</v>
      </c>
      <c r="BL20" s="113">
        <f>EOD_Credit_CW!BM7</f>
        <v>1235.4000000000001</v>
      </c>
      <c r="BM20" s="114" cm="1">
        <f t="array" ref="BM20">SUMPRODUCT((MOD(COLUMN(C20:BL20)-COLUMN(C20),2)=0)*C20:BL20)</f>
        <v>148</v>
      </c>
      <c r="BN20" s="113" cm="1">
        <f t="array" ref="BN20">SUMPRODUCT((MOD(COLUMN(D20:BM20)-COLUMN(D20),2)=0)*D20:BM20)</f>
        <v>69165.099999999991</v>
      </c>
      <c r="CA20" s="83"/>
      <c r="CB20" s="83"/>
      <c r="CC20" s="83"/>
      <c r="CD20" s="83"/>
      <c r="CE20" s="83"/>
      <c r="CF20" s="83"/>
      <c r="CG20" s="83"/>
      <c r="CH20" s="83"/>
      <c r="CI20" s="83"/>
      <c r="CJ20" s="83"/>
      <c r="CK20" s="83"/>
      <c r="CL20" s="83"/>
      <c r="CM20" s="83"/>
      <c r="CN20" s="83"/>
      <c r="CO20" s="83"/>
      <c r="CP20" s="83"/>
    </row>
    <row r="21" spans="1:94" x14ac:dyDescent="0.25">
      <c r="A21" s="79" t="s">
        <v>18</v>
      </c>
      <c r="B21" s="98" t="s">
        <v>9</v>
      </c>
      <c r="C21" s="112">
        <f>EOD_Credit_CW!D9</f>
        <v>0</v>
      </c>
      <c r="D21" s="113">
        <f>EOD_Credit_CW!E9</f>
        <v>0</v>
      </c>
      <c r="E21" s="112">
        <f>EOD_Credit_CW!F9</f>
        <v>2</v>
      </c>
      <c r="F21" s="113">
        <f>EOD_Credit_CW!G9</f>
        <v>687.5</v>
      </c>
      <c r="G21" s="112">
        <f>EOD_Credit_CW!H9</f>
        <v>1</v>
      </c>
      <c r="H21" s="113">
        <f>EOD_Credit_CW!I9</f>
        <v>186.4</v>
      </c>
      <c r="I21" s="112">
        <f>EOD_Credit_CW!J9</f>
        <v>1</v>
      </c>
      <c r="J21" s="113">
        <f>EOD_Credit_CW!K9</f>
        <v>643.4</v>
      </c>
      <c r="K21" s="112">
        <f>EOD_Credit_CW!L9</f>
        <v>3</v>
      </c>
      <c r="L21" s="113">
        <f>EOD_Credit_CW!M9</f>
        <v>1643.6</v>
      </c>
      <c r="M21" s="112">
        <f>EOD_Credit_CW!N9</f>
        <v>1</v>
      </c>
      <c r="N21" s="113">
        <f>EOD_Credit_CW!O9</f>
        <v>224.5</v>
      </c>
      <c r="O21" s="112">
        <f>EOD_Credit_CW!P9</f>
        <v>0</v>
      </c>
      <c r="P21" s="113">
        <f>EOD_Credit_CW!Q9</f>
        <v>0</v>
      </c>
      <c r="Q21" s="112">
        <f>EOD_Credit_CW!R9</f>
        <v>1</v>
      </c>
      <c r="R21" s="113">
        <f>EOD_Credit_CW!S9</f>
        <v>100</v>
      </c>
      <c r="S21" s="112">
        <f>EOD_Credit_CW!T9</f>
        <v>0</v>
      </c>
      <c r="T21" s="113">
        <f>EOD_Credit_CW!U9</f>
        <v>0</v>
      </c>
      <c r="U21" s="112">
        <f>EOD_Credit_CW!V9</f>
        <v>2</v>
      </c>
      <c r="V21" s="113">
        <f>EOD_Credit_CW!W9</f>
        <v>617</v>
      </c>
      <c r="W21" s="112">
        <f>EOD_Credit_CW!X9</f>
        <v>1</v>
      </c>
      <c r="X21" s="113">
        <f>EOD_Credit_CW!Y9</f>
        <v>241.3</v>
      </c>
      <c r="Y21" s="112">
        <f>EOD_Credit_CW!Z9</f>
        <v>1</v>
      </c>
      <c r="Z21" s="113">
        <f>EOD_Credit_CW!AA9</f>
        <v>500</v>
      </c>
      <c r="AA21" s="112">
        <f>EOD_Credit_CW!AB9</f>
        <v>2</v>
      </c>
      <c r="AB21" s="113">
        <f>EOD_Credit_CW!AC9</f>
        <v>712.7</v>
      </c>
      <c r="AC21" s="112">
        <f>EOD_Credit_CW!AD9</f>
        <v>2</v>
      </c>
      <c r="AD21" s="113">
        <f>EOD_Credit_CW!AE9</f>
        <v>778.9</v>
      </c>
      <c r="AE21" s="112">
        <f>EOD_Credit_CW!AF9</f>
        <v>2</v>
      </c>
      <c r="AF21" s="113">
        <f>EOD_Credit_CW!AG9</f>
        <v>733.5</v>
      </c>
      <c r="AG21" s="112">
        <f>EOD_Credit_CW!AH9</f>
        <v>1</v>
      </c>
      <c r="AH21" s="113">
        <f>EOD_Credit_CW!AI9</f>
        <v>143.4</v>
      </c>
      <c r="AI21" s="112">
        <f>EOD_Credit_CW!AJ9</f>
        <v>3</v>
      </c>
      <c r="AJ21" s="113">
        <f>EOD_Credit_CW!AK9</f>
        <v>1792</v>
      </c>
      <c r="AK21" s="112">
        <f>EOD_Credit_CW!AL9</f>
        <v>3</v>
      </c>
      <c r="AL21" s="113">
        <f>EOD_Credit_CW!AM9</f>
        <v>336.4</v>
      </c>
      <c r="AM21" s="112">
        <f>EOD_Credit_CW!AN9</f>
        <v>0</v>
      </c>
      <c r="AN21" s="113">
        <f>EOD_Credit_CW!AO9</f>
        <v>0</v>
      </c>
      <c r="AO21" s="112">
        <f>EOD_Credit_CW!AP9</f>
        <v>0</v>
      </c>
      <c r="AP21" s="113">
        <f>EOD_Credit_CW!AQ9</f>
        <v>0</v>
      </c>
      <c r="AQ21" s="112">
        <f>EOD_Credit_CW!AR9</f>
        <v>0</v>
      </c>
      <c r="AR21" s="113">
        <f>EOD_Credit_CW!AS9</f>
        <v>0</v>
      </c>
      <c r="AS21" s="112">
        <f>EOD_Credit_CW!AT9</f>
        <v>0</v>
      </c>
      <c r="AT21" s="113">
        <f>EOD_Credit_CW!AU9</f>
        <v>0</v>
      </c>
      <c r="AU21" s="112">
        <f>EOD_Credit_CW!AV9</f>
        <v>3</v>
      </c>
      <c r="AV21" s="113">
        <f>EOD_Credit_CW!AW9</f>
        <v>1153.5</v>
      </c>
      <c r="AW21" s="112">
        <f>EOD_Credit_CW!AX9</f>
        <v>2</v>
      </c>
      <c r="AX21" s="113">
        <f>EOD_Credit_CW!AY9</f>
        <v>640</v>
      </c>
      <c r="AY21" s="112">
        <f>EOD_Credit_CW!AZ9</f>
        <v>2</v>
      </c>
      <c r="AZ21" s="113">
        <f>EOD_Credit_CW!BA9</f>
        <v>225.2</v>
      </c>
      <c r="BA21" s="112">
        <f>EOD_Credit_CW!BB9</f>
        <v>1</v>
      </c>
      <c r="BB21" s="113">
        <f>EOD_Credit_CW!BC9</f>
        <v>367.2</v>
      </c>
      <c r="BC21" s="112">
        <f>EOD_Credit_CW!BD9</f>
        <v>4</v>
      </c>
      <c r="BD21" s="113">
        <f>EOD_Credit_CW!BE9</f>
        <v>1353.3</v>
      </c>
      <c r="BE21" s="112">
        <f>EOD_Credit_CW!BF9</f>
        <v>0</v>
      </c>
      <c r="BF21" s="113">
        <f>EOD_Credit_CW!BG9</f>
        <v>0</v>
      </c>
      <c r="BG21" s="112">
        <f>EOD_Credit_CW!BH9</f>
        <v>2</v>
      </c>
      <c r="BH21" s="113">
        <f>EOD_Credit_CW!BI9</f>
        <v>600</v>
      </c>
      <c r="BI21" s="112">
        <f>EOD_Credit_CW!BJ9</f>
        <v>3</v>
      </c>
      <c r="BJ21" s="113">
        <f>EOD_Credit_CW!BK9</f>
        <v>818.3</v>
      </c>
      <c r="BK21" s="112">
        <f>EOD_Credit_CW!BL9</f>
        <v>3</v>
      </c>
      <c r="BL21" s="113">
        <f>EOD_Credit_CW!BM9</f>
        <v>788.4</v>
      </c>
      <c r="BM21" s="114" cm="1">
        <f t="array" ref="BM21">SUMPRODUCT((MOD(COLUMN(C21:BL21)-COLUMN(C21),2)=0)*C21:BL21)</f>
        <v>46</v>
      </c>
      <c r="BN21" s="113" cm="1">
        <f t="array" ref="BN21">SUMPRODUCT((MOD(COLUMN(D21:BM21)-COLUMN(D21),2)=0)*D21:BM21)</f>
        <v>15286.499999999998</v>
      </c>
      <c r="CA21" s="83"/>
      <c r="CB21" s="83"/>
      <c r="CC21" s="83"/>
      <c r="CD21" s="83"/>
      <c r="CE21" s="83"/>
      <c r="CF21" s="83"/>
      <c r="CG21" s="83"/>
      <c r="CH21" s="83"/>
      <c r="CI21" s="83"/>
      <c r="CJ21" s="83"/>
      <c r="CK21" s="83"/>
      <c r="CL21" s="83"/>
      <c r="CM21" s="83"/>
      <c r="CN21" s="83"/>
      <c r="CO21" s="83"/>
      <c r="CP21" s="83"/>
    </row>
    <row r="22" spans="1:94" x14ac:dyDescent="0.25">
      <c r="A22" s="79" t="s">
        <v>19</v>
      </c>
      <c r="B22" s="98" t="s">
        <v>9</v>
      </c>
      <c r="C22" s="112">
        <f>EOD_Credit_CW!D11</f>
        <v>3</v>
      </c>
      <c r="D22" s="113">
        <f>EOD_Credit_CW!E11</f>
        <v>2445.8000000000002</v>
      </c>
      <c r="E22" s="112">
        <f>EOD_Credit_CW!F11</f>
        <v>1</v>
      </c>
      <c r="F22" s="113">
        <f>EOD_Credit_CW!G11</f>
        <v>500</v>
      </c>
      <c r="G22" s="112">
        <f>EOD_Credit_CW!H11</f>
        <v>4</v>
      </c>
      <c r="H22" s="113">
        <f>EOD_Credit_CW!I11</f>
        <v>2083.3000000000002</v>
      </c>
      <c r="I22" s="112">
        <f>EOD_Credit_CW!J11</f>
        <v>2</v>
      </c>
      <c r="J22" s="113">
        <f>EOD_Credit_CW!K11</f>
        <v>1191.5999999999999</v>
      </c>
      <c r="K22" s="112">
        <f>EOD_Credit_CW!L11</f>
        <v>2</v>
      </c>
      <c r="L22" s="113">
        <f>EOD_Credit_CW!M11</f>
        <v>632</v>
      </c>
      <c r="M22" s="112">
        <f>EOD_Credit_CW!N11</f>
        <v>3</v>
      </c>
      <c r="N22" s="113">
        <f>EOD_Credit_CW!O11</f>
        <v>554.6</v>
      </c>
      <c r="O22" s="112">
        <f>EOD_Credit_CW!P11</f>
        <v>2</v>
      </c>
      <c r="P22" s="113">
        <f>EOD_Credit_CW!Q11</f>
        <v>1000</v>
      </c>
      <c r="Q22" s="112">
        <f>EOD_Credit_CW!R11</f>
        <v>3</v>
      </c>
      <c r="R22" s="113">
        <f>EOD_Credit_CW!S11</f>
        <v>1245.0999999999999</v>
      </c>
      <c r="S22" s="112">
        <f>EOD_Credit_CW!T11</f>
        <v>1</v>
      </c>
      <c r="T22" s="113">
        <f>EOD_Credit_CW!U11</f>
        <v>527.20000000000005</v>
      </c>
      <c r="U22" s="112">
        <f>EOD_Credit_CW!V11</f>
        <v>3</v>
      </c>
      <c r="V22" s="113">
        <f>EOD_Credit_CW!W11</f>
        <v>1118.0999999999999</v>
      </c>
      <c r="W22" s="112">
        <f>EOD_Credit_CW!X11</f>
        <v>3</v>
      </c>
      <c r="X22" s="113">
        <f>EOD_Credit_CW!Y11</f>
        <v>1287.0999999999999</v>
      </c>
      <c r="Y22" s="112">
        <f>EOD_Credit_CW!Z11</f>
        <v>1</v>
      </c>
      <c r="Z22" s="113">
        <f>EOD_Credit_CW!AA11</f>
        <v>500</v>
      </c>
      <c r="AA22" s="112">
        <f>EOD_Credit_CW!AB11</f>
        <v>1</v>
      </c>
      <c r="AB22" s="113">
        <f>EOD_Credit_CW!AC11</f>
        <v>500</v>
      </c>
      <c r="AC22" s="112">
        <f>EOD_Credit_CW!AD11</f>
        <v>0</v>
      </c>
      <c r="AD22" s="113">
        <f>EOD_Credit_CW!AE11</f>
        <v>0</v>
      </c>
      <c r="AE22" s="112">
        <f>EOD_Credit_CW!AF11</f>
        <v>2</v>
      </c>
      <c r="AF22" s="113">
        <f>EOD_Credit_CW!AG11</f>
        <v>966</v>
      </c>
      <c r="AG22" s="112">
        <f>EOD_Credit_CW!AH11</f>
        <v>0</v>
      </c>
      <c r="AH22" s="113">
        <f>EOD_Credit_CW!AI11</f>
        <v>0</v>
      </c>
      <c r="AI22" s="112">
        <f>EOD_Credit_CW!AJ11</f>
        <v>2</v>
      </c>
      <c r="AJ22" s="113">
        <f>EOD_Credit_CW!AK11</f>
        <v>1000</v>
      </c>
      <c r="AK22" s="112">
        <f>EOD_Credit_CW!AL11</f>
        <v>1</v>
      </c>
      <c r="AL22" s="113">
        <f>EOD_Credit_CW!AM11</f>
        <v>203.2</v>
      </c>
      <c r="AM22" s="112">
        <f>EOD_Credit_CW!AN11</f>
        <v>2</v>
      </c>
      <c r="AN22" s="113">
        <f>EOD_Credit_CW!AO11</f>
        <v>1000</v>
      </c>
      <c r="AO22" s="112">
        <f>EOD_Credit_CW!AP11</f>
        <v>0</v>
      </c>
      <c r="AP22" s="113">
        <f>EOD_Credit_CW!AQ11</f>
        <v>0</v>
      </c>
      <c r="AQ22" s="112">
        <f>EOD_Credit_CW!AR11</f>
        <v>2</v>
      </c>
      <c r="AR22" s="113">
        <f>EOD_Credit_CW!AS11</f>
        <v>1224.8</v>
      </c>
      <c r="AS22" s="112">
        <f>EOD_Credit_CW!AT11</f>
        <v>2</v>
      </c>
      <c r="AT22" s="113">
        <f>EOD_Credit_CW!AU11</f>
        <v>1201.9000000000001</v>
      </c>
      <c r="AU22" s="112">
        <f>EOD_Credit_CW!AV11</f>
        <v>0</v>
      </c>
      <c r="AV22" s="113">
        <f>EOD_Credit_CW!AW11</f>
        <v>0</v>
      </c>
      <c r="AW22" s="112">
        <f>EOD_Credit_CW!AX11</f>
        <v>2</v>
      </c>
      <c r="AX22" s="113">
        <f>EOD_Credit_CW!AY11</f>
        <v>616</v>
      </c>
      <c r="AY22" s="112">
        <f>EOD_Credit_CW!AZ11</f>
        <v>0</v>
      </c>
      <c r="AZ22" s="113">
        <f>EOD_Credit_CW!BA11</f>
        <v>0</v>
      </c>
      <c r="BA22" s="112">
        <f>EOD_Credit_CW!BB11</f>
        <v>2</v>
      </c>
      <c r="BB22" s="113">
        <f>EOD_Credit_CW!BC11</f>
        <v>1440.1</v>
      </c>
      <c r="BC22" s="112">
        <f>EOD_Credit_CW!BD11</f>
        <v>0</v>
      </c>
      <c r="BD22" s="113">
        <f>EOD_Credit_CW!BE11</f>
        <v>0</v>
      </c>
      <c r="BE22" s="112">
        <f>EOD_Credit_CW!BF11</f>
        <v>1</v>
      </c>
      <c r="BF22" s="113">
        <f>EOD_Credit_CW!BG11</f>
        <v>500</v>
      </c>
      <c r="BG22" s="112">
        <f>EOD_Credit_CW!BH11</f>
        <v>3</v>
      </c>
      <c r="BH22" s="113">
        <f>EOD_Credit_CW!BI11</f>
        <v>2268.3000000000002</v>
      </c>
      <c r="BI22" s="112">
        <f>EOD_Credit_CW!BJ11</f>
        <v>2</v>
      </c>
      <c r="BJ22" s="113">
        <f>EOD_Credit_CW!BK11</f>
        <v>1602.3</v>
      </c>
      <c r="BK22" s="112">
        <f>EOD_Credit_CW!BL11</f>
        <v>3</v>
      </c>
      <c r="BL22" s="113">
        <f>EOD_Credit_CW!BM11</f>
        <v>1218.3</v>
      </c>
      <c r="BM22" s="114" cm="1">
        <f t="array" ref="BM22">SUMPRODUCT((MOD(COLUMN(C22:BL22)-COLUMN(C22),2)=0)*C22:BL22)</f>
        <v>53</v>
      </c>
      <c r="BN22" s="113" cm="1">
        <f t="array" ref="BN22">SUMPRODUCT((MOD(COLUMN(D22:BM22)-COLUMN(D22),2)=0)*D22:BM22)</f>
        <v>26825.7</v>
      </c>
      <c r="CA22" s="83"/>
      <c r="CB22" s="83"/>
      <c r="CC22" s="83"/>
      <c r="CD22" s="83"/>
      <c r="CE22" s="83"/>
      <c r="CF22" s="83"/>
      <c r="CG22" s="83"/>
      <c r="CH22" s="83"/>
      <c r="CI22" s="83"/>
      <c r="CJ22" s="83"/>
      <c r="CK22" s="83"/>
      <c r="CL22" s="83"/>
      <c r="CM22" s="83"/>
      <c r="CN22" s="83"/>
      <c r="CO22" s="83"/>
      <c r="CP22" s="83"/>
    </row>
    <row r="23" spans="1:94" x14ac:dyDescent="0.25">
      <c r="A23" s="79" t="s">
        <v>20</v>
      </c>
      <c r="B23" s="98" t="s">
        <v>9</v>
      </c>
      <c r="C23" s="112">
        <f>EOD_Credit_CW!D14</f>
        <v>15</v>
      </c>
      <c r="D23" s="113">
        <f>EOD_Credit_CW!E14</f>
        <v>6312.6</v>
      </c>
      <c r="E23" s="112">
        <f>EOD_Credit_CW!F14</f>
        <v>10</v>
      </c>
      <c r="F23" s="113">
        <f>EOD_Credit_CW!G14</f>
        <v>3412.1</v>
      </c>
      <c r="G23" s="112">
        <f>EOD_Credit_CW!H14</f>
        <v>19</v>
      </c>
      <c r="H23" s="113">
        <f>EOD_Credit_CW!I14</f>
        <v>7589.1</v>
      </c>
      <c r="I23" s="112">
        <f>EOD_Credit_CW!J14</f>
        <v>14</v>
      </c>
      <c r="J23" s="113">
        <f>EOD_Credit_CW!K14</f>
        <v>7761.3</v>
      </c>
      <c r="K23" s="112">
        <f>EOD_Credit_CW!L14</f>
        <v>11</v>
      </c>
      <c r="L23" s="113">
        <f>EOD_Credit_CW!M14</f>
        <v>3557</v>
      </c>
      <c r="M23" s="112">
        <f>EOD_Credit_CW!N14</f>
        <v>8</v>
      </c>
      <c r="N23" s="113">
        <f>EOD_Credit_CW!O14</f>
        <v>3728.5</v>
      </c>
      <c r="O23" s="112">
        <f>EOD_Credit_CW!P14</f>
        <v>11</v>
      </c>
      <c r="P23" s="113">
        <f>EOD_Credit_CW!Q14</f>
        <v>3888.1</v>
      </c>
      <c r="Q23" s="112">
        <f>EOD_Credit_CW!R14</f>
        <v>14</v>
      </c>
      <c r="R23" s="113">
        <f>EOD_Credit_CW!S14</f>
        <v>5934.5</v>
      </c>
      <c r="S23" s="112">
        <f>EOD_Credit_CW!T14</f>
        <v>10</v>
      </c>
      <c r="T23" s="113">
        <f>EOD_Credit_CW!U14</f>
        <v>4071.3</v>
      </c>
      <c r="U23" s="112">
        <f>EOD_Credit_CW!V14</f>
        <v>20</v>
      </c>
      <c r="V23" s="113">
        <f>EOD_Credit_CW!W14</f>
        <v>10187.5</v>
      </c>
      <c r="W23" s="112">
        <f>EOD_Credit_CW!X14</f>
        <v>16</v>
      </c>
      <c r="X23" s="113">
        <f>EOD_Credit_CW!Y14</f>
        <v>7635.3</v>
      </c>
      <c r="Y23" s="112">
        <f>EOD_Credit_CW!Z14</f>
        <v>15</v>
      </c>
      <c r="Z23" s="113">
        <f>EOD_Credit_CW!AA14</f>
        <v>5724.5</v>
      </c>
      <c r="AA23" s="112">
        <f>EOD_Credit_CW!AB14</f>
        <v>13</v>
      </c>
      <c r="AB23" s="113">
        <f>EOD_Credit_CW!AC14</f>
        <v>7400.7</v>
      </c>
      <c r="AC23" s="112">
        <f>EOD_Credit_CW!AD14</f>
        <v>17</v>
      </c>
      <c r="AD23" s="113">
        <f>EOD_Credit_CW!AE14</f>
        <v>6933</v>
      </c>
      <c r="AE23" s="112">
        <f>EOD_Credit_CW!AF14</f>
        <v>11</v>
      </c>
      <c r="AF23" s="113">
        <f>EOD_Credit_CW!AG14</f>
        <v>4254.1000000000004</v>
      </c>
      <c r="AG23" s="112">
        <f>EOD_Credit_CW!AH14</f>
        <v>10</v>
      </c>
      <c r="AH23" s="113">
        <f>EOD_Credit_CW!AI14</f>
        <v>4533.3</v>
      </c>
      <c r="AI23" s="112">
        <f>EOD_Credit_CW!AJ14</f>
        <v>25</v>
      </c>
      <c r="AJ23" s="113">
        <f>EOD_Credit_CW!AK14</f>
        <v>9834.6</v>
      </c>
      <c r="AK23" s="112">
        <f>EOD_Credit_CW!AL14</f>
        <v>14</v>
      </c>
      <c r="AL23" s="113">
        <f>EOD_Credit_CW!AM14</f>
        <v>8007.2</v>
      </c>
      <c r="AM23" s="112">
        <f>EOD_Credit_CW!AN14</f>
        <v>13</v>
      </c>
      <c r="AN23" s="113">
        <f>EOD_Credit_CW!AO14</f>
        <v>3986.9</v>
      </c>
      <c r="AO23" s="112">
        <f>EOD_Credit_CW!AP14</f>
        <v>0</v>
      </c>
      <c r="AP23" s="113">
        <f>EOD_Credit_CW!AQ14</f>
        <v>0</v>
      </c>
      <c r="AQ23" s="112">
        <f>EOD_Credit_CW!AR14</f>
        <v>14</v>
      </c>
      <c r="AR23" s="113">
        <f>EOD_Credit_CW!AS14</f>
        <v>7313.8</v>
      </c>
      <c r="AS23" s="112">
        <f>EOD_Credit_CW!AT14</f>
        <v>10</v>
      </c>
      <c r="AT23" s="113">
        <f>EOD_Credit_CW!AU14</f>
        <v>3984.4</v>
      </c>
      <c r="AU23" s="112">
        <f>EOD_Credit_CW!AV14</f>
        <v>7</v>
      </c>
      <c r="AV23" s="113">
        <f>EOD_Credit_CW!AW14</f>
        <v>2272.6999999999998</v>
      </c>
      <c r="AW23" s="112">
        <f>EOD_Credit_CW!AX14</f>
        <v>15</v>
      </c>
      <c r="AX23" s="113">
        <f>EOD_Credit_CW!AY14</f>
        <v>6177.6</v>
      </c>
      <c r="AY23" s="112">
        <f>EOD_Credit_CW!AZ14</f>
        <v>13</v>
      </c>
      <c r="AZ23" s="113">
        <f>EOD_Credit_CW!BA14</f>
        <v>6050.9</v>
      </c>
      <c r="BA23" s="112">
        <f>EOD_Credit_CW!BB14</f>
        <v>22</v>
      </c>
      <c r="BB23" s="113">
        <f>EOD_Credit_CW!BC14</f>
        <v>9258.7999999999993</v>
      </c>
      <c r="BC23" s="112">
        <f>EOD_Credit_CW!BD14</f>
        <v>17</v>
      </c>
      <c r="BD23" s="113">
        <f>EOD_Credit_CW!BE14</f>
        <v>5265.5</v>
      </c>
      <c r="BE23" s="112">
        <f>EOD_Credit_CW!BF14</f>
        <v>6</v>
      </c>
      <c r="BF23" s="113">
        <f>EOD_Credit_CW!BG14</f>
        <v>2803</v>
      </c>
      <c r="BG23" s="112">
        <f>EOD_Credit_CW!BH14</f>
        <v>14</v>
      </c>
      <c r="BH23" s="113">
        <f>EOD_Credit_CW!BI14</f>
        <v>6561.6</v>
      </c>
      <c r="BI23" s="112">
        <f>EOD_Credit_CW!BJ14</f>
        <v>12</v>
      </c>
      <c r="BJ23" s="113">
        <f>EOD_Credit_CW!BK14</f>
        <v>5462.9</v>
      </c>
      <c r="BK23" s="112">
        <f>EOD_Credit_CW!BL14</f>
        <v>16</v>
      </c>
      <c r="BL23" s="113">
        <f>EOD_Credit_CW!BM14</f>
        <v>6964</v>
      </c>
      <c r="BM23" s="114" cm="1">
        <f t="array" ref="BM23">SUMPRODUCT((MOD(COLUMN(C23:BL23)-COLUMN(C23),2)=0)*C23:BL23)</f>
        <v>412</v>
      </c>
      <c r="BN23" s="113" cm="1">
        <f t="array" ref="BN23">SUMPRODUCT((MOD(COLUMN(D23:BM23)-COLUMN(D23),2)=0)*D23:BM23)</f>
        <v>176866.8</v>
      </c>
      <c r="CA23" s="83"/>
      <c r="CB23" s="83"/>
      <c r="CC23" s="83"/>
      <c r="CD23" s="83"/>
      <c r="CE23" s="83"/>
      <c r="CF23" s="83"/>
      <c r="CG23" s="83"/>
      <c r="CH23" s="83"/>
      <c r="CI23" s="83"/>
      <c r="CJ23" s="83"/>
      <c r="CK23" s="83"/>
      <c r="CL23" s="83"/>
      <c r="CM23" s="83"/>
      <c r="CN23" s="83"/>
      <c r="CO23" s="83"/>
      <c r="CP23" s="83"/>
    </row>
    <row r="24" spans="1:94" x14ac:dyDescent="0.25">
      <c r="A24" s="79" t="s">
        <v>21</v>
      </c>
      <c r="B24" s="98" t="s">
        <v>9</v>
      </c>
      <c r="C24" s="112">
        <f>EOD_Credit_CW!D17</f>
        <v>5</v>
      </c>
      <c r="D24" s="113">
        <f>EOD_Credit_CW!E17</f>
        <v>2346.8000000000002</v>
      </c>
      <c r="E24" s="112">
        <f>EOD_Credit_CW!F17</f>
        <v>4</v>
      </c>
      <c r="F24" s="113">
        <f>EOD_Credit_CW!G17</f>
        <v>1270.0999999999999</v>
      </c>
      <c r="G24" s="112">
        <f>EOD_Credit_CW!H17</f>
        <v>2</v>
      </c>
      <c r="H24" s="113">
        <f>EOD_Credit_CW!I17</f>
        <v>1185</v>
      </c>
      <c r="I24" s="112">
        <f>EOD_Credit_CW!J17</f>
        <v>3</v>
      </c>
      <c r="J24" s="113">
        <f>EOD_Credit_CW!K17</f>
        <v>1020.3</v>
      </c>
      <c r="K24" s="112">
        <f>EOD_Credit_CW!L17</f>
        <v>3</v>
      </c>
      <c r="L24" s="113">
        <f>EOD_Credit_CW!M17</f>
        <v>1342.1</v>
      </c>
      <c r="M24" s="112">
        <f>EOD_Credit_CW!N17</f>
        <v>6</v>
      </c>
      <c r="N24" s="113">
        <f>EOD_Credit_CW!O17</f>
        <v>2095.8000000000002</v>
      </c>
      <c r="O24" s="112">
        <f>EOD_Credit_CW!P17</f>
        <v>4</v>
      </c>
      <c r="P24" s="113">
        <f>EOD_Credit_CW!Q17</f>
        <v>2208.4</v>
      </c>
      <c r="Q24" s="112">
        <f>EOD_Credit_CW!R17</f>
        <v>3</v>
      </c>
      <c r="R24" s="113">
        <f>EOD_Credit_CW!S17</f>
        <v>996.9</v>
      </c>
      <c r="S24" s="112">
        <f>EOD_Credit_CW!T17</f>
        <v>6</v>
      </c>
      <c r="T24" s="113">
        <f>EOD_Credit_CW!U17</f>
        <v>3158.1</v>
      </c>
      <c r="U24" s="112">
        <f>EOD_Credit_CW!V17</f>
        <v>3</v>
      </c>
      <c r="V24" s="113">
        <f>EOD_Credit_CW!W17</f>
        <v>1350.2</v>
      </c>
      <c r="W24" s="112">
        <f>EOD_Credit_CW!X17</f>
        <v>2</v>
      </c>
      <c r="X24" s="113">
        <f>EOD_Credit_CW!Y17</f>
        <v>671.1</v>
      </c>
      <c r="Y24" s="112">
        <f>EOD_Credit_CW!Z17</f>
        <v>1</v>
      </c>
      <c r="Z24" s="113">
        <f>EOD_Credit_CW!AA17</f>
        <v>98.1</v>
      </c>
      <c r="AA24" s="112">
        <f>EOD_Credit_CW!AB17</f>
        <v>6</v>
      </c>
      <c r="AB24" s="113">
        <f>EOD_Credit_CW!AC17</f>
        <v>2043.4</v>
      </c>
      <c r="AC24" s="112">
        <f>EOD_Credit_CW!AD17</f>
        <v>4</v>
      </c>
      <c r="AD24" s="113">
        <f>EOD_Credit_CW!AE17</f>
        <v>2896.8</v>
      </c>
      <c r="AE24" s="112">
        <f>EOD_Credit_CW!AF17</f>
        <v>6</v>
      </c>
      <c r="AF24" s="113">
        <f>EOD_Credit_CW!AG17</f>
        <v>3587.9</v>
      </c>
      <c r="AG24" s="112">
        <f>EOD_Credit_CW!AH17</f>
        <v>4</v>
      </c>
      <c r="AH24" s="113">
        <f>EOD_Credit_CW!AI17</f>
        <v>2131</v>
      </c>
      <c r="AI24" s="112">
        <f>EOD_Credit_CW!AJ17</f>
        <v>4</v>
      </c>
      <c r="AJ24" s="113">
        <f>EOD_Credit_CW!AK17</f>
        <v>1296.4000000000001</v>
      </c>
      <c r="AK24" s="112">
        <f>EOD_Credit_CW!AL17</f>
        <v>4</v>
      </c>
      <c r="AL24" s="113">
        <f>EOD_Credit_CW!AM17</f>
        <v>1766.5</v>
      </c>
      <c r="AM24" s="112">
        <f>EOD_Credit_CW!AN17</f>
        <v>4</v>
      </c>
      <c r="AN24" s="113">
        <f>EOD_Credit_CW!AO17</f>
        <v>2586</v>
      </c>
      <c r="AO24" s="112">
        <f>EOD_Credit_CW!AP17</f>
        <v>0</v>
      </c>
      <c r="AP24" s="113">
        <f>EOD_Credit_CW!AQ17</f>
        <v>0</v>
      </c>
      <c r="AQ24" s="112">
        <f>EOD_Credit_CW!AR17</f>
        <v>1</v>
      </c>
      <c r="AR24" s="113">
        <f>EOD_Credit_CW!AS17</f>
        <v>461.4</v>
      </c>
      <c r="AS24" s="112">
        <f>EOD_Credit_CW!AT17</f>
        <v>1</v>
      </c>
      <c r="AT24" s="113">
        <f>EOD_Credit_CW!AU17</f>
        <v>57.6</v>
      </c>
      <c r="AU24" s="112">
        <f>EOD_Credit_CW!AV17</f>
        <v>0</v>
      </c>
      <c r="AV24" s="113">
        <f>EOD_Credit_CW!AW17</f>
        <v>0</v>
      </c>
      <c r="AW24" s="112">
        <f>EOD_Credit_CW!AX17</f>
        <v>3</v>
      </c>
      <c r="AX24" s="113">
        <f>EOD_Credit_CW!AY17</f>
        <v>1618.3</v>
      </c>
      <c r="AY24" s="112">
        <f>EOD_Credit_CW!AZ17</f>
        <v>3</v>
      </c>
      <c r="AZ24" s="113">
        <f>EOD_Credit_CW!BA17</f>
        <v>1158.3</v>
      </c>
      <c r="BA24" s="112">
        <f>EOD_Credit_CW!BB17</f>
        <v>1</v>
      </c>
      <c r="BB24" s="113">
        <f>EOD_Credit_CW!BC17</f>
        <v>656</v>
      </c>
      <c r="BC24" s="112">
        <f>EOD_Credit_CW!BD17</f>
        <v>4</v>
      </c>
      <c r="BD24" s="113">
        <f>EOD_Credit_CW!BE17</f>
        <v>689.1</v>
      </c>
      <c r="BE24" s="112">
        <f>EOD_Credit_CW!BF17</f>
        <v>2</v>
      </c>
      <c r="BF24" s="113">
        <f>EOD_Credit_CW!BG17</f>
        <v>1730.1</v>
      </c>
      <c r="BG24" s="112">
        <f>EOD_Credit_CW!BH17</f>
        <v>1</v>
      </c>
      <c r="BH24" s="113">
        <f>EOD_Credit_CW!BI17</f>
        <v>174.4</v>
      </c>
      <c r="BI24" s="112">
        <f>EOD_Credit_CW!BJ17</f>
        <v>2</v>
      </c>
      <c r="BJ24" s="113">
        <f>EOD_Credit_CW!BK17</f>
        <v>572.20000000000005</v>
      </c>
      <c r="BK24" s="112">
        <f>EOD_Credit_CW!BL17</f>
        <v>4</v>
      </c>
      <c r="BL24" s="113">
        <f>EOD_Credit_CW!BM17</f>
        <v>2174.4</v>
      </c>
      <c r="BM24" s="114" cm="1">
        <f t="array" ref="BM24">SUMPRODUCT((MOD(COLUMN(C24:BL24)-COLUMN(C24),2)=0)*C24:BL24)</f>
        <v>96</v>
      </c>
      <c r="BN24" s="113" cm="1">
        <f t="array" ref="BN24">SUMPRODUCT((MOD(COLUMN(D24:BM24)-COLUMN(D24),2)=0)*D24:BM24)</f>
        <v>43342.7</v>
      </c>
      <c r="CA24" s="83"/>
      <c r="CB24" s="83"/>
      <c r="CC24" s="83"/>
      <c r="CD24" s="83"/>
      <c r="CE24" s="83"/>
      <c r="CF24" s="83"/>
      <c r="CG24" s="83"/>
      <c r="CH24" s="83"/>
      <c r="CI24" s="83"/>
      <c r="CJ24" s="83"/>
      <c r="CK24" s="83"/>
      <c r="CL24" s="83"/>
      <c r="CM24" s="83"/>
      <c r="CN24" s="83"/>
      <c r="CO24" s="83"/>
      <c r="CP24" s="83"/>
    </row>
    <row r="25" spans="1:94" x14ac:dyDescent="0.25">
      <c r="A25" s="79" t="s">
        <v>16</v>
      </c>
      <c r="B25" s="98" t="s">
        <v>9</v>
      </c>
      <c r="C25" s="112">
        <f>EOD_Credit_CW!D18</f>
        <v>19</v>
      </c>
      <c r="D25" s="113">
        <f>EOD_Credit_CW!E18</f>
        <v>10684.1</v>
      </c>
      <c r="E25" s="112">
        <f>EOD_Credit_CW!F18</f>
        <v>31</v>
      </c>
      <c r="F25" s="113">
        <f>EOD_Credit_CW!G18</f>
        <v>11008.7</v>
      </c>
      <c r="G25" s="112">
        <f>EOD_Credit_CW!H18</f>
        <v>38</v>
      </c>
      <c r="H25" s="113">
        <f>EOD_Credit_CW!I18</f>
        <v>18130.5</v>
      </c>
      <c r="I25" s="112">
        <f>EOD_Credit_CW!J18</f>
        <v>32</v>
      </c>
      <c r="J25" s="113">
        <f>EOD_Credit_CW!K18</f>
        <v>17007.900000000001</v>
      </c>
      <c r="K25" s="112">
        <f>EOD_Credit_CW!L18</f>
        <v>37</v>
      </c>
      <c r="L25" s="113">
        <f>EOD_Credit_CW!M18</f>
        <v>17796.599999999999</v>
      </c>
      <c r="M25" s="112">
        <f>EOD_Credit_CW!N18</f>
        <v>28</v>
      </c>
      <c r="N25" s="113">
        <f>EOD_Credit_CW!O18</f>
        <v>10477.5</v>
      </c>
      <c r="O25" s="112">
        <f>EOD_Credit_CW!P18</f>
        <v>23</v>
      </c>
      <c r="P25" s="113">
        <f>EOD_Credit_CW!Q18</f>
        <v>10712.4</v>
      </c>
      <c r="Q25" s="112">
        <f>EOD_Credit_CW!R18</f>
        <v>23</v>
      </c>
      <c r="R25" s="113">
        <f>EOD_Credit_CW!S18</f>
        <v>9483.9</v>
      </c>
      <c r="S25" s="112">
        <f>EOD_Credit_CW!T18</f>
        <v>35</v>
      </c>
      <c r="T25" s="113">
        <f>EOD_Credit_CW!U18</f>
        <v>13040.3</v>
      </c>
      <c r="U25" s="112">
        <f>EOD_Credit_CW!V18</f>
        <v>37</v>
      </c>
      <c r="V25" s="113">
        <f>EOD_Credit_CW!W18</f>
        <v>18642.400000000001</v>
      </c>
      <c r="W25" s="112">
        <f>EOD_Credit_CW!X18</f>
        <v>25</v>
      </c>
      <c r="X25" s="113">
        <f>EOD_Credit_CW!Y18</f>
        <v>13784.8</v>
      </c>
      <c r="Y25" s="112">
        <f>EOD_Credit_CW!Z18</f>
        <v>39</v>
      </c>
      <c r="Z25" s="113">
        <f>EOD_Credit_CW!AA18</f>
        <v>18992.7</v>
      </c>
      <c r="AA25" s="112">
        <f>EOD_Credit_CW!AB18</f>
        <v>21</v>
      </c>
      <c r="AB25" s="113">
        <f>EOD_Credit_CW!AC18</f>
        <v>8916.2999999999993</v>
      </c>
      <c r="AC25" s="112">
        <f>EOD_Credit_CW!AD18</f>
        <v>18</v>
      </c>
      <c r="AD25" s="113">
        <f>EOD_Credit_CW!AE18</f>
        <v>8187.3</v>
      </c>
      <c r="AE25" s="112">
        <f>EOD_Credit_CW!AF18</f>
        <v>27</v>
      </c>
      <c r="AF25" s="113">
        <f>EOD_Credit_CW!AG18</f>
        <v>13528.2</v>
      </c>
      <c r="AG25" s="112">
        <f>EOD_Credit_CW!AH18</f>
        <v>43</v>
      </c>
      <c r="AH25" s="113">
        <f>EOD_Credit_CW!AI18</f>
        <v>20617.7</v>
      </c>
      <c r="AI25" s="112">
        <f>EOD_Credit_CW!AJ18</f>
        <v>48</v>
      </c>
      <c r="AJ25" s="113">
        <f>EOD_Credit_CW!AK18</f>
        <v>23315.1</v>
      </c>
      <c r="AK25" s="112">
        <f>EOD_Credit_CW!AL18</f>
        <v>29</v>
      </c>
      <c r="AL25" s="113">
        <f>EOD_Credit_CW!AM18</f>
        <v>14342.9</v>
      </c>
      <c r="AM25" s="112">
        <f>EOD_Credit_CW!AN18</f>
        <v>32</v>
      </c>
      <c r="AN25" s="113">
        <f>EOD_Credit_CW!AO18</f>
        <v>18066.7</v>
      </c>
      <c r="AO25" s="112">
        <f>EOD_Credit_CW!AP18</f>
        <v>0</v>
      </c>
      <c r="AP25" s="113">
        <f>EOD_Credit_CW!AQ18</f>
        <v>0</v>
      </c>
      <c r="AQ25" s="112">
        <f>EOD_Credit_CW!AR18</f>
        <v>23</v>
      </c>
      <c r="AR25" s="113">
        <f>EOD_Credit_CW!AS18</f>
        <v>10737.1</v>
      </c>
      <c r="AS25" s="112">
        <f>EOD_Credit_CW!AT18</f>
        <v>26</v>
      </c>
      <c r="AT25" s="113">
        <f>EOD_Credit_CW!AU18</f>
        <v>14584.3</v>
      </c>
      <c r="AU25" s="112">
        <f>EOD_Credit_CW!AV18</f>
        <v>31</v>
      </c>
      <c r="AV25" s="113">
        <f>EOD_Credit_CW!AW18</f>
        <v>15833.4</v>
      </c>
      <c r="AW25" s="112">
        <f>EOD_Credit_CW!AX18</f>
        <v>44</v>
      </c>
      <c r="AX25" s="113">
        <f>EOD_Credit_CW!AY18</f>
        <v>20223.5</v>
      </c>
      <c r="AY25" s="112">
        <f>EOD_Credit_CW!AZ18</f>
        <v>31</v>
      </c>
      <c r="AZ25" s="113">
        <f>EOD_Credit_CW!BA18</f>
        <v>13204.1</v>
      </c>
      <c r="BA25" s="112">
        <f>EOD_Credit_CW!BB18</f>
        <v>43</v>
      </c>
      <c r="BB25" s="113">
        <f>EOD_Credit_CW!BC18</f>
        <v>21862.2</v>
      </c>
      <c r="BC25" s="112">
        <f>EOD_Credit_CW!BD18</f>
        <v>36</v>
      </c>
      <c r="BD25" s="113">
        <f>EOD_Credit_CW!BE18</f>
        <v>17266</v>
      </c>
      <c r="BE25" s="112">
        <f>EOD_Credit_CW!BF18</f>
        <v>23</v>
      </c>
      <c r="BF25" s="113">
        <f>EOD_Credit_CW!BG18</f>
        <v>11851.2</v>
      </c>
      <c r="BG25" s="112">
        <f>EOD_Credit_CW!BH18</f>
        <v>21</v>
      </c>
      <c r="BH25" s="113">
        <f>EOD_Credit_CW!BI18</f>
        <v>10433.1</v>
      </c>
      <c r="BI25" s="112">
        <f>EOD_Credit_CW!BJ18</f>
        <v>18</v>
      </c>
      <c r="BJ25" s="113">
        <f>EOD_Credit_CW!BK18</f>
        <v>8071.5</v>
      </c>
      <c r="BK25" s="112">
        <f>EOD_Credit_CW!BL18</f>
        <v>46</v>
      </c>
      <c r="BL25" s="113">
        <f>EOD_Credit_CW!BM18</f>
        <v>25186.5</v>
      </c>
      <c r="BM25" s="114" cm="1">
        <f t="array" ref="BM25">SUMPRODUCT((MOD(COLUMN(C25:BL25)-COLUMN(C25),2)=0)*C25:BL25)</f>
        <v>927</v>
      </c>
      <c r="BN25" s="113" cm="1">
        <f t="array" ref="BN25">SUMPRODUCT((MOD(COLUMN(D25:BM25)-COLUMN(D25),2)=0)*D25:BM25)</f>
        <v>445988.89999999997</v>
      </c>
      <c r="CA25" s="83"/>
      <c r="CB25" s="83"/>
      <c r="CC25" s="83"/>
      <c r="CD25" s="83"/>
      <c r="CE25" s="83"/>
      <c r="CF25" s="83"/>
      <c r="CG25" s="83"/>
      <c r="CH25" s="83"/>
      <c r="CI25" s="83"/>
      <c r="CJ25" s="83"/>
      <c r="CK25" s="83"/>
      <c r="CL25" s="83"/>
      <c r="CM25" s="83"/>
      <c r="CN25" s="83"/>
      <c r="CO25" s="83"/>
      <c r="CP25" s="83"/>
    </row>
    <row r="26" spans="1:94" x14ac:dyDescent="0.25">
      <c r="A26" s="100" t="s">
        <v>22</v>
      </c>
      <c r="B26" s="101"/>
      <c r="C26" s="115">
        <f>SUM(C20:C25)</f>
        <v>45</v>
      </c>
      <c r="D26" s="116">
        <f>SUM(D20:D25)</f>
        <v>23836.400000000001</v>
      </c>
      <c r="E26" s="115">
        <f t="shared" ref="E26:BL26" si="3">SUM(E20:E25)</f>
        <v>53</v>
      </c>
      <c r="F26" s="116">
        <f t="shared" si="3"/>
        <v>18415.900000000001</v>
      </c>
      <c r="G26" s="115">
        <f t="shared" si="3"/>
        <v>70</v>
      </c>
      <c r="H26" s="116">
        <f t="shared" si="3"/>
        <v>32082.5</v>
      </c>
      <c r="I26" s="115">
        <f t="shared" si="3"/>
        <v>57</v>
      </c>
      <c r="J26" s="116">
        <f t="shared" si="3"/>
        <v>31358.5</v>
      </c>
      <c r="K26" s="115">
        <f t="shared" si="3"/>
        <v>58</v>
      </c>
      <c r="L26" s="116">
        <f t="shared" si="3"/>
        <v>25971.3</v>
      </c>
      <c r="M26" s="115">
        <f t="shared" si="3"/>
        <v>50</v>
      </c>
      <c r="N26" s="116">
        <f t="shared" si="3"/>
        <v>18056</v>
      </c>
      <c r="O26" s="115">
        <f t="shared" si="3"/>
        <v>44</v>
      </c>
      <c r="P26" s="116">
        <f t="shared" si="3"/>
        <v>19924.8</v>
      </c>
      <c r="Q26" s="115">
        <f t="shared" si="3"/>
        <v>53</v>
      </c>
      <c r="R26" s="116">
        <f t="shared" si="3"/>
        <v>21247.9</v>
      </c>
      <c r="S26" s="115">
        <f t="shared" si="3"/>
        <v>57</v>
      </c>
      <c r="T26" s="116">
        <f t="shared" si="3"/>
        <v>23273.199999999997</v>
      </c>
      <c r="U26" s="115">
        <f t="shared" si="3"/>
        <v>68</v>
      </c>
      <c r="V26" s="116">
        <f t="shared" si="3"/>
        <v>33521.100000000006</v>
      </c>
      <c r="W26" s="115">
        <f t="shared" si="3"/>
        <v>51</v>
      </c>
      <c r="X26" s="116">
        <f t="shared" si="3"/>
        <v>25787.5</v>
      </c>
      <c r="Y26" s="115">
        <f t="shared" si="3"/>
        <v>64</v>
      </c>
      <c r="Z26" s="116">
        <f t="shared" si="3"/>
        <v>29139.1</v>
      </c>
      <c r="AA26" s="115">
        <f t="shared" si="3"/>
        <v>51</v>
      </c>
      <c r="AB26" s="116">
        <f t="shared" si="3"/>
        <v>23573.9</v>
      </c>
      <c r="AC26" s="115">
        <f t="shared" si="3"/>
        <v>43</v>
      </c>
      <c r="AD26" s="116">
        <f t="shared" si="3"/>
        <v>19888</v>
      </c>
      <c r="AE26" s="115">
        <f t="shared" si="3"/>
        <v>60</v>
      </c>
      <c r="AF26" s="116">
        <f t="shared" si="3"/>
        <v>28053.5</v>
      </c>
      <c r="AG26" s="115">
        <f t="shared" si="3"/>
        <v>62</v>
      </c>
      <c r="AH26" s="116">
        <f t="shared" si="3"/>
        <v>29912</v>
      </c>
      <c r="AI26" s="115">
        <f t="shared" si="3"/>
        <v>90</v>
      </c>
      <c r="AJ26" s="116">
        <f t="shared" si="3"/>
        <v>40340.699999999997</v>
      </c>
      <c r="AK26" s="115">
        <f t="shared" si="3"/>
        <v>52</v>
      </c>
      <c r="AL26" s="116">
        <f t="shared" si="3"/>
        <v>25656.199999999997</v>
      </c>
      <c r="AM26" s="115">
        <f t="shared" si="3"/>
        <v>55</v>
      </c>
      <c r="AN26" s="116">
        <f t="shared" si="3"/>
        <v>27658</v>
      </c>
      <c r="AO26" s="115">
        <f t="shared" si="3"/>
        <v>0</v>
      </c>
      <c r="AP26" s="116">
        <f t="shared" si="3"/>
        <v>0</v>
      </c>
      <c r="AQ26" s="115">
        <f t="shared" si="3"/>
        <v>42</v>
      </c>
      <c r="AR26" s="116">
        <f t="shared" si="3"/>
        <v>20633.3</v>
      </c>
      <c r="AS26" s="115">
        <f t="shared" si="3"/>
        <v>44</v>
      </c>
      <c r="AT26" s="116">
        <f t="shared" si="3"/>
        <v>21626.2</v>
      </c>
      <c r="AU26" s="115">
        <f t="shared" si="3"/>
        <v>45</v>
      </c>
      <c r="AV26" s="116">
        <f t="shared" si="3"/>
        <v>21799.599999999999</v>
      </c>
      <c r="AW26" s="115">
        <f t="shared" si="3"/>
        <v>71</v>
      </c>
      <c r="AX26" s="116">
        <f t="shared" si="3"/>
        <v>31100</v>
      </c>
      <c r="AY26" s="115">
        <f t="shared" si="3"/>
        <v>53</v>
      </c>
      <c r="AZ26" s="116">
        <f t="shared" si="3"/>
        <v>23671.3</v>
      </c>
      <c r="BA26" s="115">
        <f t="shared" si="3"/>
        <v>77</v>
      </c>
      <c r="BB26" s="116">
        <f t="shared" si="3"/>
        <v>36931.599999999999</v>
      </c>
      <c r="BC26" s="115">
        <f t="shared" si="3"/>
        <v>68</v>
      </c>
      <c r="BD26" s="116">
        <f t="shared" si="3"/>
        <v>27866.6</v>
      </c>
      <c r="BE26" s="115">
        <f t="shared" si="3"/>
        <v>34</v>
      </c>
      <c r="BF26" s="116">
        <f t="shared" si="3"/>
        <v>17060</v>
      </c>
      <c r="BG26" s="115">
        <f t="shared" si="3"/>
        <v>46</v>
      </c>
      <c r="BH26" s="116">
        <f t="shared" si="3"/>
        <v>22656.1</v>
      </c>
      <c r="BI26" s="115">
        <f t="shared" si="3"/>
        <v>43</v>
      </c>
      <c r="BJ26" s="116">
        <f t="shared" si="3"/>
        <v>18867.5</v>
      </c>
      <c r="BK26" s="115">
        <f t="shared" si="3"/>
        <v>76</v>
      </c>
      <c r="BL26" s="116">
        <f t="shared" si="3"/>
        <v>37567</v>
      </c>
      <c r="BM26" s="117">
        <f t="shared" ref="BM26:BN26" si="4">SUM(BM20:BM25)</f>
        <v>1682</v>
      </c>
      <c r="BN26" s="116">
        <f t="shared" si="4"/>
        <v>777475.7</v>
      </c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CA26" s="83"/>
      <c r="CB26" s="83"/>
      <c r="CC26" s="83"/>
      <c r="CD26" s="83"/>
      <c r="CE26" s="83"/>
      <c r="CF26" s="83"/>
      <c r="CG26" s="83"/>
      <c r="CH26" s="83"/>
      <c r="CI26" s="83"/>
      <c r="CJ26" s="83"/>
      <c r="CK26" s="83"/>
      <c r="CL26" s="83"/>
      <c r="CM26" s="83"/>
      <c r="CN26" s="83"/>
      <c r="CO26" s="83"/>
      <c r="CP26" s="83"/>
    </row>
    <row r="27" spans="1:94" x14ac:dyDescent="0.25">
      <c r="C27" s="118"/>
      <c r="D27" s="119"/>
      <c r="E27" s="118"/>
      <c r="F27" s="119"/>
      <c r="G27" s="118"/>
      <c r="H27" s="119"/>
      <c r="I27" s="118"/>
      <c r="J27" s="119"/>
      <c r="K27" s="118"/>
      <c r="L27" s="119"/>
      <c r="M27" s="118"/>
      <c r="N27" s="119"/>
      <c r="O27" s="118"/>
      <c r="P27" s="119"/>
      <c r="Q27" s="118"/>
      <c r="R27" s="119"/>
      <c r="S27" s="118"/>
      <c r="T27" s="119"/>
      <c r="U27" s="118"/>
      <c r="V27" s="119"/>
      <c r="W27" s="118"/>
      <c r="X27" s="119"/>
      <c r="Y27" s="118"/>
      <c r="Z27" s="119"/>
      <c r="AA27" s="118"/>
      <c r="AB27" s="119"/>
      <c r="AC27" s="118"/>
      <c r="AD27" s="119"/>
      <c r="AE27" s="118"/>
      <c r="AF27" s="119"/>
      <c r="AG27" s="118"/>
      <c r="AH27" s="119"/>
      <c r="AI27" s="118"/>
      <c r="AJ27" s="119"/>
      <c r="AK27" s="118"/>
      <c r="AL27" s="119"/>
      <c r="AM27" s="118"/>
      <c r="AN27" s="119"/>
      <c r="AO27" s="118"/>
      <c r="AP27" s="119"/>
      <c r="AQ27" s="118"/>
      <c r="AR27" s="119"/>
      <c r="AS27" s="118"/>
      <c r="AT27" s="119"/>
      <c r="AU27" s="118"/>
      <c r="AV27" s="119"/>
      <c r="AW27" s="118"/>
      <c r="AX27" s="119"/>
      <c r="AY27" s="118"/>
      <c r="AZ27" s="119"/>
      <c r="BA27" s="118"/>
      <c r="BB27" s="119"/>
      <c r="BC27" s="118"/>
      <c r="BD27" s="119"/>
      <c r="BE27" s="118"/>
      <c r="BF27" s="119"/>
      <c r="BG27" s="118"/>
      <c r="BH27" s="119"/>
      <c r="BI27" s="118"/>
      <c r="BJ27" s="119"/>
      <c r="BK27" s="118"/>
      <c r="BL27" s="119"/>
      <c r="BM27" s="120"/>
      <c r="BN27" s="119"/>
      <c r="CA27" s="83"/>
      <c r="CB27" s="83"/>
      <c r="CC27" s="83"/>
      <c r="CD27" s="83"/>
      <c r="CE27" s="83"/>
      <c r="CF27" s="83"/>
      <c r="CG27" s="83"/>
      <c r="CH27" s="83"/>
      <c r="CI27" s="83"/>
      <c r="CJ27" s="83"/>
      <c r="CK27" s="83"/>
      <c r="CL27" s="83"/>
      <c r="CM27" s="83"/>
      <c r="CN27" s="83"/>
      <c r="CO27" s="83"/>
      <c r="CP27" s="83"/>
    </row>
    <row r="28" spans="1:94" x14ac:dyDescent="0.25">
      <c r="A28" s="92" t="s">
        <v>23</v>
      </c>
      <c r="B28" s="93"/>
      <c r="C28" s="121"/>
      <c r="D28" s="122"/>
      <c r="E28" s="121"/>
      <c r="F28" s="122"/>
      <c r="G28" s="121"/>
      <c r="H28" s="122"/>
      <c r="I28" s="121"/>
      <c r="J28" s="122"/>
      <c r="K28" s="121"/>
      <c r="L28" s="122"/>
      <c r="M28" s="121"/>
      <c r="N28" s="122"/>
      <c r="O28" s="121"/>
      <c r="P28" s="122"/>
      <c r="Q28" s="121"/>
      <c r="R28" s="122"/>
      <c r="S28" s="121"/>
      <c r="T28" s="122"/>
      <c r="U28" s="121"/>
      <c r="V28" s="122"/>
      <c r="W28" s="121"/>
      <c r="X28" s="122"/>
      <c r="Y28" s="121"/>
      <c r="Z28" s="122"/>
      <c r="AA28" s="121"/>
      <c r="AB28" s="122"/>
      <c r="AC28" s="121"/>
      <c r="AD28" s="122"/>
      <c r="AE28" s="121"/>
      <c r="AF28" s="122"/>
      <c r="AG28" s="121"/>
      <c r="AH28" s="122"/>
      <c r="AI28" s="121"/>
      <c r="AJ28" s="122"/>
      <c r="AK28" s="121"/>
      <c r="AL28" s="122"/>
      <c r="AM28" s="121"/>
      <c r="AN28" s="122"/>
      <c r="AO28" s="121"/>
      <c r="AP28" s="122"/>
      <c r="AQ28" s="121"/>
      <c r="AR28" s="122"/>
      <c r="AS28" s="121"/>
      <c r="AT28" s="122"/>
      <c r="AU28" s="121"/>
      <c r="AV28" s="122"/>
      <c r="AW28" s="121"/>
      <c r="AX28" s="122"/>
      <c r="AY28" s="121"/>
      <c r="AZ28" s="122"/>
      <c r="BA28" s="121"/>
      <c r="BB28" s="122"/>
      <c r="BC28" s="121"/>
      <c r="BD28" s="122"/>
      <c r="BE28" s="121"/>
      <c r="BF28" s="122"/>
      <c r="BG28" s="121"/>
      <c r="BH28" s="122"/>
      <c r="BI28" s="121"/>
      <c r="BJ28" s="122"/>
      <c r="BK28" s="121"/>
      <c r="BL28" s="122"/>
      <c r="BM28" s="123"/>
      <c r="BN28" s="122"/>
      <c r="CA28" s="83"/>
      <c r="CB28" s="83"/>
      <c r="CC28" s="83"/>
      <c r="CD28" s="83"/>
      <c r="CE28" s="83"/>
      <c r="CF28" s="83"/>
      <c r="CG28" s="83"/>
      <c r="CH28" s="83"/>
      <c r="CI28" s="83"/>
      <c r="CJ28" s="83"/>
      <c r="CK28" s="83"/>
      <c r="CL28" s="83"/>
      <c r="CM28" s="83"/>
      <c r="CN28" s="83"/>
      <c r="CO28" s="83"/>
      <c r="CP28" s="83"/>
    </row>
    <row r="29" spans="1:94" x14ac:dyDescent="0.25">
      <c r="A29" s="79" t="s">
        <v>24</v>
      </c>
      <c r="B29" s="98" t="s">
        <v>9</v>
      </c>
      <c r="C29" s="112">
        <f>EOD_Credit_CW!D24</f>
        <v>1</v>
      </c>
      <c r="D29" s="113">
        <f>EOD_Credit_CW!E24</f>
        <v>120.5</v>
      </c>
      <c r="E29" s="112">
        <f>EOD_Credit_CW!F24</f>
        <v>1</v>
      </c>
      <c r="F29" s="113">
        <f>EOD_Credit_CW!G24</f>
        <v>110.4</v>
      </c>
      <c r="G29" s="112">
        <f>EOD_Credit_CW!H24</f>
        <v>5</v>
      </c>
      <c r="H29" s="113">
        <f>EOD_Credit_CW!I24</f>
        <v>3229.1</v>
      </c>
      <c r="I29" s="112">
        <f>EOD_Credit_CW!J24</f>
        <v>2</v>
      </c>
      <c r="J29" s="113">
        <f>EOD_Credit_CW!K24</f>
        <v>988.4</v>
      </c>
      <c r="K29" s="112">
        <f>EOD_Credit_CW!L24</f>
        <v>1</v>
      </c>
      <c r="L29" s="113">
        <f>EOD_Credit_CW!M24</f>
        <v>116</v>
      </c>
      <c r="M29" s="112">
        <f>EOD_Credit_CW!N24</f>
        <v>1</v>
      </c>
      <c r="N29" s="113">
        <f>EOD_Credit_CW!O24</f>
        <v>116.6</v>
      </c>
      <c r="O29" s="112">
        <f>EOD_Credit_CW!P24</f>
        <v>1</v>
      </c>
      <c r="P29" s="113">
        <f>EOD_Credit_CW!Q24</f>
        <v>98.5</v>
      </c>
      <c r="Q29" s="112">
        <f>EOD_Credit_CW!R24</f>
        <v>1</v>
      </c>
      <c r="R29" s="113">
        <f>EOD_Credit_CW!S24</f>
        <v>106.5</v>
      </c>
      <c r="S29" s="112">
        <f>EOD_Credit_CW!T24</f>
        <v>3</v>
      </c>
      <c r="T29" s="113">
        <f>EOD_Credit_CW!U24</f>
        <v>1621.3</v>
      </c>
      <c r="U29" s="112">
        <f>EOD_Credit_CW!V24</f>
        <v>1</v>
      </c>
      <c r="V29" s="113">
        <f>EOD_Credit_CW!W24</f>
        <v>126.6</v>
      </c>
      <c r="W29" s="112">
        <f>EOD_Credit_CW!X24</f>
        <v>1</v>
      </c>
      <c r="X29" s="113">
        <f>EOD_Credit_CW!Y24</f>
        <v>124.6</v>
      </c>
      <c r="Y29" s="112">
        <f>EOD_Credit_CW!Z24</f>
        <v>2</v>
      </c>
      <c r="Z29" s="113">
        <f>EOD_Credit_CW!AA24</f>
        <v>1107.5999999999999</v>
      </c>
      <c r="AA29" s="112">
        <f>EOD_Credit_CW!AB24</f>
        <v>1</v>
      </c>
      <c r="AB29" s="113">
        <f>EOD_Credit_CW!AC24</f>
        <v>109.6</v>
      </c>
      <c r="AC29" s="112">
        <f>EOD_Credit_CW!AD24</f>
        <v>1</v>
      </c>
      <c r="AD29" s="113">
        <f>EOD_Credit_CW!AE24</f>
        <v>99</v>
      </c>
      <c r="AE29" s="112">
        <f>EOD_Credit_CW!AF24</f>
        <v>1</v>
      </c>
      <c r="AF29" s="113">
        <f>EOD_Credit_CW!AG24</f>
        <v>99.4</v>
      </c>
      <c r="AG29" s="112">
        <f>EOD_Credit_CW!AH24</f>
        <v>1</v>
      </c>
      <c r="AH29" s="113">
        <f>EOD_Credit_CW!AI24</f>
        <v>111.3</v>
      </c>
      <c r="AI29" s="112">
        <f>EOD_Credit_CW!AJ24</f>
        <v>2</v>
      </c>
      <c r="AJ29" s="113">
        <f>EOD_Credit_CW!AK24</f>
        <v>218.3</v>
      </c>
      <c r="AK29" s="112">
        <f>EOD_Credit_CW!AL24</f>
        <v>4</v>
      </c>
      <c r="AL29" s="113">
        <f>EOD_Credit_CW!AM24</f>
        <v>2299.5</v>
      </c>
      <c r="AM29" s="112">
        <f>EOD_Credit_CW!AN24</f>
        <v>2</v>
      </c>
      <c r="AN29" s="113">
        <f>EOD_Credit_CW!AO24</f>
        <v>143.30000000000001</v>
      </c>
      <c r="AO29" s="112">
        <f>EOD_Credit_CW!AP24</f>
        <v>0</v>
      </c>
      <c r="AP29" s="113">
        <f>EOD_Credit_CW!AQ24</f>
        <v>0</v>
      </c>
      <c r="AQ29" s="112">
        <f>EOD_Credit_CW!AR24</f>
        <v>1</v>
      </c>
      <c r="AR29" s="113">
        <f>EOD_Credit_CW!AS24</f>
        <v>77.400000000000006</v>
      </c>
      <c r="AS29" s="112">
        <f>EOD_Credit_CW!AT24</f>
        <v>1</v>
      </c>
      <c r="AT29" s="113">
        <f>EOD_Credit_CW!AU24</f>
        <v>100.3</v>
      </c>
      <c r="AU29" s="112">
        <f>EOD_Credit_CW!AV24</f>
        <v>1</v>
      </c>
      <c r="AV29" s="113">
        <f>EOD_Credit_CW!AW24</f>
        <v>110.5</v>
      </c>
      <c r="AW29" s="112">
        <f>EOD_Credit_CW!AX24</f>
        <v>1</v>
      </c>
      <c r="AX29" s="113">
        <f>EOD_Credit_CW!AY24</f>
        <v>107.2</v>
      </c>
      <c r="AY29" s="112">
        <f>EOD_Credit_CW!AZ24</f>
        <v>1</v>
      </c>
      <c r="AZ29" s="113">
        <f>EOD_Credit_CW!BA24</f>
        <v>116.4</v>
      </c>
      <c r="BA29" s="112">
        <f>EOD_Credit_CW!BB24</f>
        <v>2</v>
      </c>
      <c r="BB29" s="113">
        <f>EOD_Credit_CW!BC24</f>
        <v>617.6</v>
      </c>
      <c r="BC29" s="112">
        <f>EOD_Credit_CW!BD24</f>
        <v>1</v>
      </c>
      <c r="BD29" s="113">
        <f>EOD_Credit_CW!BE24</f>
        <v>116.4</v>
      </c>
      <c r="BE29" s="112">
        <f>EOD_Credit_CW!BF24</f>
        <v>2</v>
      </c>
      <c r="BF29" s="113">
        <f>EOD_Credit_CW!BG24</f>
        <v>631.1</v>
      </c>
      <c r="BG29" s="112">
        <f>EOD_Credit_CW!BH24</f>
        <v>1</v>
      </c>
      <c r="BH29" s="113">
        <f>EOD_Credit_CW!BI24</f>
        <v>91.9</v>
      </c>
      <c r="BI29" s="112">
        <f>EOD_Credit_CW!BJ24</f>
        <v>2</v>
      </c>
      <c r="BJ29" s="113">
        <f>EOD_Credit_CW!BK24</f>
        <v>1090.5</v>
      </c>
      <c r="BK29" s="112">
        <f>EOD_Credit_CW!BL24</f>
        <v>1</v>
      </c>
      <c r="BL29" s="113">
        <f>EOD_Credit_CW!BM24</f>
        <v>80.400000000000006</v>
      </c>
      <c r="BM29" s="114" cm="1">
        <f t="array" ref="BM29">SUMPRODUCT((MOD(COLUMN(C29:BL29)-COLUMN(C29),2)=0)*C29:BL29)</f>
        <v>46</v>
      </c>
      <c r="BN29" s="113" cm="1">
        <f t="array" ref="BN29">SUMPRODUCT((MOD(COLUMN(D29:BM29)-COLUMN(D29),2)=0)*D29:BM29)</f>
        <v>14086.199999999997</v>
      </c>
      <c r="CA29" s="83"/>
      <c r="CB29" s="83"/>
      <c r="CC29" s="83"/>
      <c r="CD29" s="83"/>
      <c r="CE29" s="83"/>
      <c r="CF29" s="83"/>
      <c r="CG29" s="83"/>
      <c r="CH29" s="83"/>
      <c r="CI29" s="83"/>
      <c r="CJ29" s="83"/>
      <c r="CK29" s="83"/>
      <c r="CL29" s="83"/>
      <c r="CM29" s="83"/>
      <c r="CN29" s="83"/>
      <c r="CO29" s="83"/>
      <c r="CP29" s="83"/>
    </row>
    <row r="30" spans="1:94" x14ac:dyDescent="0.25">
      <c r="A30" s="79" t="s">
        <v>25</v>
      </c>
      <c r="B30" s="98" t="s">
        <v>9</v>
      </c>
      <c r="C30" s="112">
        <f>EOD_Credit_CW!D25</f>
        <v>0</v>
      </c>
      <c r="D30" s="113">
        <f>EOD_Credit_CW!E25</f>
        <v>0</v>
      </c>
      <c r="E30" s="112">
        <f>EOD_Credit_CW!F25</f>
        <v>0</v>
      </c>
      <c r="F30" s="113">
        <f>EOD_Credit_CW!G25</f>
        <v>0</v>
      </c>
      <c r="G30" s="112">
        <f>EOD_Credit_CW!H25</f>
        <v>0</v>
      </c>
      <c r="H30" s="113">
        <f>EOD_Credit_CW!I25</f>
        <v>0</v>
      </c>
      <c r="I30" s="112">
        <f>EOD_Credit_CW!J25</f>
        <v>0</v>
      </c>
      <c r="J30" s="113">
        <f>EOD_Credit_CW!K25</f>
        <v>0</v>
      </c>
      <c r="K30" s="112">
        <f>EOD_Credit_CW!L25</f>
        <v>0</v>
      </c>
      <c r="L30" s="113">
        <f>EOD_Credit_CW!M25</f>
        <v>0</v>
      </c>
      <c r="M30" s="112">
        <f>EOD_Credit_CW!N25</f>
        <v>0</v>
      </c>
      <c r="N30" s="113">
        <f>EOD_Credit_CW!O25</f>
        <v>0</v>
      </c>
      <c r="O30" s="112">
        <f>EOD_Credit_CW!P25</f>
        <v>0</v>
      </c>
      <c r="P30" s="113">
        <f>EOD_Credit_CW!Q25</f>
        <v>0</v>
      </c>
      <c r="Q30" s="112">
        <f>EOD_Credit_CW!R25</f>
        <v>0</v>
      </c>
      <c r="R30" s="113">
        <f>EOD_Credit_CW!S25</f>
        <v>0</v>
      </c>
      <c r="S30" s="112">
        <f>EOD_Credit_CW!T25</f>
        <v>0</v>
      </c>
      <c r="T30" s="113">
        <f>EOD_Credit_CW!U25</f>
        <v>0</v>
      </c>
      <c r="U30" s="112">
        <f>EOD_Credit_CW!V25</f>
        <v>0</v>
      </c>
      <c r="V30" s="113">
        <f>EOD_Credit_CW!W25</f>
        <v>0</v>
      </c>
      <c r="W30" s="112">
        <f>EOD_Credit_CW!X25</f>
        <v>0</v>
      </c>
      <c r="X30" s="113">
        <f>EOD_Credit_CW!Y25</f>
        <v>0</v>
      </c>
      <c r="Y30" s="112">
        <f>EOD_Credit_CW!Z25</f>
        <v>0</v>
      </c>
      <c r="Z30" s="113">
        <f>EOD_Credit_CW!AA25</f>
        <v>0</v>
      </c>
      <c r="AA30" s="112">
        <f>EOD_Credit_CW!AB25</f>
        <v>0</v>
      </c>
      <c r="AB30" s="113">
        <f>EOD_Credit_CW!AC25</f>
        <v>0</v>
      </c>
      <c r="AC30" s="112">
        <f>EOD_Credit_CW!AD25</f>
        <v>0</v>
      </c>
      <c r="AD30" s="113">
        <f>EOD_Credit_CW!AE25</f>
        <v>0</v>
      </c>
      <c r="AE30" s="112">
        <f>EOD_Credit_CW!AF25</f>
        <v>0</v>
      </c>
      <c r="AF30" s="113">
        <f>EOD_Credit_CW!AG25</f>
        <v>0</v>
      </c>
      <c r="AG30" s="112">
        <f>EOD_Credit_CW!AH25</f>
        <v>0</v>
      </c>
      <c r="AH30" s="113">
        <f>EOD_Credit_CW!AI25</f>
        <v>0</v>
      </c>
      <c r="AI30" s="112">
        <f>EOD_Credit_CW!AJ25</f>
        <v>0</v>
      </c>
      <c r="AJ30" s="113">
        <f>EOD_Credit_CW!AK25</f>
        <v>0</v>
      </c>
      <c r="AK30" s="112">
        <f>EOD_Credit_CW!AL25</f>
        <v>0</v>
      </c>
      <c r="AL30" s="113">
        <f>EOD_Credit_CW!AM25</f>
        <v>0</v>
      </c>
      <c r="AM30" s="112">
        <f>EOD_Credit_CW!AN25</f>
        <v>0</v>
      </c>
      <c r="AN30" s="113">
        <f>EOD_Credit_CW!AO25</f>
        <v>0</v>
      </c>
      <c r="AO30" s="112">
        <f>EOD_Credit_CW!AP25</f>
        <v>0</v>
      </c>
      <c r="AP30" s="113">
        <f>EOD_Credit_CW!AQ25</f>
        <v>0</v>
      </c>
      <c r="AQ30" s="112">
        <f>EOD_Credit_CW!AR25</f>
        <v>0</v>
      </c>
      <c r="AR30" s="113">
        <f>EOD_Credit_CW!AS25</f>
        <v>0</v>
      </c>
      <c r="AS30" s="112">
        <f>EOD_Credit_CW!AT25</f>
        <v>0</v>
      </c>
      <c r="AT30" s="113">
        <f>EOD_Credit_CW!AU25</f>
        <v>0</v>
      </c>
      <c r="AU30" s="112">
        <f>EOD_Credit_CW!AV25</f>
        <v>0</v>
      </c>
      <c r="AV30" s="113">
        <f>EOD_Credit_CW!AW25</f>
        <v>0</v>
      </c>
      <c r="AW30" s="112">
        <f>EOD_Credit_CW!AX25</f>
        <v>0</v>
      </c>
      <c r="AX30" s="113">
        <f>EOD_Credit_CW!AY25</f>
        <v>0</v>
      </c>
      <c r="AY30" s="112">
        <f>EOD_Credit_CW!AZ25</f>
        <v>0</v>
      </c>
      <c r="AZ30" s="113">
        <f>EOD_Credit_CW!BA25</f>
        <v>0</v>
      </c>
      <c r="BA30" s="112">
        <f>EOD_Credit_CW!BB25</f>
        <v>0</v>
      </c>
      <c r="BB30" s="113">
        <f>EOD_Credit_CW!BC25</f>
        <v>0</v>
      </c>
      <c r="BC30" s="112">
        <f>EOD_Credit_CW!BD25</f>
        <v>0</v>
      </c>
      <c r="BD30" s="113">
        <f>EOD_Credit_CW!BE25</f>
        <v>0</v>
      </c>
      <c r="BE30" s="112">
        <f>EOD_Credit_CW!BF25</f>
        <v>0</v>
      </c>
      <c r="BF30" s="113">
        <f>EOD_Credit_CW!BG25</f>
        <v>0</v>
      </c>
      <c r="BG30" s="112">
        <f>EOD_Credit_CW!BH25</f>
        <v>0</v>
      </c>
      <c r="BH30" s="113">
        <f>EOD_Credit_CW!BI25</f>
        <v>0</v>
      </c>
      <c r="BI30" s="112">
        <f>EOD_Credit_CW!BJ25</f>
        <v>0</v>
      </c>
      <c r="BJ30" s="113">
        <f>EOD_Credit_CW!BK25</f>
        <v>0</v>
      </c>
      <c r="BK30" s="112">
        <f>EOD_Credit_CW!BL25</f>
        <v>0</v>
      </c>
      <c r="BL30" s="113">
        <f>EOD_Credit_CW!BM25</f>
        <v>0</v>
      </c>
      <c r="BM30" s="114" cm="1">
        <f t="array" ref="BM30">SUMPRODUCT((MOD(COLUMN(C30:BL30)-COLUMN(C30),2)=0)*C30:BL30)</f>
        <v>0</v>
      </c>
      <c r="BN30" s="113" cm="1">
        <f t="array" ref="BN30">SUMPRODUCT((MOD(COLUMN(D30:BM30)-COLUMN(D30),2)=0)*D30:BM30)</f>
        <v>0</v>
      </c>
      <c r="CA30" s="83"/>
      <c r="CB30" s="83"/>
      <c r="CC30" s="83"/>
      <c r="CD30" s="83"/>
      <c r="CE30" s="83"/>
      <c r="CF30" s="83"/>
      <c r="CG30" s="83"/>
      <c r="CH30" s="83"/>
      <c r="CI30" s="83"/>
      <c r="CJ30" s="83"/>
      <c r="CK30" s="83"/>
      <c r="CL30" s="83"/>
      <c r="CM30" s="83"/>
      <c r="CN30" s="83"/>
      <c r="CO30" s="83"/>
      <c r="CP30" s="83"/>
    </row>
    <row r="31" spans="1:94" x14ac:dyDescent="0.25">
      <c r="A31" s="79" t="s">
        <v>23</v>
      </c>
      <c r="B31" s="98" t="s">
        <v>9</v>
      </c>
      <c r="C31" s="112">
        <f>EOD_Credit_CW!D26</f>
        <v>0</v>
      </c>
      <c r="D31" s="113">
        <f>EOD_Credit_CW!E26</f>
        <v>0</v>
      </c>
      <c r="E31" s="112">
        <f>EOD_Credit_CW!F26</f>
        <v>1</v>
      </c>
      <c r="F31" s="113">
        <f>EOD_Credit_CW!G26</f>
        <v>500</v>
      </c>
      <c r="G31" s="112">
        <f>EOD_Credit_CW!H26</f>
        <v>2</v>
      </c>
      <c r="H31" s="113">
        <f>EOD_Credit_CW!I26</f>
        <v>1000</v>
      </c>
      <c r="I31" s="112">
        <f>EOD_Credit_CW!J26</f>
        <v>2</v>
      </c>
      <c r="J31" s="113">
        <f>EOD_Credit_CW!K26</f>
        <v>1571.5</v>
      </c>
      <c r="K31" s="112">
        <f>EOD_Credit_CW!L26</f>
        <v>2</v>
      </c>
      <c r="L31" s="113">
        <f>EOD_Credit_CW!M26</f>
        <v>580.70000000000005</v>
      </c>
      <c r="M31" s="112">
        <f>EOD_Credit_CW!N26</f>
        <v>2</v>
      </c>
      <c r="N31" s="113">
        <f>EOD_Credit_CW!O26</f>
        <v>670.1</v>
      </c>
      <c r="O31" s="112">
        <f>EOD_Credit_CW!P26</f>
        <v>0</v>
      </c>
      <c r="P31" s="113">
        <f>EOD_Credit_CW!Q26</f>
        <v>0</v>
      </c>
      <c r="Q31" s="112">
        <f>EOD_Credit_CW!R26</f>
        <v>1</v>
      </c>
      <c r="R31" s="113">
        <f>EOD_Credit_CW!S26</f>
        <v>150</v>
      </c>
      <c r="S31" s="112">
        <f>EOD_Credit_CW!T26</f>
        <v>0</v>
      </c>
      <c r="T31" s="113">
        <f>EOD_Credit_CW!U26</f>
        <v>0</v>
      </c>
      <c r="U31" s="112">
        <f>EOD_Credit_CW!V26</f>
        <v>0</v>
      </c>
      <c r="V31" s="113">
        <f>EOD_Credit_CW!W26</f>
        <v>0</v>
      </c>
      <c r="W31" s="112">
        <f>EOD_Credit_CW!X26</f>
        <v>2</v>
      </c>
      <c r="X31" s="113">
        <f>EOD_Credit_CW!Y26</f>
        <v>746.9</v>
      </c>
      <c r="Y31" s="112">
        <f>EOD_Credit_CW!Z26</f>
        <v>2</v>
      </c>
      <c r="Z31" s="113">
        <f>EOD_Credit_CW!AA26</f>
        <v>1473.5</v>
      </c>
      <c r="AA31" s="112">
        <f>EOD_Credit_CW!AB26</f>
        <v>1</v>
      </c>
      <c r="AB31" s="113">
        <f>EOD_Credit_CW!AC26</f>
        <v>186</v>
      </c>
      <c r="AC31" s="112">
        <f>EOD_Credit_CW!AD26</f>
        <v>2</v>
      </c>
      <c r="AD31" s="113">
        <f>EOD_Credit_CW!AE26</f>
        <v>572.20000000000005</v>
      </c>
      <c r="AE31" s="112">
        <f>EOD_Credit_CW!AF26</f>
        <v>1</v>
      </c>
      <c r="AF31" s="113">
        <f>EOD_Credit_CW!AG26</f>
        <v>111.9</v>
      </c>
      <c r="AG31" s="112">
        <f>EOD_Credit_CW!AH26</f>
        <v>0</v>
      </c>
      <c r="AH31" s="113">
        <f>EOD_Credit_CW!AI26</f>
        <v>0</v>
      </c>
      <c r="AI31" s="112">
        <f>EOD_Credit_CW!AJ26</f>
        <v>2</v>
      </c>
      <c r="AJ31" s="113">
        <f>EOD_Credit_CW!AK26</f>
        <v>662.4</v>
      </c>
      <c r="AK31" s="112">
        <f>EOD_Credit_CW!AL26</f>
        <v>0</v>
      </c>
      <c r="AL31" s="113">
        <f>EOD_Credit_CW!AM26</f>
        <v>0</v>
      </c>
      <c r="AM31" s="112">
        <f>EOD_Credit_CW!AN26</f>
        <v>2</v>
      </c>
      <c r="AN31" s="113">
        <f>EOD_Credit_CW!AO26</f>
        <v>1337.9</v>
      </c>
      <c r="AO31" s="112">
        <f>EOD_Credit_CW!AP26</f>
        <v>0</v>
      </c>
      <c r="AP31" s="113">
        <f>EOD_Credit_CW!AQ26</f>
        <v>0</v>
      </c>
      <c r="AQ31" s="112">
        <f>EOD_Credit_CW!AR26</f>
        <v>0</v>
      </c>
      <c r="AR31" s="113">
        <f>EOD_Credit_CW!AS26</f>
        <v>0</v>
      </c>
      <c r="AS31" s="112">
        <f>EOD_Credit_CW!AT26</f>
        <v>1</v>
      </c>
      <c r="AT31" s="113">
        <f>EOD_Credit_CW!AU26</f>
        <v>200</v>
      </c>
      <c r="AU31" s="112">
        <f>EOD_Credit_CW!AV26</f>
        <v>3</v>
      </c>
      <c r="AV31" s="113">
        <f>EOD_Credit_CW!AW26</f>
        <v>1526.2</v>
      </c>
      <c r="AW31" s="112">
        <f>EOD_Credit_CW!AX26</f>
        <v>3</v>
      </c>
      <c r="AX31" s="113">
        <f>EOD_Credit_CW!AY26</f>
        <v>1553.6</v>
      </c>
      <c r="AY31" s="112">
        <f>EOD_Credit_CW!AZ26</f>
        <v>2</v>
      </c>
      <c r="AZ31" s="113">
        <f>EOD_Credit_CW!BA26</f>
        <v>1334.5</v>
      </c>
      <c r="BA31" s="112">
        <f>EOD_Credit_CW!BB26</f>
        <v>0</v>
      </c>
      <c r="BB31" s="113">
        <f>EOD_Credit_CW!BC26</f>
        <v>0</v>
      </c>
      <c r="BC31" s="112">
        <f>EOD_Credit_CW!BD26</f>
        <v>0</v>
      </c>
      <c r="BD31" s="113">
        <f>EOD_Credit_CW!BE26</f>
        <v>0</v>
      </c>
      <c r="BE31" s="112">
        <f>EOD_Credit_CW!BF26</f>
        <v>0</v>
      </c>
      <c r="BF31" s="113">
        <f>EOD_Credit_CW!BG26</f>
        <v>0</v>
      </c>
      <c r="BG31" s="112">
        <f>EOD_Credit_CW!BH26</f>
        <v>1</v>
      </c>
      <c r="BH31" s="113">
        <f>EOD_Credit_CW!BI26</f>
        <v>500</v>
      </c>
      <c r="BI31" s="112">
        <f>EOD_Credit_CW!BJ26</f>
        <v>1</v>
      </c>
      <c r="BJ31" s="113">
        <f>EOD_Credit_CW!BK26</f>
        <v>300</v>
      </c>
      <c r="BK31" s="112">
        <f>EOD_Credit_CW!BL26</f>
        <v>3</v>
      </c>
      <c r="BL31" s="113">
        <f>EOD_Credit_CW!BM26</f>
        <v>1169.0999999999999</v>
      </c>
      <c r="BM31" s="114" cm="1">
        <f t="array" ref="BM31">SUMPRODUCT((MOD(COLUMN(C31:BL31)-COLUMN(C31),2)=0)*C31:BL31)</f>
        <v>36</v>
      </c>
      <c r="BN31" s="113" cm="1">
        <f t="array" ref="BN31">SUMPRODUCT((MOD(COLUMN(D31:BM31)-COLUMN(D31),2)=0)*D31:BM31)</f>
        <v>16146.5</v>
      </c>
      <c r="CA31" s="83"/>
      <c r="CB31" s="83"/>
      <c r="CC31" s="83"/>
      <c r="CD31" s="83"/>
      <c r="CE31" s="83"/>
      <c r="CF31" s="83"/>
      <c r="CG31" s="83"/>
      <c r="CH31" s="83"/>
      <c r="CI31" s="83"/>
      <c r="CJ31" s="83"/>
      <c r="CK31" s="83"/>
      <c r="CL31" s="83"/>
      <c r="CM31" s="83"/>
      <c r="CN31" s="83"/>
      <c r="CO31" s="83"/>
      <c r="CP31" s="83"/>
    </row>
    <row r="32" spans="1:94" x14ac:dyDescent="0.25">
      <c r="A32" s="100" t="s">
        <v>26</v>
      </c>
      <c r="B32" s="101"/>
      <c r="C32" s="115">
        <f t="shared" ref="C32:BL32" si="5">SUM(C29:C31)</f>
        <v>1</v>
      </c>
      <c r="D32" s="116">
        <f t="shared" si="5"/>
        <v>120.5</v>
      </c>
      <c r="E32" s="115">
        <f t="shared" si="5"/>
        <v>2</v>
      </c>
      <c r="F32" s="116">
        <f t="shared" si="5"/>
        <v>610.4</v>
      </c>
      <c r="G32" s="115">
        <f t="shared" si="5"/>
        <v>7</v>
      </c>
      <c r="H32" s="116">
        <f t="shared" si="5"/>
        <v>4229.1000000000004</v>
      </c>
      <c r="I32" s="115">
        <f t="shared" si="5"/>
        <v>4</v>
      </c>
      <c r="J32" s="116">
        <f t="shared" si="5"/>
        <v>2559.9</v>
      </c>
      <c r="K32" s="115">
        <f t="shared" si="5"/>
        <v>3</v>
      </c>
      <c r="L32" s="116">
        <f t="shared" si="5"/>
        <v>696.7</v>
      </c>
      <c r="M32" s="115">
        <f t="shared" si="5"/>
        <v>3</v>
      </c>
      <c r="N32" s="116">
        <f t="shared" si="5"/>
        <v>786.7</v>
      </c>
      <c r="O32" s="115">
        <f t="shared" si="5"/>
        <v>1</v>
      </c>
      <c r="P32" s="116">
        <f t="shared" si="5"/>
        <v>98.5</v>
      </c>
      <c r="Q32" s="115">
        <f t="shared" si="5"/>
        <v>2</v>
      </c>
      <c r="R32" s="116">
        <f t="shared" si="5"/>
        <v>256.5</v>
      </c>
      <c r="S32" s="115">
        <f t="shared" si="5"/>
        <v>3</v>
      </c>
      <c r="T32" s="116">
        <f t="shared" si="5"/>
        <v>1621.3</v>
      </c>
      <c r="U32" s="115">
        <f t="shared" si="5"/>
        <v>1</v>
      </c>
      <c r="V32" s="116">
        <f t="shared" si="5"/>
        <v>126.6</v>
      </c>
      <c r="W32" s="115">
        <f t="shared" si="5"/>
        <v>3</v>
      </c>
      <c r="X32" s="116">
        <f t="shared" si="5"/>
        <v>871.5</v>
      </c>
      <c r="Y32" s="115">
        <f t="shared" si="5"/>
        <v>4</v>
      </c>
      <c r="Z32" s="116">
        <f t="shared" si="5"/>
        <v>2581.1</v>
      </c>
      <c r="AA32" s="115">
        <f t="shared" si="5"/>
        <v>2</v>
      </c>
      <c r="AB32" s="116">
        <f t="shared" si="5"/>
        <v>295.60000000000002</v>
      </c>
      <c r="AC32" s="115">
        <f t="shared" si="5"/>
        <v>3</v>
      </c>
      <c r="AD32" s="116">
        <f t="shared" si="5"/>
        <v>671.2</v>
      </c>
      <c r="AE32" s="115">
        <f t="shared" si="5"/>
        <v>2</v>
      </c>
      <c r="AF32" s="116">
        <f t="shared" si="5"/>
        <v>211.3</v>
      </c>
      <c r="AG32" s="115">
        <f t="shared" si="5"/>
        <v>1</v>
      </c>
      <c r="AH32" s="116">
        <f t="shared" si="5"/>
        <v>111.3</v>
      </c>
      <c r="AI32" s="115">
        <f t="shared" si="5"/>
        <v>4</v>
      </c>
      <c r="AJ32" s="116">
        <f t="shared" si="5"/>
        <v>880.7</v>
      </c>
      <c r="AK32" s="115">
        <f t="shared" si="5"/>
        <v>4</v>
      </c>
      <c r="AL32" s="116">
        <f t="shared" si="5"/>
        <v>2299.5</v>
      </c>
      <c r="AM32" s="115">
        <f t="shared" si="5"/>
        <v>4</v>
      </c>
      <c r="AN32" s="116">
        <f t="shared" si="5"/>
        <v>1481.2</v>
      </c>
      <c r="AO32" s="115">
        <f t="shared" si="5"/>
        <v>0</v>
      </c>
      <c r="AP32" s="116">
        <f t="shared" si="5"/>
        <v>0</v>
      </c>
      <c r="AQ32" s="115">
        <f t="shared" si="5"/>
        <v>1</v>
      </c>
      <c r="AR32" s="116">
        <f t="shared" si="5"/>
        <v>77.400000000000006</v>
      </c>
      <c r="AS32" s="115">
        <f t="shared" si="5"/>
        <v>2</v>
      </c>
      <c r="AT32" s="116">
        <f t="shared" si="5"/>
        <v>300.3</v>
      </c>
      <c r="AU32" s="115">
        <f t="shared" si="5"/>
        <v>4</v>
      </c>
      <c r="AV32" s="116">
        <f t="shared" si="5"/>
        <v>1636.7</v>
      </c>
      <c r="AW32" s="115">
        <f t="shared" si="5"/>
        <v>4</v>
      </c>
      <c r="AX32" s="116">
        <f t="shared" si="5"/>
        <v>1660.8</v>
      </c>
      <c r="AY32" s="115">
        <f t="shared" si="5"/>
        <v>3</v>
      </c>
      <c r="AZ32" s="116">
        <f t="shared" si="5"/>
        <v>1450.9</v>
      </c>
      <c r="BA32" s="115">
        <f t="shared" si="5"/>
        <v>2</v>
      </c>
      <c r="BB32" s="116">
        <f t="shared" si="5"/>
        <v>617.6</v>
      </c>
      <c r="BC32" s="115">
        <f t="shared" si="5"/>
        <v>1</v>
      </c>
      <c r="BD32" s="116">
        <f t="shared" si="5"/>
        <v>116.4</v>
      </c>
      <c r="BE32" s="115">
        <f t="shared" si="5"/>
        <v>2</v>
      </c>
      <c r="BF32" s="116">
        <f t="shared" si="5"/>
        <v>631.1</v>
      </c>
      <c r="BG32" s="115">
        <f t="shared" si="5"/>
        <v>2</v>
      </c>
      <c r="BH32" s="116">
        <f t="shared" si="5"/>
        <v>591.9</v>
      </c>
      <c r="BI32" s="115">
        <f t="shared" si="5"/>
        <v>3</v>
      </c>
      <c r="BJ32" s="116">
        <f t="shared" si="5"/>
        <v>1390.5</v>
      </c>
      <c r="BK32" s="115">
        <f t="shared" si="5"/>
        <v>4</v>
      </c>
      <c r="BL32" s="116">
        <f t="shared" si="5"/>
        <v>1249.5</v>
      </c>
      <c r="BM32" s="117">
        <f t="shared" ref="BM32:BN32" si="6">SUM(BM29:BM31)</f>
        <v>82</v>
      </c>
      <c r="BN32" s="116">
        <f t="shared" si="6"/>
        <v>30232.699999999997</v>
      </c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</row>
    <row r="33" spans="1:94" x14ac:dyDescent="0.25">
      <c r="A33" s="103"/>
      <c r="C33" s="124"/>
      <c r="D33" s="125"/>
      <c r="E33" s="124"/>
      <c r="F33" s="125"/>
      <c r="G33" s="124"/>
      <c r="H33" s="125"/>
      <c r="I33" s="124"/>
      <c r="J33" s="125"/>
      <c r="K33" s="124"/>
      <c r="L33" s="125"/>
      <c r="M33" s="124"/>
      <c r="N33" s="125"/>
      <c r="O33" s="124"/>
      <c r="P33" s="125"/>
      <c r="Q33" s="124"/>
      <c r="R33" s="125"/>
      <c r="S33" s="124"/>
      <c r="T33" s="125"/>
      <c r="U33" s="124"/>
      <c r="V33" s="125"/>
      <c r="W33" s="124"/>
      <c r="X33" s="125"/>
      <c r="Y33" s="124"/>
      <c r="Z33" s="125"/>
      <c r="AA33" s="124"/>
      <c r="AB33" s="125"/>
      <c r="AC33" s="124"/>
      <c r="AD33" s="125"/>
      <c r="AE33" s="124"/>
      <c r="AF33" s="125"/>
      <c r="AG33" s="124"/>
      <c r="AH33" s="125"/>
      <c r="AI33" s="124"/>
      <c r="AJ33" s="125"/>
      <c r="AK33" s="124"/>
      <c r="AL33" s="125"/>
      <c r="AM33" s="124"/>
      <c r="AN33" s="125"/>
      <c r="AO33" s="124"/>
      <c r="AP33" s="125"/>
      <c r="AQ33" s="124"/>
      <c r="AR33" s="125"/>
      <c r="AS33" s="124"/>
      <c r="AT33" s="125"/>
      <c r="AU33" s="124"/>
      <c r="AV33" s="125"/>
      <c r="AW33" s="124"/>
      <c r="AX33" s="125"/>
      <c r="AY33" s="124"/>
      <c r="AZ33" s="125"/>
      <c r="BA33" s="124"/>
      <c r="BB33" s="125"/>
      <c r="BC33" s="124"/>
      <c r="BD33" s="125"/>
      <c r="BE33" s="124"/>
      <c r="BF33" s="125"/>
      <c r="BG33" s="124"/>
      <c r="BH33" s="125"/>
      <c r="BI33" s="124"/>
      <c r="BJ33" s="125"/>
      <c r="BK33" s="124"/>
      <c r="BL33" s="125"/>
      <c r="BM33" s="126"/>
      <c r="BN33" s="125"/>
      <c r="CA33" s="83"/>
      <c r="CB33" s="83"/>
      <c r="CC33" s="83"/>
      <c r="CD33" s="83"/>
      <c r="CE33" s="83"/>
      <c r="CF33" s="83"/>
      <c r="CG33" s="83"/>
      <c r="CH33" s="83"/>
      <c r="CI33" s="83"/>
      <c r="CJ33" s="83"/>
      <c r="CK33" s="83"/>
      <c r="CL33" s="83"/>
      <c r="CM33" s="83"/>
      <c r="CN33" s="83"/>
      <c r="CO33" s="83"/>
      <c r="CP33" s="83"/>
    </row>
    <row r="34" spans="1:94" x14ac:dyDescent="0.25">
      <c r="A34" s="92" t="s">
        <v>27</v>
      </c>
      <c r="B34" s="93"/>
      <c r="C34" s="121"/>
      <c r="D34" s="122"/>
      <c r="E34" s="121"/>
      <c r="F34" s="122"/>
      <c r="G34" s="121"/>
      <c r="H34" s="122"/>
      <c r="I34" s="121"/>
      <c r="J34" s="122"/>
      <c r="K34" s="121"/>
      <c r="L34" s="122"/>
      <c r="M34" s="121"/>
      <c r="N34" s="122"/>
      <c r="O34" s="121"/>
      <c r="P34" s="122"/>
      <c r="Q34" s="121"/>
      <c r="R34" s="122"/>
      <c r="S34" s="121"/>
      <c r="T34" s="122"/>
      <c r="U34" s="121"/>
      <c r="V34" s="122"/>
      <c r="W34" s="121"/>
      <c r="X34" s="122"/>
      <c r="Y34" s="121"/>
      <c r="Z34" s="122"/>
      <c r="AA34" s="121"/>
      <c r="AB34" s="122"/>
      <c r="AC34" s="121"/>
      <c r="AD34" s="122"/>
      <c r="AE34" s="121"/>
      <c r="AF34" s="122"/>
      <c r="AG34" s="121"/>
      <c r="AH34" s="122"/>
      <c r="AI34" s="121"/>
      <c r="AJ34" s="122"/>
      <c r="AK34" s="121"/>
      <c r="AL34" s="122"/>
      <c r="AM34" s="121"/>
      <c r="AN34" s="122"/>
      <c r="AO34" s="121"/>
      <c r="AP34" s="122"/>
      <c r="AQ34" s="121"/>
      <c r="AR34" s="122"/>
      <c r="AS34" s="121"/>
      <c r="AT34" s="122"/>
      <c r="AU34" s="121"/>
      <c r="AV34" s="122"/>
      <c r="AW34" s="121"/>
      <c r="AX34" s="122"/>
      <c r="AY34" s="121"/>
      <c r="AZ34" s="122"/>
      <c r="BA34" s="121"/>
      <c r="BB34" s="122"/>
      <c r="BC34" s="121"/>
      <c r="BD34" s="122"/>
      <c r="BE34" s="121"/>
      <c r="BF34" s="122"/>
      <c r="BG34" s="121"/>
      <c r="BH34" s="122"/>
      <c r="BI34" s="121"/>
      <c r="BJ34" s="122"/>
      <c r="BK34" s="121"/>
      <c r="BL34" s="122"/>
      <c r="BM34" s="123"/>
      <c r="BN34" s="122"/>
      <c r="CA34" s="83"/>
      <c r="CB34" s="83"/>
      <c r="CC34" s="83"/>
      <c r="CD34" s="83"/>
      <c r="CE34" s="83"/>
      <c r="CF34" s="83"/>
      <c r="CG34" s="83"/>
      <c r="CH34" s="83"/>
      <c r="CI34" s="83"/>
      <c r="CJ34" s="83"/>
      <c r="CK34" s="83"/>
      <c r="CL34" s="83"/>
      <c r="CM34" s="83"/>
      <c r="CN34" s="83"/>
      <c r="CO34" s="83"/>
      <c r="CP34" s="83"/>
    </row>
    <row r="35" spans="1:94" x14ac:dyDescent="0.25">
      <c r="A35" s="79" t="s">
        <v>28</v>
      </c>
      <c r="B35" s="98" t="s">
        <v>29</v>
      </c>
      <c r="C35" s="112">
        <f>EOD_Credit_CW!D19</f>
        <v>31</v>
      </c>
      <c r="D35" s="113">
        <f>EOD_Credit_CW!E19</f>
        <v>5297.9</v>
      </c>
      <c r="E35" s="112">
        <f>EOD_Credit_CW!F19</f>
        <v>33</v>
      </c>
      <c r="F35" s="113">
        <f>EOD_Credit_CW!G19</f>
        <v>5682.2</v>
      </c>
      <c r="G35" s="112">
        <f>EOD_Credit_CW!H19</f>
        <v>37</v>
      </c>
      <c r="H35" s="113">
        <f>EOD_Credit_CW!I19</f>
        <v>4539</v>
      </c>
      <c r="I35" s="112">
        <f>EOD_Credit_CW!J19</f>
        <v>37</v>
      </c>
      <c r="J35" s="113">
        <f>EOD_Credit_CW!K19</f>
        <v>5026.3</v>
      </c>
      <c r="K35" s="112">
        <f>EOD_Credit_CW!L19</f>
        <v>28</v>
      </c>
      <c r="L35" s="113">
        <f>EOD_Credit_CW!M19</f>
        <v>4974.6000000000004</v>
      </c>
      <c r="M35" s="112">
        <f>EOD_Credit_CW!N19</f>
        <v>32</v>
      </c>
      <c r="N35" s="113">
        <f>EOD_Credit_CW!O19</f>
        <v>4412.8999999999996</v>
      </c>
      <c r="O35" s="112">
        <f>EOD_Credit_CW!P19</f>
        <v>30</v>
      </c>
      <c r="P35" s="113">
        <f>EOD_Credit_CW!Q19</f>
        <v>4032.3</v>
      </c>
      <c r="Q35" s="112">
        <f>EOD_Credit_CW!R19</f>
        <v>35</v>
      </c>
      <c r="R35" s="113">
        <f>EOD_Credit_CW!S19</f>
        <v>5675.8</v>
      </c>
      <c r="S35" s="112">
        <f>EOD_Credit_CW!T19</f>
        <v>30</v>
      </c>
      <c r="T35" s="113">
        <f>EOD_Credit_CW!U19</f>
        <v>4420.6000000000004</v>
      </c>
      <c r="U35" s="112">
        <f>EOD_Credit_CW!V19</f>
        <v>30</v>
      </c>
      <c r="V35" s="113">
        <f>EOD_Credit_CW!W19</f>
        <v>4868.6000000000004</v>
      </c>
      <c r="W35" s="112">
        <f>EOD_Credit_CW!X19</f>
        <v>34</v>
      </c>
      <c r="X35" s="113">
        <f>EOD_Credit_CW!Y19</f>
        <v>4290.5</v>
      </c>
      <c r="Y35" s="112">
        <f>EOD_Credit_CW!Z19</f>
        <v>32</v>
      </c>
      <c r="Z35" s="113">
        <f>EOD_Credit_CW!AA19</f>
        <v>3672.4</v>
      </c>
      <c r="AA35" s="112">
        <f>EOD_Credit_CW!AB19</f>
        <v>30</v>
      </c>
      <c r="AB35" s="113">
        <f>EOD_Credit_CW!AC19</f>
        <v>5053.7</v>
      </c>
      <c r="AC35" s="112">
        <f>EOD_Credit_CW!AD19</f>
        <v>33</v>
      </c>
      <c r="AD35" s="113">
        <f>EOD_Credit_CW!AE19</f>
        <v>5759.3</v>
      </c>
      <c r="AE35" s="112">
        <f>EOD_Credit_CW!AF19</f>
        <v>34</v>
      </c>
      <c r="AF35" s="113">
        <f>EOD_Credit_CW!AG19</f>
        <v>6810.2</v>
      </c>
      <c r="AG35" s="112">
        <f>EOD_Credit_CW!AH19</f>
        <v>34</v>
      </c>
      <c r="AH35" s="113">
        <f>EOD_Credit_CW!AI19</f>
        <v>4430.3</v>
      </c>
      <c r="AI35" s="112">
        <f>EOD_Credit_CW!AJ19</f>
        <v>37</v>
      </c>
      <c r="AJ35" s="113">
        <f>EOD_Credit_CW!AK19</f>
        <v>4599.6000000000004</v>
      </c>
      <c r="AK35" s="112">
        <f>EOD_Credit_CW!AL19</f>
        <v>38</v>
      </c>
      <c r="AL35" s="113">
        <f>EOD_Credit_CW!AM19</f>
        <v>6815.5</v>
      </c>
      <c r="AM35" s="112">
        <f>EOD_Credit_CW!AN19</f>
        <v>34</v>
      </c>
      <c r="AN35" s="113">
        <f>EOD_Credit_CW!AO19</f>
        <v>4635.3999999999996</v>
      </c>
      <c r="AO35" s="112">
        <f>EOD_Credit_CW!AP19</f>
        <v>0</v>
      </c>
      <c r="AP35" s="113">
        <f>EOD_Credit_CW!AQ19</f>
        <v>0</v>
      </c>
      <c r="AQ35" s="112">
        <f>EOD_Credit_CW!AR19</f>
        <v>42</v>
      </c>
      <c r="AR35" s="113">
        <f>EOD_Credit_CW!AS19</f>
        <v>5541.7</v>
      </c>
      <c r="AS35" s="112">
        <f>EOD_Credit_CW!AT19</f>
        <v>31</v>
      </c>
      <c r="AT35" s="113">
        <f>EOD_Credit_CW!AU19</f>
        <v>3562.8</v>
      </c>
      <c r="AU35" s="112">
        <f>EOD_Credit_CW!AV19</f>
        <v>35</v>
      </c>
      <c r="AV35" s="113">
        <f>EOD_Credit_CW!AW19</f>
        <v>4128.6000000000004</v>
      </c>
      <c r="AW35" s="112">
        <f>EOD_Credit_CW!AX19</f>
        <v>39</v>
      </c>
      <c r="AX35" s="113">
        <f>EOD_Credit_CW!AY19</f>
        <v>4974.5</v>
      </c>
      <c r="AY35" s="112">
        <f>EOD_Credit_CW!AZ19</f>
        <v>35</v>
      </c>
      <c r="AZ35" s="113">
        <f>EOD_Credit_CW!BA19</f>
        <v>5302</v>
      </c>
      <c r="BA35" s="112">
        <f>EOD_Credit_CW!BB19</f>
        <v>35</v>
      </c>
      <c r="BB35" s="113">
        <f>EOD_Credit_CW!BC19</f>
        <v>5514.1</v>
      </c>
      <c r="BC35" s="112">
        <f>EOD_Credit_CW!BD19</f>
        <v>30</v>
      </c>
      <c r="BD35" s="113">
        <f>EOD_Credit_CW!BE19</f>
        <v>4274</v>
      </c>
      <c r="BE35" s="112">
        <f>EOD_Credit_CW!BF19</f>
        <v>36</v>
      </c>
      <c r="BF35" s="113">
        <f>EOD_Credit_CW!BG19</f>
        <v>4384</v>
      </c>
      <c r="BG35" s="112">
        <f>EOD_Credit_CW!BH19</f>
        <v>29</v>
      </c>
      <c r="BH35" s="113">
        <f>EOD_Credit_CW!BI19</f>
        <v>3407</v>
      </c>
      <c r="BI35" s="112">
        <f>EOD_Credit_CW!BJ19</f>
        <v>35</v>
      </c>
      <c r="BJ35" s="113">
        <f>EOD_Credit_CW!BK19</f>
        <v>4473.1000000000004</v>
      </c>
      <c r="BK35" s="112">
        <f>EOD_Credit_CW!BL19</f>
        <v>34</v>
      </c>
      <c r="BL35" s="113">
        <f>EOD_Credit_CW!BM19</f>
        <v>5325.2</v>
      </c>
      <c r="BM35" s="114" cm="1">
        <f t="array" ref="BM35">SUMPRODUCT((MOD(COLUMN(C35:BL35)-COLUMN(C35),2)=0)*C35:BL35)</f>
        <v>1010</v>
      </c>
      <c r="BN35" s="113" cm="1">
        <f t="array" ref="BN35">SUMPRODUCT((MOD(COLUMN(D35:BM35)-COLUMN(D35),2)=0)*D35:BM35)</f>
        <v>145884.10000000003</v>
      </c>
      <c r="CA35" s="83"/>
      <c r="CB35" s="83"/>
      <c r="CC35" s="83"/>
      <c r="CD35" s="83"/>
      <c r="CE35" s="83"/>
      <c r="CF35" s="83"/>
      <c r="CG35" s="83"/>
      <c r="CH35" s="83"/>
      <c r="CI35" s="83"/>
      <c r="CJ35" s="83"/>
      <c r="CK35" s="83"/>
      <c r="CL35" s="83"/>
      <c r="CM35" s="83"/>
      <c r="CN35" s="83"/>
      <c r="CO35" s="83"/>
      <c r="CP35" s="83"/>
    </row>
    <row r="36" spans="1:94" x14ac:dyDescent="0.25">
      <c r="A36" s="79" t="s">
        <v>30</v>
      </c>
      <c r="B36" s="98" t="s">
        <v>29</v>
      </c>
      <c r="C36" s="112">
        <f>EOD_Credit_CW!D20</f>
        <v>29</v>
      </c>
      <c r="D36" s="113">
        <f>EOD_Credit_CW!E20</f>
        <v>3994.5</v>
      </c>
      <c r="E36" s="112">
        <f>EOD_Credit_CW!F20</f>
        <v>25</v>
      </c>
      <c r="F36" s="113">
        <f>EOD_Credit_CW!G20</f>
        <v>4777.1000000000004</v>
      </c>
      <c r="G36" s="112">
        <f>EOD_Credit_CW!H20</f>
        <v>22</v>
      </c>
      <c r="H36" s="113">
        <f>EOD_Credit_CW!I20</f>
        <v>3540.8</v>
      </c>
      <c r="I36" s="112">
        <f>EOD_Credit_CW!J20</f>
        <v>29</v>
      </c>
      <c r="J36" s="113">
        <f>EOD_Credit_CW!K20</f>
        <v>4243.2</v>
      </c>
      <c r="K36" s="112">
        <f>EOD_Credit_CW!L20</f>
        <v>44</v>
      </c>
      <c r="L36" s="113">
        <f>EOD_Credit_CW!M20</f>
        <v>13025.2</v>
      </c>
      <c r="M36" s="112">
        <f>EOD_Credit_CW!N20</f>
        <v>35</v>
      </c>
      <c r="N36" s="113">
        <f>EOD_Credit_CW!O20</f>
        <v>9735.2000000000007</v>
      </c>
      <c r="O36" s="112">
        <f>EOD_Credit_CW!P20</f>
        <v>27</v>
      </c>
      <c r="P36" s="113">
        <f>EOD_Credit_CW!Q20</f>
        <v>3140.3</v>
      </c>
      <c r="Q36" s="112">
        <f>EOD_Credit_CW!R20</f>
        <v>26</v>
      </c>
      <c r="R36" s="113">
        <f>EOD_Credit_CW!S20</f>
        <v>3115.9</v>
      </c>
      <c r="S36" s="112">
        <f>EOD_Credit_CW!T20</f>
        <v>32</v>
      </c>
      <c r="T36" s="113">
        <f>EOD_Credit_CW!U20</f>
        <v>4173.2</v>
      </c>
      <c r="U36" s="112">
        <f>EOD_Credit_CW!V20</f>
        <v>32</v>
      </c>
      <c r="V36" s="113">
        <f>EOD_Credit_CW!W20</f>
        <v>4914.8</v>
      </c>
      <c r="W36" s="112">
        <f>EOD_Credit_CW!X20</f>
        <v>31</v>
      </c>
      <c r="X36" s="113">
        <f>EOD_Credit_CW!Y20</f>
        <v>6490</v>
      </c>
      <c r="Y36" s="112">
        <f>EOD_Credit_CW!Z20</f>
        <v>30</v>
      </c>
      <c r="Z36" s="113">
        <f>EOD_Credit_CW!AA20</f>
        <v>7297.5</v>
      </c>
      <c r="AA36" s="112">
        <f>EOD_Credit_CW!AB20</f>
        <v>35</v>
      </c>
      <c r="AB36" s="113">
        <f>EOD_Credit_CW!AC20</f>
        <v>11752.6</v>
      </c>
      <c r="AC36" s="112">
        <f>EOD_Credit_CW!AD20</f>
        <v>25</v>
      </c>
      <c r="AD36" s="113">
        <f>EOD_Credit_CW!AE20</f>
        <v>4122.1000000000004</v>
      </c>
      <c r="AE36" s="112">
        <f>EOD_Credit_CW!AF20</f>
        <v>27</v>
      </c>
      <c r="AF36" s="113">
        <f>EOD_Credit_CW!AG20</f>
        <v>3229.1</v>
      </c>
      <c r="AG36" s="112">
        <f>EOD_Credit_CW!AH20</f>
        <v>25</v>
      </c>
      <c r="AH36" s="113">
        <f>EOD_Credit_CW!AI20</f>
        <v>2744.9</v>
      </c>
      <c r="AI36" s="112">
        <f>EOD_Credit_CW!AJ20</f>
        <v>31</v>
      </c>
      <c r="AJ36" s="113">
        <f>EOD_Credit_CW!AK20</f>
        <v>8158.6</v>
      </c>
      <c r="AK36" s="112">
        <f>EOD_Credit_CW!AL20</f>
        <v>25</v>
      </c>
      <c r="AL36" s="113">
        <f>EOD_Credit_CW!AM20</f>
        <v>5476.2</v>
      </c>
      <c r="AM36" s="112">
        <f>EOD_Credit_CW!AN20</f>
        <v>29</v>
      </c>
      <c r="AN36" s="113">
        <f>EOD_Credit_CW!AO20</f>
        <v>8262.2000000000007</v>
      </c>
      <c r="AO36" s="112">
        <f>EOD_Credit_CW!AP20</f>
        <v>0</v>
      </c>
      <c r="AP36" s="113">
        <f>EOD_Credit_CW!AQ20</f>
        <v>0</v>
      </c>
      <c r="AQ36" s="112">
        <f>EOD_Credit_CW!AR20</f>
        <v>27</v>
      </c>
      <c r="AR36" s="113">
        <f>EOD_Credit_CW!AS20</f>
        <v>4313.5</v>
      </c>
      <c r="AS36" s="112">
        <f>EOD_Credit_CW!AT20</f>
        <v>24</v>
      </c>
      <c r="AT36" s="113">
        <f>EOD_Credit_CW!AU20</f>
        <v>2852.4</v>
      </c>
      <c r="AU36" s="112">
        <f>EOD_Credit_CW!AV20</f>
        <v>22</v>
      </c>
      <c r="AV36" s="113">
        <f>EOD_Credit_CW!AW20</f>
        <v>2638.9</v>
      </c>
      <c r="AW36" s="112">
        <f>EOD_Credit_CW!AX20</f>
        <v>30</v>
      </c>
      <c r="AX36" s="113">
        <f>EOD_Credit_CW!AY20</f>
        <v>4652.7</v>
      </c>
      <c r="AY36" s="112">
        <f>EOD_Credit_CW!AZ20</f>
        <v>24</v>
      </c>
      <c r="AZ36" s="113">
        <f>EOD_Credit_CW!BA20</f>
        <v>4244.6000000000004</v>
      </c>
      <c r="BA36" s="112">
        <f>EOD_Credit_CW!BB20</f>
        <v>39</v>
      </c>
      <c r="BB36" s="113">
        <f>EOD_Credit_CW!BC20</f>
        <v>12478.7</v>
      </c>
      <c r="BC36" s="112">
        <f>EOD_Credit_CW!BD20</f>
        <v>27</v>
      </c>
      <c r="BD36" s="113">
        <f>EOD_Credit_CW!BE20</f>
        <v>5816.5</v>
      </c>
      <c r="BE36" s="112">
        <f>EOD_Credit_CW!BF20</f>
        <v>25</v>
      </c>
      <c r="BF36" s="113">
        <f>EOD_Credit_CW!BG20</f>
        <v>3877.9</v>
      </c>
      <c r="BG36" s="112">
        <f>EOD_Credit_CW!BH20</f>
        <v>28</v>
      </c>
      <c r="BH36" s="113">
        <f>EOD_Credit_CW!BI20</f>
        <v>4145.3</v>
      </c>
      <c r="BI36" s="112">
        <f>EOD_Credit_CW!BJ20</f>
        <v>24</v>
      </c>
      <c r="BJ36" s="113">
        <f>EOD_Credit_CW!BK20</f>
        <v>3059.2</v>
      </c>
      <c r="BK36" s="112">
        <f>EOD_Credit_CW!BL20</f>
        <v>25</v>
      </c>
      <c r="BL36" s="113">
        <f>EOD_Credit_CW!BM20</f>
        <v>3605.2</v>
      </c>
      <c r="BM36" s="114" cm="1">
        <f t="array" ref="BM36">SUMPRODUCT((MOD(COLUMN(C36:BL36)-COLUMN(C36),2)=0)*C36:BL36)</f>
        <v>854</v>
      </c>
      <c r="BN36" s="113" cm="1">
        <f t="array" ref="BN36">SUMPRODUCT((MOD(COLUMN(D36:BM36)-COLUMN(D36),2)=0)*D36:BM36)</f>
        <v>163878.30000000002</v>
      </c>
      <c r="CA36" s="83"/>
      <c r="CB36" s="83"/>
      <c r="CC36" s="83"/>
      <c r="CD36" s="83"/>
      <c r="CE36" s="83"/>
      <c r="CF36" s="83"/>
      <c r="CG36" s="83"/>
      <c r="CH36" s="83"/>
      <c r="CI36" s="83"/>
      <c r="CJ36" s="83"/>
      <c r="CK36" s="83"/>
      <c r="CL36" s="83"/>
      <c r="CM36" s="83"/>
      <c r="CN36" s="83"/>
      <c r="CO36" s="83"/>
      <c r="CP36" s="83"/>
    </row>
    <row r="37" spans="1:94" x14ac:dyDescent="0.25">
      <c r="A37" s="79" t="s">
        <v>31</v>
      </c>
      <c r="B37" s="98" t="s">
        <v>29</v>
      </c>
      <c r="C37" s="112">
        <f>EOD_Credit_CW!D27</f>
        <v>1</v>
      </c>
      <c r="D37" s="113">
        <f>EOD_Credit_CW!E27</f>
        <v>135.19999999999999</v>
      </c>
      <c r="E37" s="112">
        <f>EOD_Credit_CW!F27</f>
        <v>4</v>
      </c>
      <c r="F37" s="113">
        <f>EOD_Credit_CW!G27</f>
        <v>1240.3</v>
      </c>
      <c r="G37" s="112">
        <f>EOD_Credit_CW!H27</f>
        <v>2</v>
      </c>
      <c r="H37" s="113">
        <f>EOD_Credit_CW!I27</f>
        <v>236.1</v>
      </c>
      <c r="I37" s="112">
        <f>EOD_Credit_CW!J27</f>
        <v>3</v>
      </c>
      <c r="J37" s="113">
        <f>EOD_Credit_CW!K27</f>
        <v>1805.9</v>
      </c>
      <c r="K37" s="112">
        <f>EOD_Credit_CW!L27</f>
        <v>3</v>
      </c>
      <c r="L37" s="113">
        <f>EOD_Credit_CW!M27</f>
        <v>378.8</v>
      </c>
      <c r="M37" s="112">
        <f>EOD_Credit_CW!N27</f>
        <v>4</v>
      </c>
      <c r="N37" s="113">
        <f>EOD_Credit_CW!O27</f>
        <v>502.1</v>
      </c>
      <c r="O37" s="112">
        <f>EOD_Credit_CW!P27</f>
        <v>3</v>
      </c>
      <c r="P37" s="113">
        <f>EOD_Credit_CW!Q27</f>
        <v>417.9</v>
      </c>
      <c r="Q37" s="112">
        <f>EOD_Credit_CW!R27</f>
        <v>3</v>
      </c>
      <c r="R37" s="113">
        <f>EOD_Credit_CW!S27</f>
        <v>271.89999999999998</v>
      </c>
      <c r="S37" s="112">
        <f>EOD_Credit_CW!T27</f>
        <v>7</v>
      </c>
      <c r="T37" s="113">
        <f>EOD_Credit_CW!U27</f>
        <v>2626.6</v>
      </c>
      <c r="U37" s="112">
        <f>EOD_Credit_CW!V27</f>
        <v>3</v>
      </c>
      <c r="V37" s="113">
        <f>EOD_Credit_CW!W27</f>
        <v>354.5</v>
      </c>
      <c r="W37" s="112">
        <f>EOD_Credit_CW!X27</f>
        <v>2</v>
      </c>
      <c r="X37" s="113">
        <f>EOD_Credit_CW!Y27</f>
        <v>238.3</v>
      </c>
      <c r="Y37" s="112">
        <f>EOD_Credit_CW!Z27</f>
        <v>4</v>
      </c>
      <c r="Z37" s="113">
        <f>EOD_Credit_CW!AA27</f>
        <v>435.9</v>
      </c>
      <c r="AA37" s="112">
        <f>EOD_Credit_CW!AB27</f>
        <v>2</v>
      </c>
      <c r="AB37" s="113">
        <f>EOD_Credit_CW!AC27</f>
        <v>200.1</v>
      </c>
      <c r="AC37" s="112">
        <f>EOD_Credit_CW!AD27</f>
        <v>1</v>
      </c>
      <c r="AD37" s="113">
        <f>EOD_Credit_CW!AE27</f>
        <v>125</v>
      </c>
      <c r="AE37" s="112">
        <f>EOD_Credit_CW!AF27</f>
        <v>4</v>
      </c>
      <c r="AF37" s="113">
        <f>EOD_Credit_CW!AG27</f>
        <v>349.3</v>
      </c>
      <c r="AG37" s="112">
        <f>EOD_Credit_CW!AH27</f>
        <v>2</v>
      </c>
      <c r="AH37" s="113">
        <f>EOD_Credit_CW!AI27</f>
        <v>264.60000000000002</v>
      </c>
      <c r="AI37" s="112">
        <f>EOD_Credit_CW!AJ27</f>
        <v>3</v>
      </c>
      <c r="AJ37" s="113">
        <f>EOD_Credit_CW!AK27</f>
        <v>629.20000000000005</v>
      </c>
      <c r="AK37" s="112">
        <f>EOD_Credit_CW!AL27</f>
        <v>1</v>
      </c>
      <c r="AL37" s="113">
        <f>EOD_Credit_CW!AM27</f>
        <v>120.2</v>
      </c>
      <c r="AM37" s="112">
        <f>EOD_Credit_CW!AN27</f>
        <v>1</v>
      </c>
      <c r="AN37" s="113">
        <f>EOD_Credit_CW!AO27</f>
        <v>101.5</v>
      </c>
      <c r="AO37" s="112">
        <f>EOD_Credit_CW!AP27</f>
        <v>1</v>
      </c>
      <c r="AP37" s="113">
        <f>EOD_Credit_CW!AQ27</f>
        <v>196.6</v>
      </c>
      <c r="AQ37" s="112">
        <f>EOD_Credit_CW!AR27</f>
        <v>4</v>
      </c>
      <c r="AR37" s="113">
        <f>EOD_Credit_CW!AS27</f>
        <v>889</v>
      </c>
      <c r="AS37" s="112">
        <f>EOD_Credit_CW!AT27</f>
        <v>3</v>
      </c>
      <c r="AT37" s="113">
        <f>EOD_Credit_CW!AU27</f>
        <v>345.2</v>
      </c>
      <c r="AU37" s="112">
        <f>EOD_Credit_CW!AV27</f>
        <v>5</v>
      </c>
      <c r="AV37" s="113">
        <f>EOD_Credit_CW!AW27</f>
        <v>593</v>
      </c>
      <c r="AW37" s="112">
        <f>EOD_Credit_CW!AX27</f>
        <v>2</v>
      </c>
      <c r="AX37" s="113">
        <f>EOD_Credit_CW!AY27</f>
        <v>248</v>
      </c>
      <c r="AY37" s="112">
        <f>EOD_Credit_CW!AZ27</f>
        <v>3</v>
      </c>
      <c r="AZ37" s="113">
        <f>EOD_Credit_CW!BA27</f>
        <v>277.60000000000002</v>
      </c>
      <c r="BA37" s="112">
        <f>EOD_Credit_CW!BB27</f>
        <v>4</v>
      </c>
      <c r="BB37" s="113">
        <f>EOD_Credit_CW!BC27</f>
        <v>938.2</v>
      </c>
      <c r="BC37" s="112">
        <f>EOD_Credit_CW!BD27</f>
        <v>3</v>
      </c>
      <c r="BD37" s="113">
        <f>EOD_Credit_CW!BE27</f>
        <v>313.2</v>
      </c>
      <c r="BE37" s="112">
        <f>EOD_Credit_CW!BF27</f>
        <v>4</v>
      </c>
      <c r="BF37" s="113">
        <f>EOD_Credit_CW!BG27</f>
        <v>393.5</v>
      </c>
      <c r="BG37" s="112">
        <f>EOD_Credit_CW!BH27</f>
        <v>3</v>
      </c>
      <c r="BH37" s="113">
        <f>EOD_Credit_CW!BI27</f>
        <v>202.8</v>
      </c>
      <c r="BI37" s="112">
        <f>EOD_Credit_CW!BJ27</f>
        <v>6</v>
      </c>
      <c r="BJ37" s="113">
        <f>EOD_Credit_CW!BK27</f>
        <v>1472</v>
      </c>
      <c r="BK37" s="112">
        <f>EOD_Credit_CW!BL27</f>
        <v>3</v>
      </c>
      <c r="BL37" s="113">
        <f>EOD_Credit_CW!BM27</f>
        <v>273.5</v>
      </c>
      <c r="BM37" s="114" cm="1">
        <f t="array" ref="BM37">SUMPRODUCT((MOD(COLUMN(C37:BL37)-COLUMN(C37),2)=0)*C37:BL37)</f>
        <v>94</v>
      </c>
      <c r="BN37" s="113" cm="1">
        <f t="array" ref="BN37">SUMPRODUCT((MOD(COLUMN(D37:BM37)-COLUMN(D37),2)=0)*D37:BM37)</f>
        <v>16576</v>
      </c>
      <c r="CA37" s="83"/>
      <c r="CB37" s="83"/>
      <c r="CC37" s="83"/>
      <c r="CD37" s="83"/>
      <c r="CE37" s="83"/>
      <c r="CF37" s="83"/>
      <c r="CG37" s="83"/>
      <c r="CH37" s="83"/>
      <c r="CI37" s="83"/>
      <c r="CJ37" s="83"/>
      <c r="CK37" s="83"/>
      <c r="CL37" s="83"/>
      <c r="CM37" s="83"/>
      <c r="CN37" s="83"/>
      <c r="CO37" s="83"/>
      <c r="CP37" s="83"/>
    </row>
    <row r="38" spans="1:94" x14ac:dyDescent="0.25">
      <c r="A38" s="79" t="s">
        <v>32</v>
      </c>
      <c r="B38" s="98" t="s">
        <v>29</v>
      </c>
      <c r="C38" s="112">
        <f>EOD_Credit_CW!D33</f>
        <v>2</v>
      </c>
      <c r="D38" s="113">
        <f>EOD_Credit_CW!E33</f>
        <v>207.6</v>
      </c>
      <c r="E38" s="112">
        <f>EOD_Credit_CW!F33</f>
        <v>0</v>
      </c>
      <c r="F38" s="113">
        <f>EOD_Credit_CW!G33</f>
        <v>0</v>
      </c>
      <c r="G38" s="112">
        <f>EOD_Credit_CW!H33</f>
        <v>4</v>
      </c>
      <c r="H38" s="113">
        <f>EOD_Credit_CW!I33</f>
        <v>550.1</v>
      </c>
      <c r="I38" s="112">
        <f>EOD_Credit_CW!J33</f>
        <v>5</v>
      </c>
      <c r="J38" s="113">
        <f>EOD_Credit_CW!K33</f>
        <v>653.1</v>
      </c>
      <c r="K38" s="112">
        <f>EOD_Credit_CW!L33</f>
        <v>5</v>
      </c>
      <c r="L38" s="113">
        <f>EOD_Credit_CW!M33</f>
        <v>719.3</v>
      </c>
      <c r="M38" s="112">
        <f>EOD_Credit_CW!N33</f>
        <v>4</v>
      </c>
      <c r="N38" s="113">
        <f>EOD_Credit_CW!O33</f>
        <v>504.9</v>
      </c>
      <c r="O38" s="112">
        <f>EOD_Credit_CW!P33</f>
        <v>4</v>
      </c>
      <c r="P38" s="113">
        <f>EOD_Credit_CW!Q33</f>
        <v>549.9</v>
      </c>
      <c r="Q38" s="112">
        <f>EOD_Credit_CW!R33</f>
        <v>3</v>
      </c>
      <c r="R38" s="113">
        <f>EOD_Credit_CW!S33</f>
        <v>336.5</v>
      </c>
      <c r="S38" s="112">
        <f>EOD_Credit_CW!T33</f>
        <v>3</v>
      </c>
      <c r="T38" s="113">
        <f>EOD_Credit_CW!U33</f>
        <v>384.4</v>
      </c>
      <c r="U38" s="112">
        <f>EOD_Credit_CW!V33</f>
        <v>5</v>
      </c>
      <c r="V38" s="113">
        <f>EOD_Credit_CW!W33</f>
        <v>606.29999999999995</v>
      </c>
      <c r="W38" s="112">
        <f>EOD_Credit_CW!X33</f>
        <v>4</v>
      </c>
      <c r="X38" s="113">
        <f>EOD_Credit_CW!Y33</f>
        <v>555.4</v>
      </c>
      <c r="Y38" s="112">
        <f>EOD_Credit_CW!Z33</f>
        <v>3</v>
      </c>
      <c r="Z38" s="113">
        <f>EOD_Credit_CW!AA33</f>
        <v>496.9</v>
      </c>
      <c r="AA38" s="112">
        <f>EOD_Credit_CW!AB33</f>
        <v>2</v>
      </c>
      <c r="AB38" s="113">
        <f>EOD_Credit_CW!AC33</f>
        <v>261.3</v>
      </c>
      <c r="AC38" s="112">
        <f>EOD_Credit_CW!AD33</f>
        <v>2</v>
      </c>
      <c r="AD38" s="113">
        <f>EOD_Credit_CW!AE33</f>
        <v>231.2</v>
      </c>
      <c r="AE38" s="112">
        <f>EOD_Credit_CW!AF33</f>
        <v>4</v>
      </c>
      <c r="AF38" s="113">
        <f>EOD_Credit_CW!AG33</f>
        <v>624.79999999999995</v>
      </c>
      <c r="AG38" s="112">
        <f>EOD_Credit_CW!AH33</f>
        <v>3</v>
      </c>
      <c r="AH38" s="113">
        <f>EOD_Credit_CW!AI33</f>
        <v>372.3</v>
      </c>
      <c r="AI38" s="112">
        <f>EOD_Credit_CW!AJ33</f>
        <v>4</v>
      </c>
      <c r="AJ38" s="113">
        <f>EOD_Credit_CW!AK33</f>
        <v>554.9</v>
      </c>
      <c r="AK38" s="112">
        <f>EOD_Credit_CW!AL33</f>
        <v>5</v>
      </c>
      <c r="AL38" s="113">
        <f>EOD_Credit_CW!AM33</f>
        <v>705.2</v>
      </c>
      <c r="AM38" s="112">
        <f>EOD_Credit_CW!AN33</f>
        <v>1</v>
      </c>
      <c r="AN38" s="113">
        <f>EOD_Credit_CW!AO33</f>
        <v>140</v>
      </c>
      <c r="AO38" s="112">
        <f>EOD_Credit_CW!AP33</f>
        <v>2</v>
      </c>
      <c r="AP38" s="113">
        <f>EOD_Credit_CW!AQ33</f>
        <v>186.2</v>
      </c>
      <c r="AQ38" s="112">
        <f>EOD_Credit_CW!AR33</f>
        <v>3</v>
      </c>
      <c r="AR38" s="113">
        <f>EOD_Credit_CW!AS33</f>
        <v>393.1</v>
      </c>
      <c r="AS38" s="112">
        <f>EOD_Credit_CW!AT33</f>
        <v>3</v>
      </c>
      <c r="AT38" s="113">
        <f>EOD_Credit_CW!AU33</f>
        <v>505.8</v>
      </c>
      <c r="AU38" s="112">
        <f>EOD_Credit_CW!AV33</f>
        <v>3</v>
      </c>
      <c r="AV38" s="113">
        <f>EOD_Credit_CW!AW33</f>
        <v>353.6</v>
      </c>
      <c r="AW38" s="112">
        <f>EOD_Credit_CW!AX33</f>
        <v>0</v>
      </c>
      <c r="AX38" s="113">
        <f>EOD_Credit_CW!AY33</f>
        <v>0</v>
      </c>
      <c r="AY38" s="112">
        <f>EOD_Credit_CW!AZ33</f>
        <v>4</v>
      </c>
      <c r="AZ38" s="113">
        <f>EOD_Credit_CW!BA33</f>
        <v>406.3</v>
      </c>
      <c r="BA38" s="112">
        <f>EOD_Credit_CW!BB33</f>
        <v>4</v>
      </c>
      <c r="BB38" s="113">
        <f>EOD_Credit_CW!BC33</f>
        <v>571.9</v>
      </c>
      <c r="BC38" s="112">
        <f>EOD_Credit_CW!BD33</f>
        <v>5</v>
      </c>
      <c r="BD38" s="113">
        <f>EOD_Credit_CW!BE33</f>
        <v>558.6</v>
      </c>
      <c r="BE38" s="112">
        <f>EOD_Credit_CW!BF33</f>
        <v>3</v>
      </c>
      <c r="BF38" s="113">
        <f>EOD_Credit_CW!BG33</f>
        <v>441.9</v>
      </c>
      <c r="BG38" s="112">
        <f>EOD_Credit_CW!BH33</f>
        <v>3</v>
      </c>
      <c r="BH38" s="113">
        <f>EOD_Credit_CW!BI33</f>
        <v>355</v>
      </c>
      <c r="BI38" s="112">
        <f>EOD_Credit_CW!BJ33</f>
        <v>3</v>
      </c>
      <c r="BJ38" s="113">
        <f>EOD_Credit_CW!BK33</f>
        <v>337.5</v>
      </c>
      <c r="BK38" s="112">
        <f>EOD_Credit_CW!BL33</f>
        <v>7</v>
      </c>
      <c r="BL38" s="113">
        <f>EOD_Credit_CW!BM33</f>
        <v>853.9</v>
      </c>
      <c r="BM38" s="114" cm="1">
        <f t="array" ref="BM38">SUMPRODUCT((MOD(COLUMN(C38:BL38)-COLUMN(C38),2)=0)*C38:BL38)</f>
        <v>103</v>
      </c>
      <c r="BN38" s="113" cm="1">
        <f t="array" ref="BN38">SUMPRODUCT((MOD(COLUMN(D38:BM38)-COLUMN(D38),2)=0)*D38:BM38)</f>
        <v>13417.9</v>
      </c>
      <c r="CA38" s="83"/>
      <c r="CB38" s="83"/>
      <c r="CC38" s="83"/>
      <c r="CD38" s="83"/>
      <c r="CE38" s="83"/>
      <c r="CF38" s="83"/>
      <c r="CG38" s="83"/>
      <c r="CH38" s="83"/>
      <c r="CI38" s="83"/>
      <c r="CJ38" s="83"/>
      <c r="CK38" s="83"/>
      <c r="CL38" s="83"/>
      <c r="CM38" s="83"/>
      <c r="CN38" s="83"/>
      <c r="CO38" s="83"/>
      <c r="CP38" s="83"/>
    </row>
    <row r="39" spans="1:94" x14ac:dyDescent="0.25">
      <c r="A39" s="100" t="s">
        <v>33</v>
      </c>
      <c r="B39" s="101"/>
      <c r="C39" s="115">
        <f t="shared" ref="C39:BL39" si="7">SUM(C35:C38)</f>
        <v>63</v>
      </c>
      <c r="D39" s="116">
        <f t="shared" si="7"/>
        <v>9635.2000000000007</v>
      </c>
      <c r="E39" s="115">
        <f t="shared" si="7"/>
        <v>62</v>
      </c>
      <c r="F39" s="116">
        <f t="shared" si="7"/>
        <v>11699.599999999999</v>
      </c>
      <c r="G39" s="115">
        <f t="shared" si="7"/>
        <v>65</v>
      </c>
      <c r="H39" s="116">
        <f t="shared" si="7"/>
        <v>8866</v>
      </c>
      <c r="I39" s="115">
        <f t="shared" si="7"/>
        <v>74</v>
      </c>
      <c r="J39" s="116">
        <f t="shared" si="7"/>
        <v>11728.5</v>
      </c>
      <c r="K39" s="115">
        <f t="shared" si="7"/>
        <v>80</v>
      </c>
      <c r="L39" s="116">
        <f t="shared" si="7"/>
        <v>19097.900000000001</v>
      </c>
      <c r="M39" s="115">
        <f t="shared" si="7"/>
        <v>75</v>
      </c>
      <c r="N39" s="116">
        <f t="shared" si="7"/>
        <v>15155.1</v>
      </c>
      <c r="O39" s="115">
        <f t="shared" si="7"/>
        <v>64</v>
      </c>
      <c r="P39" s="116">
        <f t="shared" si="7"/>
        <v>8140.4</v>
      </c>
      <c r="Q39" s="115">
        <f t="shared" si="7"/>
        <v>67</v>
      </c>
      <c r="R39" s="116">
        <f t="shared" si="7"/>
        <v>9400.1</v>
      </c>
      <c r="S39" s="115">
        <f t="shared" si="7"/>
        <v>72</v>
      </c>
      <c r="T39" s="116">
        <f t="shared" si="7"/>
        <v>11604.8</v>
      </c>
      <c r="U39" s="115">
        <f t="shared" si="7"/>
        <v>70</v>
      </c>
      <c r="V39" s="116">
        <f t="shared" si="7"/>
        <v>10744.2</v>
      </c>
      <c r="W39" s="115">
        <f t="shared" si="7"/>
        <v>71</v>
      </c>
      <c r="X39" s="116">
        <f t="shared" si="7"/>
        <v>11574.199999999999</v>
      </c>
      <c r="Y39" s="115">
        <f t="shared" si="7"/>
        <v>69</v>
      </c>
      <c r="Z39" s="116">
        <f t="shared" si="7"/>
        <v>11902.699999999999</v>
      </c>
      <c r="AA39" s="115">
        <f t="shared" si="7"/>
        <v>69</v>
      </c>
      <c r="AB39" s="116">
        <f t="shared" si="7"/>
        <v>17267.699999999997</v>
      </c>
      <c r="AC39" s="115">
        <f t="shared" si="7"/>
        <v>61</v>
      </c>
      <c r="AD39" s="116">
        <f t="shared" si="7"/>
        <v>10237.600000000002</v>
      </c>
      <c r="AE39" s="115">
        <f t="shared" si="7"/>
        <v>69</v>
      </c>
      <c r="AF39" s="116">
        <f t="shared" si="7"/>
        <v>11013.399999999998</v>
      </c>
      <c r="AG39" s="115">
        <f t="shared" si="7"/>
        <v>64</v>
      </c>
      <c r="AH39" s="116">
        <f t="shared" si="7"/>
        <v>7812.1000000000013</v>
      </c>
      <c r="AI39" s="115">
        <f t="shared" si="7"/>
        <v>75</v>
      </c>
      <c r="AJ39" s="116">
        <f t="shared" si="7"/>
        <v>13942.300000000001</v>
      </c>
      <c r="AK39" s="115">
        <f t="shared" si="7"/>
        <v>69</v>
      </c>
      <c r="AL39" s="116">
        <f t="shared" si="7"/>
        <v>13117.100000000002</v>
      </c>
      <c r="AM39" s="115">
        <f t="shared" si="7"/>
        <v>65</v>
      </c>
      <c r="AN39" s="116">
        <f t="shared" si="7"/>
        <v>13139.1</v>
      </c>
      <c r="AO39" s="115">
        <f t="shared" si="7"/>
        <v>3</v>
      </c>
      <c r="AP39" s="116">
        <f t="shared" si="7"/>
        <v>382.79999999999995</v>
      </c>
      <c r="AQ39" s="115">
        <f t="shared" si="7"/>
        <v>76</v>
      </c>
      <c r="AR39" s="116">
        <f t="shared" si="7"/>
        <v>11137.300000000001</v>
      </c>
      <c r="AS39" s="115">
        <f t="shared" si="7"/>
        <v>61</v>
      </c>
      <c r="AT39" s="116">
        <f t="shared" si="7"/>
        <v>7266.2000000000007</v>
      </c>
      <c r="AU39" s="115">
        <f t="shared" si="7"/>
        <v>65</v>
      </c>
      <c r="AV39" s="116">
        <f t="shared" si="7"/>
        <v>7714.1</v>
      </c>
      <c r="AW39" s="115">
        <f t="shared" si="7"/>
        <v>71</v>
      </c>
      <c r="AX39" s="116">
        <f t="shared" si="7"/>
        <v>9875.2000000000007</v>
      </c>
      <c r="AY39" s="115">
        <f t="shared" si="7"/>
        <v>66</v>
      </c>
      <c r="AZ39" s="116">
        <f t="shared" si="7"/>
        <v>10230.5</v>
      </c>
      <c r="BA39" s="115">
        <f t="shared" si="7"/>
        <v>82</v>
      </c>
      <c r="BB39" s="116">
        <f t="shared" si="7"/>
        <v>19502.900000000005</v>
      </c>
      <c r="BC39" s="115">
        <f t="shared" si="7"/>
        <v>65</v>
      </c>
      <c r="BD39" s="116">
        <f t="shared" si="7"/>
        <v>10962.300000000001</v>
      </c>
      <c r="BE39" s="115">
        <f t="shared" si="7"/>
        <v>68</v>
      </c>
      <c r="BF39" s="116">
        <f t="shared" si="7"/>
        <v>9097.2999999999993</v>
      </c>
      <c r="BG39" s="115">
        <f t="shared" si="7"/>
        <v>63</v>
      </c>
      <c r="BH39" s="116">
        <f t="shared" si="7"/>
        <v>8110.1</v>
      </c>
      <c r="BI39" s="115">
        <f t="shared" si="7"/>
        <v>68</v>
      </c>
      <c r="BJ39" s="116">
        <f t="shared" si="7"/>
        <v>9341.7999999999993</v>
      </c>
      <c r="BK39" s="115">
        <f t="shared" si="7"/>
        <v>69</v>
      </c>
      <c r="BL39" s="116">
        <f t="shared" si="7"/>
        <v>10057.799999999999</v>
      </c>
      <c r="BM39" s="117">
        <f t="shared" ref="BM39:BN39" si="8">SUM(BM35:BM38)</f>
        <v>2061</v>
      </c>
      <c r="BN39" s="116">
        <f t="shared" si="8"/>
        <v>339756.30000000005</v>
      </c>
      <c r="BO39" s="102"/>
      <c r="BP39" s="102"/>
      <c r="BQ39" s="102"/>
      <c r="BR39" s="102"/>
      <c r="BS39" s="102"/>
      <c r="BT39" s="102"/>
      <c r="BU39" s="102"/>
      <c r="BV39" s="102"/>
      <c r="BW39" s="102"/>
      <c r="BX39" s="102"/>
      <c r="CA39" s="83"/>
      <c r="CB39" s="83"/>
      <c r="CC39" s="83"/>
      <c r="CD39" s="83"/>
      <c r="CE39" s="83"/>
      <c r="CF39" s="83"/>
      <c r="CG39" s="83"/>
      <c r="CH39" s="83"/>
      <c r="CI39" s="83"/>
      <c r="CJ39" s="83"/>
      <c r="CK39" s="83"/>
      <c r="CL39" s="83"/>
      <c r="CM39" s="83"/>
      <c r="CN39" s="83"/>
      <c r="CO39" s="83"/>
      <c r="CP39" s="83"/>
    </row>
    <row r="40" spans="1:94" x14ac:dyDescent="0.25">
      <c r="C40" s="118"/>
      <c r="D40" s="119"/>
      <c r="E40" s="118"/>
      <c r="F40" s="119"/>
      <c r="G40" s="118"/>
      <c r="H40" s="119"/>
      <c r="I40" s="118"/>
      <c r="J40" s="119"/>
      <c r="K40" s="118"/>
      <c r="L40" s="119"/>
      <c r="M40" s="118"/>
      <c r="N40" s="119"/>
      <c r="O40" s="118"/>
      <c r="P40" s="119"/>
      <c r="Q40" s="118"/>
      <c r="R40" s="119"/>
      <c r="S40" s="118"/>
      <c r="T40" s="119"/>
      <c r="U40" s="118"/>
      <c r="V40" s="119"/>
      <c r="W40" s="118"/>
      <c r="X40" s="119"/>
      <c r="Y40" s="118"/>
      <c r="Z40" s="119"/>
      <c r="AA40" s="118"/>
      <c r="AB40" s="119"/>
      <c r="AC40" s="118"/>
      <c r="AD40" s="119"/>
      <c r="AE40" s="118"/>
      <c r="AF40" s="119"/>
      <c r="AG40" s="118"/>
      <c r="AH40" s="119"/>
      <c r="AI40" s="118"/>
      <c r="AJ40" s="119"/>
      <c r="AK40" s="118"/>
      <c r="AL40" s="119"/>
      <c r="AM40" s="118"/>
      <c r="AN40" s="119"/>
      <c r="AO40" s="118"/>
      <c r="AP40" s="119"/>
      <c r="AQ40" s="118"/>
      <c r="AR40" s="119"/>
      <c r="AS40" s="118"/>
      <c r="AT40" s="119"/>
      <c r="AU40" s="118"/>
      <c r="AV40" s="119"/>
      <c r="AW40" s="118"/>
      <c r="AX40" s="119"/>
      <c r="AY40" s="118"/>
      <c r="AZ40" s="119"/>
      <c r="BA40" s="118"/>
      <c r="BB40" s="119"/>
      <c r="BC40" s="118"/>
      <c r="BD40" s="119"/>
      <c r="BE40" s="118"/>
      <c r="BF40" s="119"/>
      <c r="BG40" s="118"/>
      <c r="BH40" s="119"/>
      <c r="BI40" s="118"/>
      <c r="BJ40" s="119"/>
      <c r="BK40" s="118"/>
      <c r="BL40" s="119"/>
      <c r="BM40" s="120"/>
      <c r="BN40" s="119"/>
      <c r="CA40" s="83"/>
      <c r="CB40" s="83"/>
      <c r="CC40" s="83"/>
      <c r="CD40" s="83"/>
      <c r="CE40" s="83"/>
      <c r="CF40" s="83"/>
      <c r="CG40" s="83"/>
      <c r="CH40" s="83"/>
      <c r="CI40" s="83"/>
      <c r="CJ40" s="83"/>
      <c r="CK40" s="83"/>
      <c r="CL40" s="83"/>
      <c r="CM40" s="83"/>
      <c r="CN40" s="83"/>
      <c r="CO40" s="83"/>
      <c r="CP40" s="83"/>
    </row>
    <row r="41" spans="1:94" x14ac:dyDescent="0.25">
      <c r="A41" s="92" t="s">
        <v>34</v>
      </c>
      <c r="B41" s="93"/>
      <c r="C41" s="121"/>
      <c r="D41" s="122"/>
      <c r="E41" s="121"/>
      <c r="F41" s="122"/>
      <c r="G41" s="121"/>
      <c r="H41" s="122"/>
      <c r="I41" s="121"/>
      <c r="J41" s="122"/>
      <c r="K41" s="121"/>
      <c r="L41" s="122"/>
      <c r="M41" s="121"/>
      <c r="N41" s="122"/>
      <c r="O41" s="121"/>
      <c r="P41" s="122"/>
      <c r="Q41" s="121"/>
      <c r="R41" s="122"/>
      <c r="S41" s="121"/>
      <c r="T41" s="122"/>
      <c r="U41" s="121"/>
      <c r="V41" s="122"/>
      <c r="W41" s="121"/>
      <c r="X41" s="122"/>
      <c r="Y41" s="121"/>
      <c r="Z41" s="122"/>
      <c r="AA41" s="121"/>
      <c r="AB41" s="122"/>
      <c r="AC41" s="121"/>
      <c r="AD41" s="122"/>
      <c r="AE41" s="121"/>
      <c r="AF41" s="122"/>
      <c r="AG41" s="121"/>
      <c r="AH41" s="122"/>
      <c r="AI41" s="121"/>
      <c r="AJ41" s="122"/>
      <c r="AK41" s="121"/>
      <c r="AL41" s="122"/>
      <c r="AM41" s="121"/>
      <c r="AN41" s="122"/>
      <c r="AO41" s="121"/>
      <c r="AP41" s="122"/>
      <c r="AQ41" s="121"/>
      <c r="AR41" s="122"/>
      <c r="AS41" s="121"/>
      <c r="AT41" s="122"/>
      <c r="AU41" s="121"/>
      <c r="AV41" s="122"/>
      <c r="AW41" s="121"/>
      <c r="AX41" s="122"/>
      <c r="AY41" s="121"/>
      <c r="AZ41" s="122"/>
      <c r="BA41" s="121"/>
      <c r="BB41" s="122"/>
      <c r="BC41" s="121"/>
      <c r="BD41" s="122"/>
      <c r="BE41" s="121"/>
      <c r="BF41" s="122"/>
      <c r="BG41" s="121"/>
      <c r="BH41" s="122"/>
      <c r="BI41" s="121"/>
      <c r="BJ41" s="122"/>
      <c r="BK41" s="121"/>
      <c r="BL41" s="122"/>
      <c r="BM41" s="123"/>
      <c r="BN41" s="122"/>
      <c r="CA41" s="83"/>
      <c r="CB41" s="83"/>
      <c r="CC41" s="83"/>
      <c r="CD41" s="83"/>
      <c r="CE41" s="83"/>
      <c r="CF41" s="83"/>
      <c r="CG41" s="83"/>
      <c r="CH41" s="83"/>
      <c r="CI41" s="83"/>
      <c r="CJ41" s="83"/>
      <c r="CK41" s="83"/>
      <c r="CL41" s="83"/>
      <c r="CM41" s="83"/>
      <c r="CN41" s="83"/>
      <c r="CO41" s="83"/>
      <c r="CP41" s="83"/>
    </row>
    <row r="42" spans="1:94" x14ac:dyDescent="0.25">
      <c r="A42" s="79" t="s">
        <v>35</v>
      </c>
      <c r="B42" s="98" t="s">
        <v>9</v>
      </c>
      <c r="C42" s="112">
        <f>EOD_Credit_CW!D32</f>
        <v>0</v>
      </c>
      <c r="D42" s="113">
        <f>EOD_Credit_CW!E32</f>
        <v>0</v>
      </c>
      <c r="E42" s="112">
        <f>EOD_Credit_CW!F32</f>
        <v>3</v>
      </c>
      <c r="F42" s="113">
        <f>EOD_Credit_CW!G32</f>
        <v>360.9</v>
      </c>
      <c r="G42" s="112">
        <f>EOD_Credit_CW!H32</f>
        <v>0</v>
      </c>
      <c r="H42" s="113">
        <f>EOD_Credit_CW!I32</f>
        <v>0</v>
      </c>
      <c r="I42" s="112">
        <f>EOD_Credit_CW!J32</f>
        <v>0</v>
      </c>
      <c r="J42" s="113">
        <f>EOD_Credit_CW!K32</f>
        <v>0</v>
      </c>
      <c r="K42" s="112">
        <f>EOD_Credit_CW!L32</f>
        <v>0</v>
      </c>
      <c r="L42" s="113">
        <f>EOD_Credit_CW!M32</f>
        <v>0</v>
      </c>
      <c r="M42" s="112">
        <f>EOD_Credit_CW!N32</f>
        <v>0</v>
      </c>
      <c r="N42" s="113">
        <f>EOD_Credit_CW!O32</f>
        <v>0</v>
      </c>
      <c r="O42" s="112">
        <f>EOD_Credit_CW!P32</f>
        <v>0</v>
      </c>
      <c r="P42" s="113">
        <f>EOD_Credit_CW!Q32</f>
        <v>0</v>
      </c>
      <c r="Q42" s="112">
        <f>EOD_Credit_CW!R32</f>
        <v>0</v>
      </c>
      <c r="R42" s="113">
        <f>EOD_Credit_CW!S32</f>
        <v>0</v>
      </c>
      <c r="S42" s="112">
        <f>EOD_Credit_CW!T32</f>
        <v>0</v>
      </c>
      <c r="T42" s="113">
        <f>EOD_Credit_CW!U32</f>
        <v>0</v>
      </c>
      <c r="U42" s="112">
        <f>EOD_Credit_CW!V32</f>
        <v>0</v>
      </c>
      <c r="V42" s="113">
        <f>EOD_Credit_CW!W32</f>
        <v>0</v>
      </c>
      <c r="W42" s="112">
        <f>EOD_Credit_CW!X32</f>
        <v>0</v>
      </c>
      <c r="X42" s="113">
        <f>EOD_Credit_CW!Y32</f>
        <v>0</v>
      </c>
      <c r="Y42" s="112">
        <f>EOD_Credit_CW!Z32</f>
        <v>0</v>
      </c>
      <c r="Z42" s="113">
        <f>EOD_Credit_CW!AA32</f>
        <v>0</v>
      </c>
      <c r="AA42" s="112">
        <f>EOD_Credit_CW!AB32</f>
        <v>1</v>
      </c>
      <c r="AB42" s="113">
        <f>EOD_Credit_CW!AC32</f>
        <v>500</v>
      </c>
      <c r="AC42" s="112">
        <f>EOD_Credit_CW!AD32</f>
        <v>0</v>
      </c>
      <c r="AD42" s="113">
        <f>EOD_Credit_CW!AE32</f>
        <v>0</v>
      </c>
      <c r="AE42" s="112">
        <f>EOD_Credit_CW!AF32</f>
        <v>0</v>
      </c>
      <c r="AF42" s="113">
        <f>EOD_Credit_CW!AG32</f>
        <v>0</v>
      </c>
      <c r="AG42" s="112">
        <f>EOD_Credit_CW!AH32</f>
        <v>0</v>
      </c>
      <c r="AH42" s="113">
        <f>EOD_Credit_CW!AI32</f>
        <v>0</v>
      </c>
      <c r="AI42" s="112">
        <f>EOD_Credit_CW!AJ32</f>
        <v>0</v>
      </c>
      <c r="AJ42" s="113">
        <f>EOD_Credit_CW!AK32</f>
        <v>0</v>
      </c>
      <c r="AK42" s="112">
        <f>EOD_Credit_CW!AL32</f>
        <v>0</v>
      </c>
      <c r="AL42" s="113">
        <f>EOD_Credit_CW!AM32</f>
        <v>0</v>
      </c>
      <c r="AM42" s="112">
        <f>EOD_Credit_CW!AN32</f>
        <v>0</v>
      </c>
      <c r="AN42" s="113">
        <f>EOD_Credit_CW!AO32</f>
        <v>0</v>
      </c>
      <c r="AO42" s="112">
        <f>EOD_Credit_CW!AP32</f>
        <v>0</v>
      </c>
      <c r="AP42" s="113">
        <f>EOD_Credit_CW!AQ32</f>
        <v>0</v>
      </c>
      <c r="AQ42" s="112">
        <f>EOD_Credit_CW!AR32</f>
        <v>0</v>
      </c>
      <c r="AR42" s="113">
        <f>EOD_Credit_CW!AS32</f>
        <v>0</v>
      </c>
      <c r="AS42" s="112">
        <f>EOD_Credit_CW!AT32</f>
        <v>0</v>
      </c>
      <c r="AT42" s="113">
        <f>EOD_Credit_CW!AU32</f>
        <v>0</v>
      </c>
      <c r="AU42" s="112">
        <f>EOD_Credit_CW!AV32</f>
        <v>0</v>
      </c>
      <c r="AV42" s="113">
        <f>EOD_Credit_CW!AW32</f>
        <v>0</v>
      </c>
      <c r="AW42" s="112">
        <f>EOD_Credit_CW!AX32</f>
        <v>4</v>
      </c>
      <c r="AX42" s="113">
        <f>EOD_Credit_CW!AY32</f>
        <v>528.6</v>
      </c>
      <c r="AY42" s="112">
        <f>EOD_Credit_CW!AZ32</f>
        <v>0</v>
      </c>
      <c r="AZ42" s="113">
        <f>EOD_Credit_CW!BA32</f>
        <v>0</v>
      </c>
      <c r="BA42" s="112">
        <f>EOD_Credit_CW!BB32</f>
        <v>0</v>
      </c>
      <c r="BB42" s="113">
        <f>EOD_Credit_CW!BC32</f>
        <v>0</v>
      </c>
      <c r="BC42" s="112">
        <f>EOD_Credit_CW!BD32</f>
        <v>0</v>
      </c>
      <c r="BD42" s="113">
        <f>EOD_Credit_CW!BE32</f>
        <v>0</v>
      </c>
      <c r="BE42" s="112">
        <f>EOD_Credit_CW!BF32</f>
        <v>0</v>
      </c>
      <c r="BF42" s="113">
        <f>EOD_Credit_CW!BG32</f>
        <v>0</v>
      </c>
      <c r="BG42" s="112">
        <f>EOD_Credit_CW!BH32</f>
        <v>0</v>
      </c>
      <c r="BH42" s="113">
        <f>EOD_Credit_CW!BI32</f>
        <v>0</v>
      </c>
      <c r="BI42" s="112">
        <f>EOD_Credit_CW!BJ32</f>
        <v>0</v>
      </c>
      <c r="BJ42" s="113">
        <f>EOD_Credit_CW!BK32</f>
        <v>0</v>
      </c>
      <c r="BK42" s="112">
        <f>EOD_Credit_CW!BL32</f>
        <v>0</v>
      </c>
      <c r="BL42" s="113">
        <f>EOD_Credit_CW!BM32</f>
        <v>0</v>
      </c>
      <c r="BM42" s="114" cm="1">
        <f t="array" ref="BM42">SUMPRODUCT((MOD(COLUMN(C42:BL42)-COLUMN(C42),2)=0)*C42:BL42)</f>
        <v>8</v>
      </c>
      <c r="BN42" s="113" cm="1">
        <f t="array" ref="BN42">SUMPRODUCT((MOD(COLUMN(D42:BM42)-COLUMN(D42),2)=0)*D42:BM42)</f>
        <v>1389.5</v>
      </c>
      <c r="CA42" s="83"/>
      <c r="CB42" s="83"/>
      <c r="CC42" s="83"/>
      <c r="CD42" s="83"/>
      <c r="CE42" s="83"/>
      <c r="CF42" s="83"/>
      <c r="CG42" s="83"/>
      <c r="CH42" s="83"/>
      <c r="CI42" s="83"/>
      <c r="CJ42" s="83"/>
      <c r="CK42" s="83"/>
      <c r="CL42" s="83"/>
      <c r="CM42" s="83"/>
      <c r="CN42" s="83"/>
      <c r="CO42" s="83"/>
      <c r="CP42" s="83"/>
    </row>
    <row r="43" spans="1:94" x14ac:dyDescent="0.25">
      <c r="A43" s="79" t="s">
        <v>34</v>
      </c>
      <c r="B43" s="98" t="s">
        <v>9</v>
      </c>
      <c r="C43" s="112">
        <f>EOD_Credit_CW!D31</f>
        <v>7</v>
      </c>
      <c r="D43" s="113">
        <f>EOD_Credit_CW!E31</f>
        <v>3361.7</v>
      </c>
      <c r="E43" s="112">
        <f>EOD_Credit_CW!F31</f>
        <v>6</v>
      </c>
      <c r="F43" s="113">
        <f>EOD_Credit_CW!G31</f>
        <v>4309</v>
      </c>
      <c r="G43" s="112">
        <f>EOD_Credit_CW!H31</f>
        <v>8</v>
      </c>
      <c r="H43" s="113">
        <f>EOD_Credit_CW!I31</f>
        <v>4127.6000000000004</v>
      </c>
      <c r="I43" s="112">
        <f>EOD_Credit_CW!J31</f>
        <v>8</v>
      </c>
      <c r="J43" s="113">
        <f>EOD_Credit_CW!K31</f>
        <v>5621.7</v>
      </c>
      <c r="K43" s="112">
        <f>EOD_Credit_CW!L31</f>
        <v>4</v>
      </c>
      <c r="L43" s="113">
        <f>EOD_Credit_CW!M31</f>
        <v>1783</v>
      </c>
      <c r="M43" s="112">
        <f>EOD_Credit_CW!N31</f>
        <v>6</v>
      </c>
      <c r="N43" s="113">
        <f>EOD_Credit_CW!O31</f>
        <v>2980</v>
      </c>
      <c r="O43" s="112">
        <f>EOD_Credit_CW!P31</f>
        <v>5</v>
      </c>
      <c r="P43" s="113">
        <f>EOD_Credit_CW!Q31</f>
        <v>2416.4</v>
      </c>
      <c r="Q43" s="112">
        <f>EOD_Credit_CW!R31</f>
        <v>4</v>
      </c>
      <c r="R43" s="113">
        <f>EOD_Credit_CW!S31</f>
        <v>2439.8000000000002</v>
      </c>
      <c r="S43" s="112">
        <f>EOD_Credit_CW!T31</f>
        <v>3</v>
      </c>
      <c r="T43" s="113">
        <f>EOD_Credit_CW!U31</f>
        <v>1051.3</v>
      </c>
      <c r="U43" s="112">
        <f>EOD_Credit_CW!V31</f>
        <v>6</v>
      </c>
      <c r="V43" s="113">
        <f>EOD_Credit_CW!W31</f>
        <v>2581.5</v>
      </c>
      <c r="W43" s="112">
        <f>EOD_Credit_CW!X31</f>
        <v>4</v>
      </c>
      <c r="X43" s="113">
        <f>EOD_Credit_CW!Y31</f>
        <v>1006.9</v>
      </c>
      <c r="Y43" s="112">
        <f>EOD_Credit_CW!Z31</f>
        <v>4</v>
      </c>
      <c r="Z43" s="113">
        <f>EOD_Credit_CW!AA31</f>
        <v>2561.9</v>
      </c>
      <c r="AA43" s="112">
        <f>EOD_Credit_CW!AB31</f>
        <v>6</v>
      </c>
      <c r="AB43" s="113">
        <f>EOD_Credit_CW!AC31</f>
        <v>2541.4</v>
      </c>
      <c r="AC43" s="112">
        <f>EOD_Credit_CW!AD31</f>
        <v>5</v>
      </c>
      <c r="AD43" s="113">
        <f>EOD_Credit_CW!AE31</f>
        <v>1859.9</v>
      </c>
      <c r="AE43" s="112">
        <f>EOD_Credit_CW!AF31</f>
        <v>4</v>
      </c>
      <c r="AF43" s="113">
        <f>EOD_Credit_CW!AG31</f>
        <v>2812.7</v>
      </c>
      <c r="AG43" s="112">
        <f>EOD_Credit_CW!AH31</f>
        <v>7</v>
      </c>
      <c r="AH43" s="113">
        <f>EOD_Credit_CW!AI31</f>
        <v>3327</v>
      </c>
      <c r="AI43" s="112">
        <f>EOD_Credit_CW!AJ31</f>
        <v>7</v>
      </c>
      <c r="AJ43" s="113">
        <f>EOD_Credit_CW!AK31</f>
        <v>3676.1</v>
      </c>
      <c r="AK43" s="112">
        <f>EOD_Credit_CW!AL31</f>
        <v>3</v>
      </c>
      <c r="AL43" s="113">
        <f>EOD_Credit_CW!AM31</f>
        <v>1577</v>
      </c>
      <c r="AM43" s="112">
        <f>EOD_Credit_CW!AN31</f>
        <v>10</v>
      </c>
      <c r="AN43" s="113">
        <f>EOD_Credit_CW!AO31</f>
        <v>6310.5</v>
      </c>
      <c r="AO43" s="112">
        <f>EOD_Credit_CW!AP31</f>
        <v>0</v>
      </c>
      <c r="AP43" s="113">
        <f>EOD_Credit_CW!AQ31</f>
        <v>0</v>
      </c>
      <c r="AQ43" s="112">
        <f>EOD_Credit_CW!AR31</f>
        <v>4</v>
      </c>
      <c r="AR43" s="113">
        <f>EOD_Credit_CW!AS31</f>
        <v>1968.1</v>
      </c>
      <c r="AS43" s="112">
        <f>EOD_Credit_CW!AT31</f>
        <v>1</v>
      </c>
      <c r="AT43" s="113">
        <f>EOD_Credit_CW!AU31</f>
        <v>612</v>
      </c>
      <c r="AU43" s="112">
        <f>EOD_Credit_CW!AV31</f>
        <v>4</v>
      </c>
      <c r="AV43" s="113">
        <f>EOD_Credit_CW!AW31</f>
        <v>2080</v>
      </c>
      <c r="AW43" s="112">
        <f>EOD_Credit_CW!AX31</f>
        <v>3</v>
      </c>
      <c r="AX43" s="113">
        <f>EOD_Credit_CW!AY31</f>
        <v>1745.7</v>
      </c>
      <c r="AY43" s="112">
        <f>EOD_Credit_CW!AZ31</f>
        <v>5</v>
      </c>
      <c r="AZ43" s="113">
        <f>EOD_Credit_CW!BA31</f>
        <v>3548.4</v>
      </c>
      <c r="BA43" s="112">
        <f>EOD_Credit_CW!BB31</f>
        <v>6</v>
      </c>
      <c r="BB43" s="113">
        <f>EOD_Credit_CW!BC31</f>
        <v>3445</v>
      </c>
      <c r="BC43" s="112">
        <f>EOD_Credit_CW!BD31</f>
        <v>6</v>
      </c>
      <c r="BD43" s="113">
        <f>EOD_Credit_CW!BE31</f>
        <v>3261.3</v>
      </c>
      <c r="BE43" s="112">
        <f>EOD_Credit_CW!BF31</f>
        <v>2</v>
      </c>
      <c r="BF43" s="113">
        <f>EOD_Credit_CW!BG31</f>
        <v>900</v>
      </c>
      <c r="BG43" s="112">
        <f>EOD_Credit_CW!BH31</f>
        <v>4</v>
      </c>
      <c r="BH43" s="113">
        <f>EOD_Credit_CW!BI31</f>
        <v>3150.8</v>
      </c>
      <c r="BI43" s="112">
        <f>EOD_Credit_CW!BJ31</f>
        <v>5</v>
      </c>
      <c r="BJ43" s="113">
        <f>EOD_Credit_CW!BK31</f>
        <v>1997.1</v>
      </c>
      <c r="BK43" s="112">
        <f>EOD_Credit_CW!BL31</f>
        <v>7</v>
      </c>
      <c r="BL43" s="113">
        <f>EOD_Credit_CW!BM31</f>
        <v>4196.6000000000004</v>
      </c>
      <c r="BM43" s="114" cm="1">
        <f t="array" ref="BM43">SUMPRODUCT((MOD(COLUMN(C43:BL43)-COLUMN(C43),2)=0)*C43:BL43)</f>
        <v>154</v>
      </c>
      <c r="BN43" s="113" cm="1">
        <f t="array" ref="BN43">SUMPRODUCT((MOD(COLUMN(D43:BM43)-COLUMN(D43),2)=0)*D43:BM43)</f>
        <v>83250.400000000009</v>
      </c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</row>
    <row r="44" spans="1:94" x14ac:dyDescent="0.25">
      <c r="A44" s="100" t="s">
        <v>36</v>
      </c>
      <c r="B44" s="101"/>
      <c r="C44" s="115">
        <f t="shared" ref="C44:BL44" si="9">SUM(C42:C43)</f>
        <v>7</v>
      </c>
      <c r="D44" s="116">
        <f t="shared" si="9"/>
        <v>3361.7</v>
      </c>
      <c r="E44" s="115">
        <f t="shared" si="9"/>
        <v>9</v>
      </c>
      <c r="F44" s="116">
        <f t="shared" si="9"/>
        <v>4669.8999999999996</v>
      </c>
      <c r="G44" s="115">
        <f t="shared" si="9"/>
        <v>8</v>
      </c>
      <c r="H44" s="116">
        <f t="shared" si="9"/>
        <v>4127.6000000000004</v>
      </c>
      <c r="I44" s="115">
        <f t="shared" si="9"/>
        <v>8</v>
      </c>
      <c r="J44" s="116">
        <f t="shared" si="9"/>
        <v>5621.7</v>
      </c>
      <c r="K44" s="115">
        <f t="shared" si="9"/>
        <v>4</v>
      </c>
      <c r="L44" s="116">
        <f t="shared" si="9"/>
        <v>1783</v>
      </c>
      <c r="M44" s="115">
        <f t="shared" si="9"/>
        <v>6</v>
      </c>
      <c r="N44" s="116">
        <f t="shared" si="9"/>
        <v>2980</v>
      </c>
      <c r="O44" s="115">
        <f t="shared" si="9"/>
        <v>5</v>
      </c>
      <c r="P44" s="116">
        <f t="shared" si="9"/>
        <v>2416.4</v>
      </c>
      <c r="Q44" s="115">
        <f t="shared" si="9"/>
        <v>4</v>
      </c>
      <c r="R44" s="116">
        <f t="shared" si="9"/>
        <v>2439.8000000000002</v>
      </c>
      <c r="S44" s="115">
        <f t="shared" si="9"/>
        <v>3</v>
      </c>
      <c r="T44" s="116">
        <f t="shared" si="9"/>
        <v>1051.3</v>
      </c>
      <c r="U44" s="115">
        <f t="shared" si="9"/>
        <v>6</v>
      </c>
      <c r="V44" s="116">
        <f t="shared" si="9"/>
        <v>2581.5</v>
      </c>
      <c r="W44" s="115">
        <f t="shared" si="9"/>
        <v>4</v>
      </c>
      <c r="X44" s="116">
        <f t="shared" si="9"/>
        <v>1006.9</v>
      </c>
      <c r="Y44" s="115">
        <f t="shared" si="9"/>
        <v>4</v>
      </c>
      <c r="Z44" s="116">
        <f t="shared" si="9"/>
        <v>2561.9</v>
      </c>
      <c r="AA44" s="115">
        <f t="shared" si="9"/>
        <v>7</v>
      </c>
      <c r="AB44" s="116">
        <f t="shared" si="9"/>
        <v>3041.4</v>
      </c>
      <c r="AC44" s="115">
        <f t="shared" si="9"/>
        <v>5</v>
      </c>
      <c r="AD44" s="116">
        <f t="shared" si="9"/>
        <v>1859.9</v>
      </c>
      <c r="AE44" s="115">
        <f t="shared" si="9"/>
        <v>4</v>
      </c>
      <c r="AF44" s="116">
        <f t="shared" si="9"/>
        <v>2812.7</v>
      </c>
      <c r="AG44" s="115">
        <f t="shared" si="9"/>
        <v>7</v>
      </c>
      <c r="AH44" s="116">
        <f t="shared" si="9"/>
        <v>3327</v>
      </c>
      <c r="AI44" s="115">
        <f t="shared" si="9"/>
        <v>7</v>
      </c>
      <c r="AJ44" s="116">
        <f t="shared" si="9"/>
        <v>3676.1</v>
      </c>
      <c r="AK44" s="115">
        <f t="shared" si="9"/>
        <v>3</v>
      </c>
      <c r="AL44" s="116">
        <f t="shared" si="9"/>
        <v>1577</v>
      </c>
      <c r="AM44" s="115">
        <f t="shared" si="9"/>
        <v>10</v>
      </c>
      <c r="AN44" s="116">
        <f t="shared" si="9"/>
        <v>6310.5</v>
      </c>
      <c r="AO44" s="115">
        <f t="shared" si="9"/>
        <v>0</v>
      </c>
      <c r="AP44" s="116">
        <f t="shared" si="9"/>
        <v>0</v>
      </c>
      <c r="AQ44" s="115">
        <f t="shared" si="9"/>
        <v>4</v>
      </c>
      <c r="AR44" s="116">
        <f t="shared" si="9"/>
        <v>1968.1</v>
      </c>
      <c r="AS44" s="115">
        <f t="shared" si="9"/>
        <v>1</v>
      </c>
      <c r="AT44" s="116">
        <f t="shared" si="9"/>
        <v>612</v>
      </c>
      <c r="AU44" s="115">
        <f t="shared" si="9"/>
        <v>4</v>
      </c>
      <c r="AV44" s="116">
        <f t="shared" si="9"/>
        <v>2080</v>
      </c>
      <c r="AW44" s="115">
        <f t="shared" si="9"/>
        <v>7</v>
      </c>
      <c r="AX44" s="116">
        <f t="shared" si="9"/>
        <v>2274.3000000000002</v>
      </c>
      <c r="AY44" s="115">
        <f t="shared" si="9"/>
        <v>5</v>
      </c>
      <c r="AZ44" s="116">
        <f t="shared" si="9"/>
        <v>3548.4</v>
      </c>
      <c r="BA44" s="115">
        <f t="shared" si="9"/>
        <v>6</v>
      </c>
      <c r="BB44" s="116">
        <f t="shared" si="9"/>
        <v>3445</v>
      </c>
      <c r="BC44" s="115">
        <f t="shared" si="9"/>
        <v>6</v>
      </c>
      <c r="BD44" s="116">
        <f t="shared" si="9"/>
        <v>3261.3</v>
      </c>
      <c r="BE44" s="115">
        <f t="shared" si="9"/>
        <v>2</v>
      </c>
      <c r="BF44" s="116">
        <f t="shared" si="9"/>
        <v>900</v>
      </c>
      <c r="BG44" s="115">
        <f t="shared" si="9"/>
        <v>4</v>
      </c>
      <c r="BH44" s="116">
        <f t="shared" si="9"/>
        <v>3150.8</v>
      </c>
      <c r="BI44" s="115">
        <f t="shared" si="9"/>
        <v>5</v>
      </c>
      <c r="BJ44" s="116">
        <f t="shared" si="9"/>
        <v>1997.1</v>
      </c>
      <c r="BK44" s="115">
        <f t="shared" si="9"/>
        <v>7</v>
      </c>
      <c r="BL44" s="116">
        <f t="shared" si="9"/>
        <v>4196.6000000000004</v>
      </c>
      <c r="BM44" s="117">
        <f t="shared" ref="BM44:BN44" si="10">SUM(BM42:BM43)</f>
        <v>162</v>
      </c>
      <c r="BN44" s="116">
        <f t="shared" si="10"/>
        <v>84639.900000000009</v>
      </c>
      <c r="BO44" s="102"/>
      <c r="BP44" s="102"/>
      <c r="BQ44" s="102"/>
      <c r="BR44" s="102"/>
      <c r="BS44" s="102"/>
      <c r="BT44" s="102"/>
      <c r="BU44" s="102"/>
      <c r="BV44" s="102"/>
      <c r="BW44" s="102"/>
      <c r="BX44" s="102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</row>
    <row r="45" spans="1:94" x14ac:dyDescent="0.25">
      <c r="C45" s="118"/>
      <c r="D45" s="119"/>
      <c r="E45" s="118"/>
      <c r="F45" s="119"/>
      <c r="G45" s="118"/>
      <c r="H45" s="119"/>
      <c r="I45" s="118"/>
      <c r="J45" s="119"/>
      <c r="K45" s="118"/>
      <c r="L45" s="119"/>
      <c r="M45" s="118"/>
      <c r="N45" s="119"/>
      <c r="O45" s="118"/>
      <c r="P45" s="119"/>
      <c r="Q45" s="118"/>
      <c r="R45" s="119"/>
      <c r="S45" s="118"/>
      <c r="T45" s="119"/>
      <c r="U45" s="118"/>
      <c r="V45" s="119"/>
      <c r="W45" s="118"/>
      <c r="X45" s="119"/>
      <c r="Y45" s="118"/>
      <c r="Z45" s="119"/>
      <c r="AA45" s="118"/>
      <c r="AB45" s="119"/>
      <c r="AC45" s="118"/>
      <c r="AD45" s="119"/>
      <c r="AE45" s="118"/>
      <c r="AF45" s="119"/>
      <c r="AG45" s="118"/>
      <c r="AH45" s="119"/>
      <c r="AI45" s="118"/>
      <c r="AJ45" s="119"/>
      <c r="AK45" s="118"/>
      <c r="AL45" s="119"/>
      <c r="AM45" s="118"/>
      <c r="AN45" s="119"/>
      <c r="AO45" s="118"/>
      <c r="AP45" s="119"/>
      <c r="AQ45" s="118"/>
      <c r="AR45" s="119"/>
      <c r="AS45" s="118"/>
      <c r="AT45" s="119"/>
      <c r="AU45" s="118"/>
      <c r="AV45" s="119"/>
      <c r="AW45" s="118"/>
      <c r="AX45" s="119"/>
      <c r="AY45" s="118"/>
      <c r="AZ45" s="119"/>
      <c r="BA45" s="118"/>
      <c r="BB45" s="119"/>
      <c r="BC45" s="118"/>
      <c r="BD45" s="119"/>
      <c r="BE45" s="118"/>
      <c r="BF45" s="119"/>
      <c r="BG45" s="118"/>
      <c r="BH45" s="119"/>
      <c r="BI45" s="118"/>
      <c r="BJ45" s="119"/>
      <c r="BK45" s="118"/>
      <c r="BL45" s="119"/>
      <c r="BM45" s="120"/>
      <c r="BN45" s="119"/>
      <c r="CA45" s="83"/>
      <c r="CB45" s="83"/>
      <c r="CC45" s="83"/>
      <c r="CD45" s="83"/>
      <c r="CE45" s="83"/>
      <c r="CF45" s="83"/>
      <c r="CG45" s="83"/>
      <c r="CH45" s="83"/>
      <c r="CI45" s="83"/>
      <c r="CJ45" s="83"/>
      <c r="CK45" s="83"/>
      <c r="CL45" s="83"/>
      <c r="CM45" s="83"/>
      <c r="CN45" s="83"/>
      <c r="CO45" s="83"/>
      <c r="CP45" s="83"/>
    </row>
    <row r="46" spans="1:94" x14ac:dyDescent="0.25">
      <c r="A46" s="92" t="s">
        <v>37</v>
      </c>
      <c r="B46" s="93"/>
      <c r="C46" s="121"/>
      <c r="D46" s="122"/>
      <c r="E46" s="121"/>
      <c r="F46" s="122"/>
      <c r="G46" s="121"/>
      <c r="H46" s="122"/>
      <c r="I46" s="121"/>
      <c r="J46" s="122"/>
      <c r="K46" s="121"/>
      <c r="L46" s="122"/>
      <c r="M46" s="121"/>
      <c r="N46" s="122"/>
      <c r="O46" s="121"/>
      <c r="P46" s="122"/>
      <c r="Q46" s="121"/>
      <c r="R46" s="122"/>
      <c r="S46" s="121"/>
      <c r="T46" s="122"/>
      <c r="U46" s="121"/>
      <c r="V46" s="122"/>
      <c r="W46" s="121"/>
      <c r="X46" s="122"/>
      <c r="Y46" s="121"/>
      <c r="Z46" s="122"/>
      <c r="AA46" s="121"/>
      <c r="AB46" s="122"/>
      <c r="AC46" s="121"/>
      <c r="AD46" s="122"/>
      <c r="AE46" s="121"/>
      <c r="AF46" s="122"/>
      <c r="AG46" s="121"/>
      <c r="AH46" s="122"/>
      <c r="AI46" s="121"/>
      <c r="AJ46" s="122"/>
      <c r="AK46" s="121"/>
      <c r="AL46" s="122"/>
      <c r="AM46" s="121"/>
      <c r="AN46" s="122"/>
      <c r="AO46" s="121"/>
      <c r="AP46" s="122"/>
      <c r="AQ46" s="121"/>
      <c r="AR46" s="122"/>
      <c r="AS46" s="121"/>
      <c r="AT46" s="122"/>
      <c r="AU46" s="121"/>
      <c r="AV46" s="122"/>
      <c r="AW46" s="121"/>
      <c r="AX46" s="122"/>
      <c r="AY46" s="121"/>
      <c r="AZ46" s="122"/>
      <c r="BA46" s="121"/>
      <c r="BB46" s="122"/>
      <c r="BC46" s="121"/>
      <c r="BD46" s="122"/>
      <c r="BE46" s="121"/>
      <c r="BF46" s="122"/>
      <c r="BG46" s="121"/>
      <c r="BH46" s="122"/>
      <c r="BI46" s="121"/>
      <c r="BJ46" s="122"/>
      <c r="BK46" s="121"/>
      <c r="BL46" s="122"/>
      <c r="BM46" s="123"/>
      <c r="BN46" s="122"/>
      <c r="CA46" s="83"/>
      <c r="CB46" s="83"/>
      <c r="CC46" s="83"/>
      <c r="CD46" s="83"/>
      <c r="CE46" s="83"/>
      <c r="CF46" s="83"/>
      <c r="CG46" s="83"/>
      <c r="CH46" s="83"/>
      <c r="CI46" s="83"/>
      <c r="CJ46" s="83"/>
      <c r="CK46" s="83"/>
      <c r="CL46" s="83"/>
      <c r="CM46" s="83"/>
      <c r="CN46" s="83"/>
      <c r="CO46" s="83"/>
      <c r="CP46" s="83"/>
    </row>
    <row r="47" spans="1:94" x14ac:dyDescent="0.25">
      <c r="A47" s="79" t="s">
        <v>38</v>
      </c>
      <c r="B47" s="98" t="s">
        <v>9</v>
      </c>
      <c r="C47" s="112">
        <f>EOD_Credit_CW!D37</f>
        <v>15</v>
      </c>
      <c r="D47" s="113">
        <f>EOD_Credit_CW!E37</f>
        <v>2101.8000000000002</v>
      </c>
      <c r="E47" s="112">
        <f>EOD_Credit_CW!F37</f>
        <v>24</v>
      </c>
      <c r="F47" s="113">
        <f>EOD_Credit_CW!G37</f>
        <v>2563.1999999999998</v>
      </c>
      <c r="G47" s="112">
        <f>EOD_Credit_CW!H37</f>
        <v>18</v>
      </c>
      <c r="H47" s="113">
        <f>EOD_Credit_CW!I37</f>
        <v>2717.3</v>
      </c>
      <c r="I47" s="112">
        <f>EOD_Credit_CW!J37</f>
        <v>18</v>
      </c>
      <c r="J47" s="113">
        <f>EOD_Credit_CW!K37</f>
        <v>2021.8</v>
      </c>
      <c r="K47" s="112">
        <f>EOD_Credit_CW!L37</f>
        <v>19</v>
      </c>
      <c r="L47" s="113">
        <f>EOD_Credit_CW!M37</f>
        <v>2080.1999999999998</v>
      </c>
      <c r="M47" s="112">
        <f>EOD_Credit_CW!N37</f>
        <v>18</v>
      </c>
      <c r="N47" s="113">
        <f>EOD_Credit_CW!O37</f>
        <v>2266.1999999999998</v>
      </c>
      <c r="O47" s="112">
        <f>EOD_Credit_CW!P37</f>
        <v>22</v>
      </c>
      <c r="P47" s="113">
        <f>EOD_Credit_CW!Q37</f>
        <v>2421</v>
      </c>
      <c r="Q47" s="112">
        <f>EOD_Credit_CW!R37</f>
        <v>17</v>
      </c>
      <c r="R47" s="113">
        <f>EOD_Credit_CW!S37</f>
        <v>1396.6</v>
      </c>
      <c r="S47" s="112">
        <f>EOD_Credit_CW!T37</f>
        <v>19</v>
      </c>
      <c r="T47" s="113">
        <f>EOD_Credit_CW!U37</f>
        <v>2355.4</v>
      </c>
      <c r="U47" s="112">
        <f>EOD_Credit_CW!V37</f>
        <v>16</v>
      </c>
      <c r="V47" s="113">
        <f>EOD_Credit_CW!W37</f>
        <v>2148</v>
      </c>
      <c r="W47" s="112">
        <f>EOD_Credit_CW!X37</f>
        <v>22</v>
      </c>
      <c r="X47" s="113">
        <f>EOD_Credit_CW!Y37</f>
        <v>2933.3</v>
      </c>
      <c r="Y47" s="112">
        <f>EOD_Credit_CW!Z37</f>
        <v>18</v>
      </c>
      <c r="Z47" s="113">
        <f>EOD_Credit_CW!AA37</f>
        <v>1782.2</v>
      </c>
      <c r="AA47" s="112">
        <f>EOD_Credit_CW!AB37</f>
        <v>18</v>
      </c>
      <c r="AB47" s="113">
        <f>EOD_Credit_CW!AC37</f>
        <v>3368.8</v>
      </c>
      <c r="AC47" s="112">
        <f>EOD_Credit_CW!AD37</f>
        <v>17</v>
      </c>
      <c r="AD47" s="113">
        <f>EOD_Credit_CW!AE37</f>
        <v>2445.1999999999998</v>
      </c>
      <c r="AE47" s="112">
        <f>EOD_Credit_CW!AF37</f>
        <v>20</v>
      </c>
      <c r="AF47" s="113">
        <f>EOD_Credit_CW!AG37</f>
        <v>2354.1</v>
      </c>
      <c r="AG47" s="112">
        <f>EOD_Credit_CW!AH37</f>
        <v>22</v>
      </c>
      <c r="AH47" s="113">
        <f>EOD_Credit_CW!AI37</f>
        <v>1564.5</v>
      </c>
      <c r="AI47" s="112">
        <f>EOD_Credit_CW!AJ37</f>
        <v>27</v>
      </c>
      <c r="AJ47" s="113">
        <f>EOD_Credit_CW!AK37</f>
        <v>3661.9</v>
      </c>
      <c r="AK47" s="112">
        <f>EOD_Credit_CW!AL37</f>
        <v>19</v>
      </c>
      <c r="AL47" s="113">
        <f>EOD_Credit_CW!AM37</f>
        <v>1584.9</v>
      </c>
      <c r="AM47" s="112">
        <f>EOD_Credit_CW!AN37</f>
        <v>13</v>
      </c>
      <c r="AN47" s="113">
        <f>EOD_Credit_CW!AO37</f>
        <v>1869.3</v>
      </c>
      <c r="AO47" s="112">
        <f>EOD_Credit_CW!AP37</f>
        <v>2</v>
      </c>
      <c r="AP47" s="113">
        <f>EOD_Credit_CW!AQ37</f>
        <v>258</v>
      </c>
      <c r="AQ47" s="112">
        <f>EOD_Credit_CW!AR37</f>
        <v>15</v>
      </c>
      <c r="AR47" s="113">
        <f>EOD_Credit_CW!AS37</f>
        <v>1563.8</v>
      </c>
      <c r="AS47" s="112">
        <f>EOD_Credit_CW!AT37</f>
        <v>12</v>
      </c>
      <c r="AT47" s="113">
        <f>EOD_Credit_CW!AU37</f>
        <v>1133.2</v>
      </c>
      <c r="AU47" s="112">
        <f>EOD_Credit_CW!AV37</f>
        <v>20</v>
      </c>
      <c r="AV47" s="113">
        <f>EOD_Credit_CW!AW37</f>
        <v>1766.4</v>
      </c>
      <c r="AW47" s="112">
        <f>EOD_Credit_CW!AX37</f>
        <v>21</v>
      </c>
      <c r="AX47" s="113">
        <f>EOD_Credit_CW!AY37</f>
        <v>2541.1999999999998</v>
      </c>
      <c r="AY47" s="112">
        <f>EOD_Credit_CW!AZ37</f>
        <v>21</v>
      </c>
      <c r="AZ47" s="113">
        <f>EOD_Credit_CW!BA37</f>
        <v>1627.3</v>
      </c>
      <c r="BA47" s="112">
        <f>EOD_Credit_CW!BB37</f>
        <v>14</v>
      </c>
      <c r="BB47" s="113">
        <f>EOD_Credit_CW!BC37</f>
        <v>1299</v>
      </c>
      <c r="BC47" s="112">
        <f>EOD_Credit_CW!BD37</f>
        <v>20</v>
      </c>
      <c r="BD47" s="113">
        <f>EOD_Credit_CW!BE37</f>
        <v>3053.1</v>
      </c>
      <c r="BE47" s="112">
        <f>EOD_Credit_CW!BF37</f>
        <v>19</v>
      </c>
      <c r="BF47" s="113">
        <f>EOD_Credit_CW!BG37</f>
        <v>1436.1</v>
      </c>
      <c r="BG47" s="112">
        <f>EOD_Credit_CW!BH37</f>
        <v>11</v>
      </c>
      <c r="BH47" s="113">
        <f>EOD_Credit_CW!BI37</f>
        <v>1586.5</v>
      </c>
      <c r="BI47" s="112">
        <f>EOD_Credit_CW!BJ37</f>
        <v>13</v>
      </c>
      <c r="BJ47" s="113">
        <f>EOD_Credit_CW!BK37</f>
        <v>891.1</v>
      </c>
      <c r="BK47" s="112">
        <f>EOD_Credit_CW!BL37</f>
        <v>23</v>
      </c>
      <c r="BL47" s="113">
        <f>EOD_Credit_CW!BM37</f>
        <v>2684.8</v>
      </c>
      <c r="BM47" s="114" cm="1">
        <f t="array" ref="BM47">SUMPRODUCT((MOD(COLUMN(C47:BL47)-COLUMN(C47),2)=0)*C47:BL47)</f>
        <v>553</v>
      </c>
      <c r="BN47" s="113" cm="1">
        <f t="array" ref="BN47">SUMPRODUCT((MOD(COLUMN(D47:BM47)-COLUMN(D47),2)=0)*D47:BM47)</f>
        <v>63476.200000000004</v>
      </c>
      <c r="CA47" s="83"/>
      <c r="CB47" s="83"/>
      <c r="CC47" s="83"/>
      <c r="CD47" s="83"/>
      <c r="CE47" s="83"/>
      <c r="CF47" s="83"/>
      <c r="CG47" s="83"/>
      <c r="CH47" s="83"/>
      <c r="CI47" s="83"/>
      <c r="CJ47" s="83"/>
      <c r="CK47" s="83"/>
      <c r="CL47" s="83"/>
      <c r="CM47" s="83"/>
      <c r="CN47" s="83"/>
      <c r="CO47" s="83"/>
      <c r="CP47" s="83"/>
    </row>
    <row r="48" spans="1:94" x14ac:dyDescent="0.25">
      <c r="A48" s="79" t="s">
        <v>39</v>
      </c>
      <c r="B48" s="98" t="s">
        <v>9</v>
      </c>
      <c r="C48" s="112">
        <f>EOD_Credit_CW!D38</f>
        <v>3</v>
      </c>
      <c r="D48" s="113">
        <f>EOD_Credit_CW!E38</f>
        <v>315</v>
      </c>
      <c r="E48" s="112">
        <f>EOD_Credit_CW!F38</f>
        <v>1</v>
      </c>
      <c r="F48" s="113">
        <f>EOD_Credit_CW!G38</f>
        <v>170.1</v>
      </c>
      <c r="G48" s="112">
        <f>EOD_Credit_CW!H38</f>
        <v>2</v>
      </c>
      <c r="H48" s="113">
        <f>EOD_Credit_CW!I38</f>
        <v>228.4</v>
      </c>
      <c r="I48" s="112">
        <f>EOD_Credit_CW!J38</f>
        <v>2</v>
      </c>
      <c r="J48" s="113">
        <f>EOD_Credit_CW!K38</f>
        <v>292.2</v>
      </c>
      <c r="K48" s="112">
        <f>EOD_Credit_CW!L38</f>
        <v>3</v>
      </c>
      <c r="L48" s="113">
        <f>EOD_Credit_CW!M38</f>
        <v>233.9</v>
      </c>
      <c r="M48" s="112">
        <f>EOD_Credit_CW!N38</f>
        <v>4</v>
      </c>
      <c r="N48" s="113">
        <f>EOD_Credit_CW!O38</f>
        <v>493.8</v>
      </c>
      <c r="O48" s="112">
        <f>EOD_Credit_CW!P38</f>
        <v>3</v>
      </c>
      <c r="P48" s="113">
        <f>EOD_Credit_CW!Q38</f>
        <v>315.3</v>
      </c>
      <c r="Q48" s="112">
        <f>EOD_Credit_CW!R38</f>
        <v>7</v>
      </c>
      <c r="R48" s="113">
        <f>EOD_Credit_CW!S38</f>
        <v>309.10000000000002</v>
      </c>
      <c r="S48" s="112">
        <f>EOD_Credit_CW!T38</f>
        <v>4</v>
      </c>
      <c r="T48" s="113">
        <f>EOD_Credit_CW!U38</f>
        <v>340.7</v>
      </c>
      <c r="U48" s="112">
        <f>EOD_Credit_CW!V38</f>
        <v>3</v>
      </c>
      <c r="V48" s="113">
        <f>EOD_Credit_CW!W38</f>
        <v>292.60000000000002</v>
      </c>
      <c r="W48" s="112">
        <f>EOD_Credit_CW!X38</f>
        <v>3</v>
      </c>
      <c r="X48" s="113">
        <f>EOD_Credit_CW!Y38</f>
        <v>431.2</v>
      </c>
      <c r="Y48" s="112">
        <f>EOD_Credit_CW!Z38</f>
        <v>3</v>
      </c>
      <c r="Z48" s="113">
        <f>EOD_Credit_CW!AA38</f>
        <v>287.10000000000002</v>
      </c>
      <c r="AA48" s="112">
        <f>EOD_Credit_CW!AB38</f>
        <v>2</v>
      </c>
      <c r="AB48" s="113">
        <f>EOD_Credit_CW!AC38</f>
        <v>171.1</v>
      </c>
      <c r="AC48" s="112">
        <f>EOD_Credit_CW!AD38</f>
        <v>5</v>
      </c>
      <c r="AD48" s="113">
        <f>EOD_Credit_CW!AE38</f>
        <v>273.39999999999998</v>
      </c>
      <c r="AE48" s="112">
        <f>EOD_Credit_CW!AF38</f>
        <v>4</v>
      </c>
      <c r="AF48" s="113">
        <f>EOD_Credit_CW!AG38</f>
        <v>472.9</v>
      </c>
      <c r="AG48" s="112">
        <f>EOD_Credit_CW!AH38</f>
        <v>2</v>
      </c>
      <c r="AH48" s="113">
        <f>EOD_Credit_CW!AI38</f>
        <v>243.4</v>
      </c>
      <c r="AI48" s="112">
        <f>EOD_Credit_CW!AJ38</f>
        <v>4</v>
      </c>
      <c r="AJ48" s="113">
        <f>EOD_Credit_CW!AK38</f>
        <v>175.6</v>
      </c>
      <c r="AK48" s="112">
        <f>EOD_Credit_CW!AL38</f>
        <v>1</v>
      </c>
      <c r="AL48" s="113">
        <f>EOD_Credit_CW!AM38</f>
        <v>148.1</v>
      </c>
      <c r="AM48" s="112">
        <f>EOD_Credit_CW!AN38</f>
        <v>1</v>
      </c>
      <c r="AN48" s="113">
        <f>EOD_Credit_CW!AO38</f>
        <v>95.6</v>
      </c>
      <c r="AO48" s="112">
        <f>EOD_Credit_CW!AP38</f>
        <v>0</v>
      </c>
      <c r="AP48" s="113">
        <f>EOD_Credit_CW!AQ38</f>
        <v>0</v>
      </c>
      <c r="AQ48" s="112">
        <f>EOD_Credit_CW!AR38</f>
        <v>1</v>
      </c>
      <c r="AR48" s="113">
        <f>EOD_Credit_CW!AS38</f>
        <v>131.69999999999999</v>
      </c>
      <c r="AS48" s="112">
        <f>EOD_Credit_CW!AT38</f>
        <v>1</v>
      </c>
      <c r="AT48" s="113">
        <f>EOD_Credit_CW!AU38</f>
        <v>155.1</v>
      </c>
      <c r="AU48" s="112">
        <f>EOD_Credit_CW!AV38</f>
        <v>2</v>
      </c>
      <c r="AV48" s="113">
        <f>EOD_Credit_CW!AW38</f>
        <v>95.7</v>
      </c>
      <c r="AW48" s="112">
        <f>EOD_Credit_CW!AX38</f>
        <v>2</v>
      </c>
      <c r="AX48" s="113">
        <f>EOD_Credit_CW!AY38</f>
        <v>221</v>
      </c>
      <c r="AY48" s="112">
        <f>EOD_Credit_CW!AZ38</f>
        <v>1</v>
      </c>
      <c r="AZ48" s="113">
        <f>EOD_Credit_CW!BA38</f>
        <v>10</v>
      </c>
      <c r="BA48" s="112">
        <f>EOD_Credit_CW!BB38</f>
        <v>1</v>
      </c>
      <c r="BB48" s="113">
        <f>EOD_Credit_CW!BC38</f>
        <v>59.2</v>
      </c>
      <c r="BC48" s="112">
        <f>EOD_Credit_CW!BD38</f>
        <v>2</v>
      </c>
      <c r="BD48" s="113">
        <f>EOD_Credit_CW!BE38</f>
        <v>161.69999999999999</v>
      </c>
      <c r="BE48" s="112">
        <f>EOD_Credit_CW!BF38</f>
        <v>1</v>
      </c>
      <c r="BF48" s="113">
        <f>EOD_Credit_CW!BG38</f>
        <v>84.9</v>
      </c>
      <c r="BG48" s="112">
        <f>EOD_Credit_CW!BH38</f>
        <v>3</v>
      </c>
      <c r="BH48" s="113">
        <f>EOD_Credit_CW!BI38</f>
        <v>921.8</v>
      </c>
      <c r="BI48" s="112">
        <f>EOD_Credit_CW!BJ38</f>
        <v>3</v>
      </c>
      <c r="BJ48" s="113">
        <f>EOD_Credit_CW!BK38</f>
        <v>744.4</v>
      </c>
      <c r="BK48" s="112">
        <f>EOD_Credit_CW!BL38</f>
        <v>3</v>
      </c>
      <c r="BL48" s="113">
        <f>EOD_Credit_CW!BM38</f>
        <v>324</v>
      </c>
      <c r="BM48" s="114" cm="1">
        <f t="array" ref="BM48">SUMPRODUCT((MOD(COLUMN(C48:BL48)-COLUMN(C48),2)=0)*C48:BL48)</f>
        <v>77</v>
      </c>
      <c r="BN48" s="113" cm="1">
        <f t="array" ref="BN48">SUMPRODUCT((MOD(COLUMN(D48:BM48)-COLUMN(D48),2)=0)*D48:BM48)</f>
        <v>8199</v>
      </c>
      <c r="CA48" s="83"/>
      <c r="CB48" s="83"/>
      <c r="CC48" s="83"/>
      <c r="CD48" s="83"/>
      <c r="CE48" s="83"/>
      <c r="CF48" s="83"/>
      <c r="CG48" s="83"/>
      <c r="CH48" s="83"/>
      <c r="CI48" s="83"/>
      <c r="CJ48" s="83"/>
      <c r="CK48" s="83"/>
      <c r="CL48" s="83"/>
      <c r="CM48" s="83"/>
      <c r="CN48" s="83"/>
      <c r="CO48" s="83"/>
      <c r="CP48" s="83"/>
    </row>
    <row r="49" spans="1:94" x14ac:dyDescent="0.25">
      <c r="A49" s="100" t="s">
        <v>40</v>
      </c>
      <c r="B49" s="104"/>
      <c r="C49" s="115">
        <f t="shared" ref="C49:BL49" si="11">SUM(C47:C48)</f>
        <v>18</v>
      </c>
      <c r="D49" s="116">
        <f t="shared" si="11"/>
        <v>2416.8000000000002</v>
      </c>
      <c r="E49" s="115">
        <f t="shared" si="11"/>
        <v>25</v>
      </c>
      <c r="F49" s="116">
        <f t="shared" si="11"/>
        <v>2733.2999999999997</v>
      </c>
      <c r="G49" s="115">
        <f t="shared" si="11"/>
        <v>20</v>
      </c>
      <c r="H49" s="116">
        <f t="shared" si="11"/>
        <v>2945.7000000000003</v>
      </c>
      <c r="I49" s="115">
        <f t="shared" si="11"/>
        <v>20</v>
      </c>
      <c r="J49" s="116">
        <f t="shared" si="11"/>
        <v>2314</v>
      </c>
      <c r="K49" s="115">
        <f t="shared" si="11"/>
        <v>22</v>
      </c>
      <c r="L49" s="116">
        <f t="shared" si="11"/>
        <v>2314.1</v>
      </c>
      <c r="M49" s="115">
        <f t="shared" si="11"/>
        <v>22</v>
      </c>
      <c r="N49" s="116">
        <f t="shared" si="11"/>
        <v>2760</v>
      </c>
      <c r="O49" s="115">
        <f t="shared" si="11"/>
        <v>25</v>
      </c>
      <c r="P49" s="116">
        <f t="shared" si="11"/>
        <v>2736.3</v>
      </c>
      <c r="Q49" s="115">
        <f t="shared" si="11"/>
        <v>24</v>
      </c>
      <c r="R49" s="116">
        <f t="shared" si="11"/>
        <v>1705.6999999999998</v>
      </c>
      <c r="S49" s="115">
        <f t="shared" si="11"/>
        <v>23</v>
      </c>
      <c r="T49" s="116">
        <f t="shared" si="11"/>
        <v>2696.1</v>
      </c>
      <c r="U49" s="115">
        <f t="shared" si="11"/>
        <v>19</v>
      </c>
      <c r="V49" s="116">
        <f t="shared" si="11"/>
        <v>2440.6</v>
      </c>
      <c r="W49" s="115">
        <f t="shared" si="11"/>
        <v>25</v>
      </c>
      <c r="X49" s="116">
        <f t="shared" si="11"/>
        <v>3364.5</v>
      </c>
      <c r="Y49" s="115">
        <f t="shared" si="11"/>
        <v>21</v>
      </c>
      <c r="Z49" s="116">
        <f t="shared" si="11"/>
        <v>2069.3000000000002</v>
      </c>
      <c r="AA49" s="115">
        <f t="shared" si="11"/>
        <v>20</v>
      </c>
      <c r="AB49" s="116">
        <f t="shared" si="11"/>
        <v>3539.9</v>
      </c>
      <c r="AC49" s="115">
        <f t="shared" si="11"/>
        <v>22</v>
      </c>
      <c r="AD49" s="116">
        <f t="shared" si="11"/>
        <v>2718.6</v>
      </c>
      <c r="AE49" s="115">
        <f t="shared" si="11"/>
        <v>24</v>
      </c>
      <c r="AF49" s="116">
        <f t="shared" si="11"/>
        <v>2827</v>
      </c>
      <c r="AG49" s="115">
        <f t="shared" si="11"/>
        <v>24</v>
      </c>
      <c r="AH49" s="116">
        <f t="shared" si="11"/>
        <v>1807.9</v>
      </c>
      <c r="AI49" s="115">
        <f t="shared" si="11"/>
        <v>31</v>
      </c>
      <c r="AJ49" s="116">
        <f t="shared" si="11"/>
        <v>3837.5</v>
      </c>
      <c r="AK49" s="115">
        <f t="shared" si="11"/>
        <v>20</v>
      </c>
      <c r="AL49" s="116">
        <f t="shared" si="11"/>
        <v>1733</v>
      </c>
      <c r="AM49" s="115">
        <f t="shared" si="11"/>
        <v>14</v>
      </c>
      <c r="AN49" s="116">
        <f t="shared" si="11"/>
        <v>1964.8999999999999</v>
      </c>
      <c r="AO49" s="115">
        <f t="shared" si="11"/>
        <v>2</v>
      </c>
      <c r="AP49" s="116">
        <f t="shared" si="11"/>
        <v>258</v>
      </c>
      <c r="AQ49" s="115">
        <f t="shared" si="11"/>
        <v>16</v>
      </c>
      <c r="AR49" s="116">
        <f t="shared" si="11"/>
        <v>1695.5</v>
      </c>
      <c r="AS49" s="115">
        <f t="shared" si="11"/>
        <v>13</v>
      </c>
      <c r="AT49" s="116">
        <f t="shared" si="11"/>
        <v>1288.3</v>
      </c>
      <c r="AU49" s="115">
        <f t="shared" si="11"/>
        <v>22</v>
      </c>
      <c r="AV49" s="116">
        <f t="shared" si="11"/>
        <v>1862.1000000000001</v>
      </c>
      <c r="AW49" s="115">
        <f t="shared" si="11"/>
        <v>23</v>
      </c>
      <c r="AX49" s="116">
        <f t="shared" si="11"/>
        <v>2762.2</v>
      </c>
      <c r="AY49" s="115">
        <f t="shared" si="11"/>
        <v>22</v>
      </c>
      <c r="AZ49" s="116">
        <f t="shared" si="11"/>
        <v>1637.3</v>
      </c>
      <c r="BA49" s="115">
        <f t="shared" si="11"/>
        <v>15</v>
      </c>
      <c r="BB49" s="116">
        <f t="shared" si="11"/>
        <v>1358.2</v>
      </c>
      <c r="BC49" s="115">
        <f t="shared" si="11"/>
        <v>22</v>
      </c>
      <c r="BD49" s="116">
        <f t="shared" si="11"/>
        <v>3214.7999999999997</v>
      </c>
      <c r="BE49" s="115">
        <f t="shared" si="11"/>
        <v>20</v>
      </c>
      <c r="BF49" s="116">
        <f t="shared" si="11"/>
        <v>1521</v>
      </c>
      <c r="BG49" s="115">
        <f t="shared" si="11"/>
        <v>14</v>
      </c>
      <c r="BH49" s="116">
        <f t="shared" si="11"/>
        <v>2508.3000000000002</v>
      </c>
      <c r="BI49" s="115">
        <f t="shared" si="11"/>
        <v>16</v>
      </c>
      <c r="BJ49" s="116">
        <f t="shared" si="11"/>
        <v>1635.5</v>
      </c>
      <c r="BK49" s="115">
        <f t="shared" si="11"/>
        <v>26</v>
      </c>
      <c r="BL49" s="116">
        <f t="shared" si="11"/>
        <v>3008.8</v>
      </c>
      <c r="BM49" s="117">
        <f t="shared" ref="BM49:BN49" si="12">SUM(BM47:BM48)</f>
        <v>630</v>
      </c>
      <c r="BN49" s="116">
        <f t="shared" si="12"/>
        <v>71675.200000000012</v>
      </c>
      <c r="CA49" s="83"/>
      <c r="CB49" s="83"/>
      <c r="CC49" s="83"/>
      <c r="CD49" s="83"/>
      <c r="CE49" s="83"/>
      <c r="CF49" s="83"/>
      <c r="CG49" s="83"/>
      <c r="CH49" s="83"/>
      <c r="CI49" s="83"/>
      <c r="CJ49" s="83"/>
      <c r="CK49" s="83"/>
      <c r="CL49" s="83"/>
      <c r="CM49" s="83"/>
      <c r="CN49" s="83"/>
      <c r="CO49" s="83"/>
      <c r="CP49" s="83"/>
    </row>
    <row r="50" spans="1:94" x14ac:dyDescent="0.25">
      <c r="C50" s="118"/>
      <c r="D50" s="119"/>
      <c r="E50" s="118"/>
      <c r="F50" s="119"/>
      <c r="G50" s="118"/>
      <c r="H50" s="119"/>
      <c r="I50" s="118"/>
      <c r="J50" s="119"/>
      <c r="K50" s="118"/>
      <c r="L50" s="119"/>
      <c r="M50" s="118"/>
      <c r="N50" s="119"/>
      <c r="O50" s="118"/>
      <c r="P50" s="119"/>
      <c r="Q50" s="118"/>
      <c r="R50" s="119"/>
      <c r="S50" s="118"/>
      <c r="T50" s="119"/>
      <c r="U50" s="118"/>
      <c r="V50" s="119"/>
      <c r="W50" s="118"/>
      <c r="X50" s="119"/>
      <c r="Y50" s="118"/>
      <c r="Z50" s="119"/>
      <c r="AA50" s="118"/>
      <c r="AB50" s="119"/>
      <c r="AC50" s="118"/>
      <c r="AD50" s="119"/>
      <c r="AE50" s="118"/>
      <c r="AF50" s="119"/>
      <c r="AG50" s="118"/>
      <c r="AH50" s="119"/>
      <c r="AI50" s="118"/>
      <c r="AJ50" s="119"/>
      <c r="AK50" s="118"/>
      <c r="AL50" s="119"/>
      <c r="AM50" s="118"/>
      <c r="AN50" s="119"/>
      <c r="AO50" s="118"/>
      <c r="AP50" s="119"/>
      <c r="AQ50" s="118"/>
      <c r="AR50" s="119"/>
      <c r="AS50" s="118"/>
      <c r="AT50" s="119"/>
      <c r="AU50" s="118"/>
      <c r="AV50" s="119"/>
      <c r="AW50" s="118"/>
      <c r="AX50" s="119"/>
      <c r="AY50" s="118"/>
      <c r="AZ50" s="119"/>
      <c r="BA50" s="118"/>
      <c r="BB50" s="119"/>
      <c r="BC50" s="118"/>
      <c r="BD50" s="119"/>
      <c r="BE50" s="118"/>
      <c r="BF50" s="119"/>
      <c r="BG50" s="118"/>
      <c r="BH50" s="119"/>
      <c r="BI50" s="118"/>
      <c r="BJ50" s="119"/>
      <c r="BK50" s="118"/>
      <c r="BL50" s="119"/>
      <c r="BM50" s="120"/>
      <c r="BN50" s="119"/>
      <c r="CA50" s="83"/>
      <c r="CB50" s="83"/>
      <c r="CC50" s="83"/>
      <c r="CD50" s="83"/>
      <c r="CE50" s="83"/>
      <c r="CF50" s="83"/>
      <c r="CG50" s="83"/>
      <c r="CH50" s="83"/>
      <c r="CI50" s="83"/>
      <c r="CJ50" s="83"/>
      <c r="CK50" s="83"/>
      <c r="CL50" s="83"/>
      <c r="CM50" s="83"/>
      <c r="CN50" s="83"/>
      <c r="CO50" s="83"/>
      <c r="CP50" s="83"/>
    </row>
    <row r="51" spans="1:94" x14ac:dyDescent="0.25">
      <c r="A51" s="92" t="s">
        <v>41</v>
      </c>
      <c r="B51" s="93"/>
      <c r="C51" s="121"/>
      <c r="D51" s="122"/>
      <c r="E51" s="121"/>
      <c r="F51" s="122"/>
      <c r="G51" s="121"/>
      <c r="H51" s="122"/>
      <c r="I51" s="121"/>
      <c r="J51" s="122"/>
      <c r="K51" s="121"/>
      <c r="L51" s="122"/>
      <c r="M51" s="121"/>
      <c r="N51" s="122"/>
      <c r="O51" s="121"/>
      <c r="P51" s="122"/>
      <c r="Q51" s="121"/>
      <c r="R51" s="122"/>
      <c r="S51" s="121"/>
      <c r="T51" s="122"/>
      <c r="U51" s="121"/>
      <c r="V51" s="122"/>
      <c r="W51" s="121"/>
      <c r="X51" s="122"/>
      <c r="Y51" s="121"/>
      <c r="Z51" s="122"/>
      <c r="AA51" s="121"/>
      <c r="AB51" s="122"/>
      <c r="AC51" s="121"/>
      <c r="AD51" s="122"/>
      <c r="AE51" s="121"/>
      <c r="AF51" s="122"/>
      <c r="AG51" s="121"/>
      <c r="AH51" s="122"/>
      <c r="AI51" s="121"/>
      <c r="AJ51" s="122"/>
      <c r="AK51" s="121"/>
      <c r="AL51" s="122"/>
      <c r="AM51" s="121"/>
      <c r="AN51" s="122"/>
      <c r="AO51" s="121"/>
      <c r="AP51" s="122"/>
      <c r="AQ51" s="121"/>
      <c r="AR51" s="122"/>
      <c r="AS51" s="121"/>
      <c r="AT51" s="122"/>
      <c r="AU51" s="121"/>
      <c r="AV51" s="122"/>
      <c r="AW51" s="121"/>
      <c r="AX51" s="122"/>
      <c r="AY51" s="121"/>
      <c r="AZ51" s="122"/>
      <c r="BA51" s="121"/>
      <c r="BB51" s="122"/>
      <c r="BC51" s="121"/>
      <c r="BD51" s="122"/>
      <c r="BE51" s="121"/>
      <c r="BF51" s="122"/>
      <c r="BG51" s="121"/>
      <c r="BH51" s="122"/>
      <c r="BI51" s="121"/>
      <c r="BJ51" s="122"/>
      <c r="BK51" s="121"/>
      <c r="BL51" s="122"/>
      <c r="BM51" s="123"/>
      <c r="BN51" s="122"/>
      <c r="CA51" s="83"/>
      <c r="CB51" s="83"/>
      <c r="CC51" s="83"/>
      <c r="CD51" s="83"/>
      <c r="CE51" s="83"/>
      <c r="CF51" s="83"/>
      <c r="CG51" s="83"/>
      <c r="CH51" s="83"/>
      <c r="CI51" s="83"/>
      <c r="CJ51" s="83"/>
      <c r="CK51" s="83"/>
      <c r="CL51" s="83"/>
      <c r="CM51" s="83"/>
      <c r="CN51" s="83"/>
      <c r="CO51" s="83"/>
      <c r="CP51" s="83"/>
    </row>
    <row r="52" spans="1:94" x14ac:dyDescent="0.25">
      <c r="A52" s="103" t="s">
        <v>42</v>
      </c>
      <c r="B52" s="98" t="s">
        <v>9</v>
      </c>
      <c r="C52" s="112">
        <f>EOD_Credit_CW!D36</f>
        <v>0</v>
      </c>
      <c r="D52" s="113">
        <f>EOD_Credit_CW!E36</f>
        <v>0</v>
      </c>
      <c r="E52" s="112">
        <f>EOD_Credit_CW!F36</f>
        <v>0</v>
      </c>
      <c r="F52" s="113">
        <f>EOD_Credit_CW!G36</f>
        <v>0</v>
      </c>
      <c r="G52" s="112">
        <f>EOD_Credit_CW!H36</f>
        <v>3</v>
      </c>
      <c r="H52" s="113">
        <f>EOD_Credit_CW!I36</f>
        <v>2437.1</v>
      </c>
      <c r="I52" s="112">
        <f>EOD_Credit_CW!J36</f>
        <v>0</v>
      </c>
      <c r="J52" s="113">
        <f>EOD_Credit_CW!K36</f>
        <v>0</v>
      </c>
      <c r="K52" s="112">
        <f>EOD_Credit_CW!L36</f>
        <v>0</v>
      </c>
      <c r="L52" s="113">
        <f>EOD_Credit_CW!M36</f>
        <v>0</v>
      </c>
      <c r="M52" s="112">
        <f>EOD_Credit_CW!N36</f>
        <v>0</v>
      </c>
      <c r="N52" s="113">
        <f>EOD_Credit_CW!O36</f>
        <v>0</v>
      </c>
      <c r="O52" s="112">
        <f>EOD_Credit_CW!P36</f>
        <v>0</v>
      </c>
      <c r="P52" s="113">
        <f>EOD_Credit_CW!Q36</f>
        <v>0</v>
      </c>
      <c r="Q52" s="112">
        <f>EOD_Credit_CW!R36</f>
        <v>0</v>
      </c>
      <c r="R52" s="113">
        <f>EOD_Credit_CW!S36</f>
        <v>0</v>
      </c>
      <c r="S52" s="112">
        <f>EOD_Credit_CW!T36</f>
        <v>0</v>
      </c>
      <c r="T52" s="113">
        <f>EOD_Credit_CW!U36</f>
        <v>0</v>
      </c>
      <c r="U52" s="112">
        <f>EOD_Credit_CW!V36</f>
        <v>2</v>
      </c>
      <c r="V52" s="113">
        <f>EOD_Credit_CW!W36</f>
        <v>1200</v>
      </c>
      <c r="W52" s="112">
        <f>EOD_Credit_CW!X36</f>
        <v>0</v>
      </c>
      <c r="X52" s="113">
        <f>EOD_Credit_CW!Y36</f>
        <v>0</v>
      </c>
      <c r="Y52" s="112">
        <f>EOD_Credit_CW!Z36</f>
        <v>0</v>
      </c>
      <c r="Z52" s="113">
        <f>EOD_Credit_CW!AA36</f>
        <v>0</v>
      </c>
      <c r="AA52" s="112">
        <f>EOD_Credit_CW!AB36</f>
        <v>0</v>
      </c>
      <c r="AB52" s="113">
        <f>EOD_Credit_CW!AC36</f>
        <v>0</v>
      </c>
      <c r="AC52" s="112">
        <f>EOD_Credit_CW!AD36</f>
        <v>0</v>
      </c>
      <c r="AD52" s="113">
        <f>EOD_Credit_CW!AE36</f>
        <v>0</v>
      </c>
      <c r="AE52" s="112">
        <f>EOD_Credit_CW!AF36</f>
        <v>0</v>
      </c>
      <c r="AF52" s="113">
        <f>EOD_Credit_CW!AG36</f>
        <v>0</v>
      </c>
      <c r="AG52" s="112">
        <f>EOD_Credit_CW!AH36</f>
        <v>0</v>
      </c>
      <c r="AH52" s="113">
        <f>EOD_Credit_CW!AI36</f>
        <v>0</v>
      </c>
      <c r="AI52" s="112">
        <f>EOD_Credit_CW!AJ36</f>
        <v>2</v>
      </c>
      <c r="AJ52" s="113">
        <f>EOD_Credit_CW!AK36</f>
        <v>1604.4</v>
      </c>
      <c r="AK52" s="112">
        <f>EOD_Credit_CW!AL36</f>
        <v>0</v>
      </c>
      <c r="AL52" s="113">
        <f>EOD_Credit_CW!AM36</f>
        <v>0</v>
      </c>
      <c r="AM52" s="112">
        <f>EOD_Credit_CW!AN36</f>
        <v>0</v>
      </c>
      <c r="AN52" s="113">
        <f>EOD_Credit_CW!AO36</f>
        <v>0</v>
      </c>
      <c r="AO52" s="112">
        <f>EOD_Credit_CW!AP36</f>
        <v>0</v>
      </c>
      <c r="AP52" s="113">
        <f>EOD_Credit_CW!AQ36</f>
        <v>0</v>
      </c>
      <c r="AQ52" s="112">
        <f>EOD_Credit_CW!AR36</f>
        <v>0</v>
      </c>
      <c r="AR52" s="113">
        <f>EOD_Credit_CW!AS36</f>
        <v>0</v>
      </c>
      <c r="AS52" s="112">
        <f>EOD_Credit_CW!AT36</f>
        <v>0</v>
      </c>
      <c r="AT52" s="113">
        <f>EOD_Credit_CW!AU36</f>
        <v>0</v>
      </c>
      <c r="AU52" s="112">
        <f>EOD_Credit_CW!AV36</f>
        <v>0</v>
      </c>
      <c r="AV52" s="113">
        <f>EOD_Credit_CW!AW36</f>
        <v>0</v>
      </c>
      <c r="AW52" s="112">
        <f>EOD_Credit_CW!AX36</f>
        <v>0</v>
      </c>
      <c r="AX52" s="113">
        <f>EOD_Credit_CW!AY36</f>
        <v>0</v>
      </c>
      <c r="AY52" s="112">
        <f>EOD_Credit_CW!AZ36</f>
        <v>1</v>
      </c>
      <c r="AZ52" s="113">
        <f>EOD_Credit_CW!BA36</f>
        <v>700</v>
      </c>
      <c r="BA52" s="112">
        <f>EOD_Credit_CW!BB36</f>
        <v>0</v>
      </c>
      <c r="BB52" s="113">
        <f>EOD_Credit_CW!BC36</f>
        <v>0</v>
      </c>
      <c r="BC52" s="112">
        <f>EOD_Credit_CW!BD36</f>
        <v>0</v>
      </c>
      <c r="BD52" s="113">
        <f>EOD_Credit_CW!BE36</f>
        <v>0</v>
      </c>
      <c r="BE52" s="112">
        <f>EOD_Credit_CW!BF36</f>
        <v>0</v>
      </c>
      <c r="BF52" s="113">
        <f>EOD_Credit_CW!BG36</f>
        <v>0</v>
      </c>
      <c r="BG52" s="112">
        <f>EOD_Credit_CW!BH36</f>
        <v>0</v>
      </c>
      <c r="BH52" s="113">
        <f>EOD_Credit_CW!BI36</f>
        <v>0</v>
      </c>
      <c r="BI52" s="112">
        <f>EOD_Credit_CW!BJ36</f>
        <v>0</v>
      </c>
      <c r="BJ52" s="113">
        <f>EOD_Credit_CW!BK36</f>
        <v>0</v>
      </c>
      <c r="BK52" s="112">
        <f>EOD_Credit_CW!BL36</f>
        <v>1</v>
      </c>
      <c r="BL52" s="113">
        <f>EOD_Credit_CW!BM36</f>
        <v>1000</v>
      </c>
      <c r="BM52" s="114" cm="1">
        <f t="array" ref="BM52">SUMPRODUCT((MOD(COLUMN(C52:BL52)-COLUMN(C52),2)=0)*C52:BL52)</f>
        <v>9</v>
      </c>
      <c r="BN52" s="113" cm="1">
        <f t="array" ref="BN52">SUMPRODUCT((MOD(COLUMN(D52:BM52)-COLUMN(D52),2)=0)*D52:BM52)</f>
        <v>6941.5</v>
      </c>
      <c r="CA52" s="83"/>
      <c r="CB52" s="83"/>
      <c r="CC52" s="83"/>
      <c r="CD52" s="83"/>
      <c r="CE52" s="83"/>
      <c r="CF52" s="83"/>
      <c r="CG52" s="83"/>
      <c r="CH52" s="83"/>
      <c r="CI52" s="83"/>
      <c r="CJ52" s="83"/>
      <c r="CK52" s="83"/>
      <c r="CL52" s="83"/>
      <c r="CM52" s="83"/>
      <c r="CN52" s="83"/>
      <c r="CO52" s="83"/>
      <c r="CP52" s="83"/>
    </row>
    <row r="53" spans="1:94" x14ac:dyDescent="0.25">
      <c r="A53" s="103" t="s">
        <v>43</v>
      </c>
      <c r="B53" s="98" t="s">
        <v>9</v>
      </c>
      <c r="C53" s="112">
        <f>EOD_Credit_CW!D39</f>
        <v>0</v>
      </c>
      <c r="D53" s="113">
        <f>EOD_Credit_CW!E39</f>
        <v>0</v>
      </c>
      <c r="E53" s="112">
        <f>EOD_Credit_CW!F39</f>
        <v>0</v>
      </c>
      <c r="F53" s="113">
        <f>EOD_Credit_CW!G39</f>
        <v>0</v>
      </c>
      <c r="G53" s="112">
        <f>EOD_Credit_CW!H39</f>
        <v>0</v>
      </c>
      <c r="H53" s="113">
        <f>EOD_Credit_CW!I39</f>
        <v>0</v>
      </c>
      <c r="I53" s="112">
        <f>EOD_Credit_CW!J39</f>
        <v>0</v>
      </c>
      <c r="J53" s="113">
        <f>EOD_Credit_CW!K39</f>
        <v>0</v>
      </c>
      <c r="K53" s="112">
        <f>EOD_Credit_CW!L39</f>
        <v>0</v>
      </c>
      <c r="L53" s="113">
        <f>EOD_Credit_CW!M39</f>
        <v>0</v>
      </c>
      <c r="M53" s="112">
        <f>EOD_Credit_CW!N39</f>
        <v>0</v>
      </c>
      <c r="N53" s="113">
        <f>EOD_Credit_CW!O39</f>
        <v>0</v>
      </c>
      <c r="O53" s="112">
        <f>EOD_Credit_CW!P39</f>
        <v>0</v>
      </c>
      <c r="P53" s="113">
        <f>EOD_Credit_CW!Q39</f>
        <v>0</v>
      </c>
      <c r="Q53" s="112">
        <f>EOD_Credit_CW!R39</f>
        <v>0</v>
      </c>
      <c r="R53" s="113">
        <f>EOD_Credit_CW!S39</f>
        <v>0</v>
      </c>
      <c r="S53" s="112">
        <f>EOD_Credit_CW!T39</f>
        <v>0</v>
      </c>
      <c r="T53" s="113">
        <f>EOD_Credit_CW!U39</f>
        <v>0</v>
      </c>
      <c r="U53" s="112">
        <f>EOD_Credit_CW!V39</f>
        <v>0</v>
      </c>
      <c r="V53" s="113">
        <f>EOD_Credit_CW!W39</f>
        <v>0</v>
      </c>
      <c r="W53" s="112">
        <f>EOD_Credit_CW!X39</f>
        <v>0</v>
      </c>
      <c r="X53" s="113">
        <f>EOD_Credit_CW!Y39</f>
        <v>0</v>
      </c>
      <c r="Y53" s="112">
        <f>EOD_Credit_CW!Z39</f>
        <v>0</v>
      </c>
      <c r="Z53" s="113">
        <f>EOD_Credit_CW!AA39</f>
        <v>0</v>
      </c>
      <c r="AA53" s="112">
        <f>EOD_Credit_CW!AB39</f>
        <v>0</v>
      </c>
      <c r="AB53" s="113">
        <f>EOD_Credit_CW!AC39</f>
        <v>0</v>
      </c>
      <c r="AC53" s="112">
        <f>EOD_Credit_CW!AD39</f>
        <v>0</v>
      </c>
      <c r="AD53" s="113">
        <f>EOD_Credit_CW!AE39</f>
        <v>0</v>
      </c>
      <c r="AE53" s="112">
        <f>EOD_Credit_CW!AF39</f>
        <v>0</v>
      </c>
      <c r="AF53" s="113">
        <f>EOD_Credit_CW!AG39</f>
        <v>0</v>
      </c>
      <c r="AG53" s="112">
        <f>EOD_Credit_CW!AH39</f>
        <v>0</v>
      </c>
      <c r="AH53" s="113">
        <f>EOD_Credit_CW!AI39</f>
        <v>0</v>
      </c>
      <c r="AI53" s="112">
        <f>EOD_Credit_CW!AJ39</f>
        <v>0</v>
      </c>
      <c r="AJ53" s="113">
        <f>EOD_Credit_CW!AK39</f>
        <v>0</v>
      </c>
      <c r="AK53" s="112">
        <f>EOD_Credit_CW!AL39</f>
        <v>0</v>
      </c>
      <c r="AL53" s="113">
        <f>EOD_Credit_CW!AM39</f>
        <v>0</v>
      </c>
      <c r="AM53" s="112">
        <f>EOD_Credit_CW!AN39</f>
        <v>0</v>
      </c>
      <c r="AN53" s="113">
        <f>EOD_Credit_CW!AO39</f>
        <v>0</v>
      </c>
      <c r="AO53" s="112">
        <f>EOD_Credit_CW!AP39</f>
        <v>0</v>
      </c>
      <c r="AP53" s="113">
        <f>EOD_Credit_CW!AQ39</f>
        <v>0</v>
      </c>
      <c r="AQ53" s="112">
        <f>EOD_Credit_CW!AR39</f>
        <v>0</v>
      </c>
      <c r="AR53" s="113">
        <f>EOD_Credit_CW!AS39</f>
        <v>0</v>
      </c>
      <c r="AS53" s="112">
        <f>EOD_Credit_CW!AT39</f>
        <v>0</v>
      </c>
      <c r="AT53" s="113">
        <f>EOD_Credit_CW!AU39</f>
        <v>0</v>
      </c>
      <c r="AU53" s="112">
        <f>EOD_Credit_CW!AV39</f>
        <v>0</v>
      </c>
      <c r="AV53" s="113">
        <f>EOD_Credit_CW!AW39</f>
        <v>0</v>
      </c>
      <c r="AW53" s="112">
        <f>EOD_Credit_CW!AX39</f>
        <v>0</v>
      </c>
      <c r="AX53" s="113">
        <f>EOD_Credit_CW!AY39</f>
        <v>0</v>
      </c>
      <c r="AY53" s="112">
        <f>EOD_Credit_CW!AZ39</f>
        <v>0</v>
      </c>
      <c r="AZ53" s="113">
        <f>EOD_Credit_CW!BA39</f>
        <v>0</v>
      </c>
      <c r="BA53" s="112">
        <f>EOD_Credit_CW!BB39</f>
        <v>0</v>
      </c>
      <c r="BB53" s="113">
        <f>EOD_Credit_CW!BC39</f>
        <v>0</v>
      </c>
      <c r="BC53" s="112">
        <f>EOD_Credit_CW!BD39</f>
        <v>0</v>
      </c>
      <c r="BD53" s="113">
        <f>EOD_Credit_CW!BE39</f>
        <v>0</v>
      </c>
      <c r="BE53" s="112">
        <f>EOD_Credit_CW!BF39</f>
        <v>0</v>
      </c>
      <c r="BF53" s="113">
        <f>EOD_Credit_CW!BG39</f>
        <v>0</v>
      </c>
      <c r="BG53" s="112">
        <f>EOD_Credit_CW!BH39</f>
        <v>0</v>
      </c>
      <c r="BH53" s="113">
        <f>EOD_Credit_CW!BI39</f>
        <v>0</v>
      </c>
      <c r="BI53" s="112">
        <f>EOD_Credit_CW!BJ39</f>
        <v>0</v>
      </c>
      <c r="BJ53" s="113">
        <f>EOD_Credit_CW!BK39</f>
        <v>0</v>
      </c>
      <c r="BK53" s="112">
        <f>EOD_Credit_CW!BL39</f>
        <v>0</v>
      </c>
      <c r="BL53" s="113">
        <f>EOD_Credit_CW!BM39</f>
        <v>0</v>
      </c>
      <c r="BM53" s="114" cm="1">
        <f t="array" ref="BM53">SUMPRODUCT((MOD(COLUMN(C53:BL53)-COLUMN(C53),2)=0)*C53:BL53)</f>
        <v>0</v>
      </c>
      <c r="BN53" s="113" cm="1">
        <f t="array" ref="BN53">SUMPRODUCT((MOD(COLUMN(D53:BM53)-COLUMN(D53),2)=0)*D53:BM53)</f>
        <v>0</v>
      </c>
      <c r="CA53" s="83"/>
      <c r="CB53" s="83"/>
      <c r="CC53" s="83"/>
      <c r="CD53" s="83"/>
      <c r="CE53" s="83"/>
      <c r="CF53" s="83"/>
      <c r="CG53" s="83"/>
      <c r="CH53" s="83"/>
      <c r="CI53" s="83"/>
      <c r="CJ53" s="83"/>
      <c r="CK53" s="83"/>
      <c r="CL53" s="83"/>
      <c r="CM53" s="83"/>
      <c r="CN53" s="83"/>
      <c r="CO53" s="83"/>
      <c r="CP53" s="83"/>
    </row>
    <row r="54" spans="1:94" x14ac:dyDescent="0.25">
      <c r="A54" s="103" t="s">
        <v>44</v>
      </c>
      <c r="B54" s="98" t="s">
        <v>9</v>
      </c>
      <c r="C54" s="112">
        <f>EOD_Credit_CW!D40</f>
        <v>3</v>
      </c>
      <c r="D54" s="113">
        <f>EOD_Credit_CW!E40</f>
        <v>2225.4</v>
      </c>
      <c r="E54" s="112">
        <f>EOD_Credit_CW!F40</f>
        <v>2</v>
      </c>
      <c r="F54" s="113">
        <f>EOD_Credit_CW!G40</f>
        <v>301</v>
      </c>
      <c r="G54" s="112">
        <f>EOD_Credit_CW!H40</f>
        <v>2</v>
      </c>
      <c r="H54" s="113">
        <f>EOD_Credit_CW!I40</f>
        <v>230.7</v>
      </c>
      <c r="I54" s="112">
        <f>EOD_Credit_CW!J40</f>
        <v>4</v>
      </c>
      <c r="J54" s="113">
        <f>EOD_Credit_CW!K40</f>
        <v>1974.5</v>
      </c>
      <c r="K54" s="112">
        <f>EOD_Credit_CW!L40</f>
        <v>4</v>
      </c>
      <c r="L54" s="113">
        <f>EOD_Credit_CW!M40</f>
        <v>1499.7</v>
      </c>
      <c r="M54" s="112">
        <f>EOD_Credit_CW!N40</f>
        <v>3</v>
      </c>
      <c r="N54" s="113">
        <f>EOD_Credit_CW!O40</f>
        <v>612.79999999999995</v>
      </c>
      <c r="O54" s="112">
        <f>EOD_Credit_CW!P40</f>
        <v>4</v>
      </c>
      <c r="P54" s="113">
        <f>EOD_Credit_CW!Q40</f>
        <v>1742.4</v>
      </c>
      <c r="Q54" s="112">
        <f>EOD_Credit_CW!R40</f>
        <v>3</v>
      </c>
      <c r="R54" s="113">
        <f>EOD_Credit_CW!S40</f>
        <v>308</v>
      </c>
      <c r="S54" s="112">
        <f>EOD_Credit_CW!T40</f>
        <v>1</v>
      </c>
      <c r="T54" s="113">
        <f>EOD_Credit_CW!U40</f>
        <v>138.5</v>
      </c>
      <c r="U54" s="112">
        <f>EOD_Credit_CW!V40</f>
        <v>6</v>
      </c>
      <c r="V54" s="113">
        <f>EOD_Credit_CW!W40</f>
        <v>1997.5</v>
      </c>
      <c r="W54" s="112">
        <f>EOD_Credit_CW!X40</f>
        <v>3</v>
      </c>
      <c r="X54" s="113">
        <f>EOD_Credit_CW!Y40</f>
        <v>417.6</v>
      </c>
      <c r="Y54" s="112">
        <f>EOD_Credit_CW!Z40</f>
        <v>0</v>
      </c>
      <c r="Z54" s="113">
        <f>EOD_Credit_CW!AA40</f>
        <v>0</v>
      </c>
      <c r="AA54" s="112">
        <f>EOD_Credit_CW!AB40</f>
        <v>4</v>
      </c>
      <c r="AB54" s="113">
        <f>EOD_Credit_CW!AC40</f>
        <v>857.6</v>
      </c>
      <c r="AC54" s="112">
        <f>EOD_Credit_CW!AD40</f>
        <v>3</v>
      </c>
      <c r="AD54" s="113">
        <f>EOD_Credit_CW!AE40</f>
        <v>1100</v>
      </c>
      <c r="AE54" s="112">
        <f>EOD_Credit_CW!AF40</f>
        <v>3</v>
      </c>
      <c r="AF54" s="113">
        <f>EOD_Credit_CW!AG40</f>
        <v>710.1</v>
      </c>
      <c r="AG54" s="112">
        <f>EOD_Credit_CW!AH40</f>
        <v>6</v>
      </c>
      <c r="AH54" s="113">
        <f>EOD_Credit_CW!AI40</f>
        <v>1835.2</v>
      </c>
      <c r="AI54" s="112">
        <f>EOD_Credit_CW!AJ40</f>
        <v>1</v>
      </c>
      <c r="AJ54" s="113">
        <f>EOD_Credit_CW!AK40</f>
        <v>316</v>
      </c>
      <c r="AK54" s="112">
        <f>EOD_Credit_CW!AL40</f>
        <v>2</v>
      </c>
      <c r="AL54" s="113">
        <f>EOD_Credit_CW!AM40</f>
        <v>700</v>
      </c>
      <c r="AM54" s="112">
        <f>EOD_Credit_CW!AN40</f>
        <v>5</v>
      </c>
      <c r="AN54" s="113">
        <f>EOD_Credit_CW!AO40</f>
        <v>1103.0999999999999</v>
      </c>
      <c r="AO54" s="112">
        <f>EOD_Credit_CW!AP40</f>
        <v>1</v>
      </c>
      <c r="AP54" s="113">
        <f>EOD_Credit_CW!AQ40</f>
        <v>194.2</v>
      </c>
      <c r="AQ54" s="112">
        <f>EOD_Credit_CW!AR40</f>
        <v>4</v>
      </c>
      <c r="AR54" s="113">
        <f>EOD_Credit_CW!AS40</f>
        <v>1410.4</v>
      </c>
      <c r="AS54" s="112">
        <f>EOD_Credit_CW!AT40</f>
        <v>6</v>
      </c>
      <c r="AT54" s="113">
        <f>EOD_Credit_CW!AU40</f>
        <v>830.8</v>
      </c>
      <c r="AU54" s="112">
        <f>EOD_Credit_CW!AV40</f>
        <v>2</v>
      </c>
      <c r="AV54" s="113">
        <f>EOD_Credit_CW!AW40</f>
        <v>663.9</v>
      </c>
      <c r="AW54" s="112">
        <f>EOD_Credit_CW!AX40</f>
        <v>6</v>
      </c>
      <c r="AX54" s="113">
        <f>EOD_Credit_CW!AY40</f>
        <v>1099.0999999999999</v>
      </c>
      <c r="AY54" s="112">
        <f>EOD_Credit_CW!AZ40</f>
        <v>2</v>
      </c>
      <c r="AZ54" s="113">
        <f>EOD_Credit_CW!BA40</f>
        <v>199.3</v>
      </c>
      <c r="BA54" s="112">
        <f>EOD_Credit_CW!BB40</f>
        <v>5</v>
      </c>
      <c r="BB54" s="113">
        <f>EOD_Credit_CW!BC40</f>
        <v>1558.8</v>
      </c>
      <c r="BC54" s="112">
        <f>EOD_Credit_CW!BD40</f>
        <v>2</v>
      </c>
      <c r="BD54" s="113">
        <f>EOD_Credit_CW!BE40</f>
        <v>164.3</v>
      </c>
      <c r="BE54" s="112">
        <f>EOD_Credit_CW!BF40</f>
        <v>4</v>
      </c>
      <c r="BF54" s="113">
        <f>EOD_Credit_CW!BG40</f>
        <v>1198.3</v>
      </c>
      <c r="BG54" s="112">
        <f>EOD_Credit_CW!BH40</f>
        <v>2</v>
      </c>
      <c r="BH54" s="113">
        <f>EOD_Credit_CW!BI40</f>
        <v>517.70000000000005</v>
      </c>
      <c r="BI54" s="112">
        <f>EOD_Credit_CW!BJ40</f>
        <v>3</v>
      </c>
      <c r="BJ54" s="113">
        <f>EOD_Credit_CW!BK40</f>
        <v>1021</v>
      </c>
      <c r="BK54" s="112">
        <f>EOD_Credit_CW!BL40</f>
        <v>3</v>
      </c>
      <c r="BL54" s="113">
        <f>EOD_Credit_CW!BM40</f>
        <v>725.2</v>
      </c>
      <c r="BM54" s="114" cm="1">
        <f t="array" ref="BM54">SUMPRODUCT((MOD(COLUMN(C54:BL54)-COLUMN(C54),2)=0)*C54:BL54)</f>
        <v>99</v>
      </c>
      <c r="BN54" s="113" cm="1">
        <f t="array" ref="BN54">SUMPRODUCT((MOD(COLUMN(D54:BM54)-COLUMN(D54),2)=0)*D54:BM54)</f>
        <v>27653.1</v>
      </c>
      <c r="CA54" s="83"/>
      <c r="CB54" s="83"/>
      <c r="CC54" s="83"/>
      <c r="CD54" s="83"/>
      <c r="CE54" s="83"/>
      <c r="CF54" s="83"/>
      <c r="CG54" s="83"/>
      <c r="CH54" s="83"/>
      <c r="CI54" s="83"/>
      <c r="CJ54" s="83"/>
      <c r="CK54" s="83"/>
      <c r="CL54" s="83"/>
      <c r="CM54" s="83"/>
      <c r="CN54" s="83"/>
      <c r="CO54" s="83"/>
      <c r="CP54" s="83"/>
    </row>
    <row r="55" spans="1:94" x14ac:dyDescent="0.25">
      <c r="A55" s="100" t="s">
        <v>45</v>
      </c>
      <c r="B55" s="104"/>
      <c r="C55" s="127">
        <f>SUM(C52:C54)</f>
        <v>3</v>
      </c>
      <c r="D55" s="127">
        <f>SUM(D52:D54)</f>
        <v>2225.4</v>
      </c>
      <c r="E55" s="127">
        <f t="shared" ref="E55:BL55" si="13">SUM(E52:E54)</f>
        <v>2</v>
      </c>
      <c r="F55" s="127">
        <f t="shared" si="13"/>
        <v>301</v>
      </c>
      <c r="G55" s="127">
        <f t="shared" si="13"/>
        <v>5</v>
      </c>
      <c r="H55" s="127">
        <f t="shared" si="13"/>
        <v>2667.7999999999997</v>
      </c>
      <c r="I55" s="127">
        <f t="shared" si="13"/>
        <v>4</v>
      </c>
      <c r="J55" s="127">
        <f t="shared" si="13"/>
        <v>1974.5</v>
      </c>
      <c r="K55" s="127">
        <f t="shared" si="13"/>
        <v>4</v>
      </c>
      <c r="L55" s="127">
        <f t="shared" si="13"/>
        <v>1499.7</v>
      </c>
      <c r="M55" s="127">
        <f t="shared" si="13"/>
        <v>3</v>
      </c>
      <c r="N55" s="127">
        <f t="shared" si="13"/>
        <v>612.79999999999995</v>
      </c>
      <c r="O55" s="127">
        <f t="shared" si="13"/>
        <v>4</v>
      </c>
      <c r="P55" s="127">
        <f t="shared" si="13"/>
        <v>1742.4</v>
      </c>
      <c r="Q55" s="127">
        <f t="shared" si="13"/>
        <v>3</v>
      </c>
      <c r="R55" s="127">
        <f t="shared" si="13"/>
        <v>308</v>
      </c>
      <c r="S55" s="127">
        <f t="shared" si="13"/>
        <v>1</v>
      </c>
      <c r="T55" s="127">
        <f t="shared" si="13"/>
        <v>138.5</v>
      </c>
      <c r="U55" s="127">
        <f t="shared" si="13"/>
        <v>8</v>
      </c>
      <c r="V55" s="127">
        <f t="shared" si="13"/>
        <v>3197.5</v>
      </c>
      <c r="W55" s="127">
        <f t="shared" si="13"/>
        <v>3</v>
      </c>
      <c r="X55" s="127">
        <f t="shared" si="13"/>
        <v>417.6</v>
      </c>
      <c r="Y55" s="127">
        <f t="shared" si="13"/>
        <v>0</v>
      </c>
      <c r="Z55" s="127">
        <f t="shared" si="13"/>
        <v>0</v>
      </c>
      <c r="AA55" s="127">
        <f t="shared" si="13"/>
        <v>4</v>
      </c>
      <c r="AB55" s="127">
        <f t="shared" si="13"/>
        <v>857.6</v>
      </c>
      <c r="AC55" s="127">
        <f t="shared" si="13"/>
        <v>3</v>
      </c>
      <c r="AD55" s="127">
        <f t="shared" si="13"/>
        <v>1100</v>
      </c>
      <c r="AE55" s="127">
        <f t="shared" si="13"/>
        <v>3</v>
      </c>
      <c r="AF55" s="127">
        <f t="shared" si="13"/>
        <v>710.1</v>
      </c>
      <c r="AG55" s="127">
        <f t="shared" si="13"/>
        <v>6</v>
      </c>
      <c r="AH55" s="127">
        <f t="shared" si="13"/>
        <v>1835.2</v>
      </c>
      <c r="AI55" s="127">
        <f t="shared" si="13"/>
        <v>3</v>
      </c>
      <c r="AJ55" s="127">
        <f t="shared" si="13"/>
        <v>1920.4</v>
      </c>
      <c r="AK55" s="127">
        <f t="shared" si="13"/>
        <v>2</v>
      </c>
      <c r="AL55" s="127">
        <f t="shared" si="13"/>
        <v>700</v>
      </c>
      <c r="AM55" s="127">
        <f t="shared" si="13"/>
        <v>5</v>
      </c>
      <c r="AN55" s="127">
        <f t="shared" si="13"/>
        <v>1103.0999999999999</v>
      </c>
      <c r="AO55" s="127">
        <f t="shared" si="13"/>
        <v>1</v>
      </c>
      <c r="AP55" s="127">
        <f t="shared" si="13"/>
        <v>194.2</v>
      </c>
      <c r="AQ55" s="127">
        <f t="shared" si="13"/>
        <v>4</v>
      </c>
      <c r="AR55" s="127">
        <f t="shared" si="13"/>
        <v>1410.4</v>
      </c>
      <c r="AS55" s="127">
        <f t="shared" si="13"/>
        <v>6</v>
      </c>
      <c r="AT55" s="127">
        <f t="shared" si="13"/>
        <v>830.8</v>
      </c>
      <c r="AU55" s="127">
        <f t="shared" si="13"/>
        <v>2</v>
      </c>
      <c r="AV55" s="127">
        <f t="shared" si="13"/>
        <v>663.9</v>
      </c>
      <c r="AW55" s="127">
        <f t="shared" si="13"/>
        <v>6</v>
      </c>
      <c r="AX55" s="127">
        <f t="shared" si="13"/>
        <v>1099.0999999999999</v>
      </c>
      <c r="AY55" s="127">
        <f t="shared" si="13"/>
        <v>3</v>
      </c>
      <c r="AZ55" s="127">
        <f t="shared" si="13"/>
        <v>899.3</v>
      </c>
      <c r="BA55" s="127">
        <f t="shared" si="13"/>
        <v>5</v>
      </c>
      <c r="BB55" s="127">
        <f t="shared" si="13"/>
        <v>1558.8</v>
      </c>
      <c r="BC55" s="127">
        <f t="shared" si="13"/>
        <v>2</v>
      </c>
      <c r="BD55" s="127">
        <f t="shared" si="13"/>
        <v>164.3</v>
      </c>
      <c r="BE55" s="127">
        <f t="shared" si="13"/>
        <v>4</v>
      </c>
      <c r="BF55" s="127">
        <f t="shared" si="13"/>
        <v>1198.3</v>
      </c>
      <c r="BG55" s="127">
        <f t="shared" si="13"/>
        <v>2</v>
      </c>
      <c r="BH55" s="127">
        <f t="shared" si="13"/>
        <v>517.70000000000005</v>
      </c>
      <c r="BI55" s="127">
        <f t="shared" si="13"/>
        <v>3</v>
      </c>
      <c r="BJ55" s="127">
        <f t="shared" si="13"/>
        <v>1021</v>
      </c>
      <c r="BK55" s="127">
        <f t="shared" si="13"/>
        <v>4</v>
      </c>
      <c r="BL55" s="127">
        <f t="shared" si="13"/>
        <v>1725.2</v>
      </c>
      <c r="BM55" s="128">
        <f t="shared" ref="BM55:BN55" si="14">SUM(BM52:BM54)</f>
        <v>108</v>
      </c>
      <c r="BN55" s="127">
        <f t="shared" si="14"/>
        <v>34594.6</v>
      </c>
      <c r="CA55" s="83"/>
      <c r="CB55" s="83"/>
      <c r="CC55" s="83"/>
      <c r="CD55" s="83"/>
      <c r="CE55" s="83"/>
      <c r="CF55" s="83"/>
      <c r="CG55" s="83"/>
      <c r="CH55" s="83"/>
      <c r="CI55" s="83"/>
      <c r="CJ55" s="83"/>
      <c r="CK55" s="83"/>
      <c r="CL55" s="83"/>
      <c r="CM55" s="83"/>
      <c r="CN55" s="83"/>
      <c r="CO55" s="83"/>
      <c r="CP55" s="83"/>
    </row>
    <row r="56" spans="1:94" ht="13.5" thickBot="1" x14ac:dyDescent="0.3">
      <c r="A56" s="105"/>
      <c r="B56" s="106"/>
      <c r="C56" s="129"/>
      <c r="D56" s="130"/>
      <c r="E56" s="129"/>
      <c r="F56" s="130"/>
      <c r="G56" s="129"/>
      <c r="H56" s="130"/>
      <c r="I56" s="129"/>
      <c r="J56" s="130"/>
      <c r="K56" s="129"/>
      <c r="L56" s="130"/>
      <c r="M56" s="129"/>
      <c r="N56" s="130"/>
      <c r="O56" s="129"/>
      <c r="P56" s="130"/>
      <c r="Q56" s="129"/>
      <c r="R56" s="130"/>
      <c r="S56" s="129"/>
      <c r="T56" s="130"/>
      <c r="U56" s="129"/>
      <c r="V56" s="130"/>
      <c r="W56" s="129"/>
      <c r="X56" s="130"/>
      <c r="Y56" s="129"/>
      <c r="Z56" s="130"/>
      <c r="AA56" s="129"/>
      <c r="AB56" s="130"/>
      <c r="AC56" s="129"/>
      <c r="AD56" s="130"/>
      <c r="AE56" s="129"/>
      <c r="AF56" s="130"/>
      <c r="AG56" s="129"/>
      <c r="AH56" s="130"/>
      <c r="AI56" s="129"/>
      <c r="AJ56" s="130"/>
      <c r="AK56" s="129"/>
      <c r="AL56" s="130"/>
      <c r="AM56" s="129"/>
      <c r="AN56" s="130"/>
      <c r="AO56" s="129"/>
      <c r="AP56" s="130"/>
      <c r="AQ56" s="129"/>
      <c r="AR56" s="130"/>
      <c r="AS56" s="129"/>
      <c r="AT56" s="130"/>
      <c r="AU56" s="129"/>
      <c r="AV56" s="130"/>
      <c r="AW56" s="129"/>
      <c r="AX56" s="130"/>
      <c r="AY56" s="129"/>
      <c r="AZ56" s="130"/>
      <c r="BA56" s="129"/>
      <c r="BB56" s="130"/>
      <c r="BC56" s="129"/>
      <c r="BD56" s="130"/>
      <c r="BE56" s="129"/>
      <c r="BF56" s="130"/>
      <c r="BG56" s="129"/>
      <c r="BH56" s="130"/>
      <c r="BI56" s="129"/>
      <c r="BJ56" s="130"/>
      <c r="BK56" s="129"/>
      <c r="BL56" s="130"/>
      <c r="BM56" s="131"/>
      <c r="BN56" s="130"/>
      <c r="CA56" s="83"/>
      <c r="CB56" s="83"/>
      <c r="CC56" s="83"/>
      <c r="CD56" s="83"/>
      <c r="CE56" s="83"/>
      <c r="CF56" s="83"/>
      <c r="CG56" s="83"/>
      <c r="CH56" s="83"/>
      <c r="CI56" s="83"/>
      <c r="CJ56" s="83"/>
      <c r="CK56" s="83"/>
      <c r="CL56" s="83"/>
      <c r="CM56" s="83"/>
      <c r="CN56" s="83"/>
      <c r="CO56" s="83"/>
      <c r="CP56" s="83"/>
    </row>
    <row r="57" spans="1:94" x14ac:dyDescent="0.25">
      <c r="A57" s="103" t="s">
        <v>46</v>
      </c>
      <c r="C57" s="124">
        <f t="shared" ref="C57:BL57" si="15">SUM(C55,C49,C44,C39,C32,C26,C17)</f>
        <v>188</v>
      </c>
      <c r="D57" s="125">
        <f t="shared" si="15"/>
        <v>66144.2</v>
      </c>
      <c r="E57" s="124">
        <f t="shared" si="15"/>
        <v>196</v>
      </c>
      <c r="F57" s="125">
        <f t="shared" si="15"/>
        <v>56439.5</v>
      </c>
      <c r="G57" s="124">
        <f t="shared" si="15"/>
        <v>259</v>
      </c>
      <c r="H57" s="125">
        <f t="shared" si="15"/>
        <v>92072.3</v>
      </c>
      <c r="I57" s="124">
        <f t="shared" si="15"/>
        <v>219</v>
      </c>
      <c r="J57" s="125">
        <f t="shared" si="15"/>
        <v>79870.200000000012</v>
      </c>
      <c r="K57" s="124">
        <f t="shared" si="15"/>
        <v>231</v>
      </c>
      <c r="L57" s="125">
        <f t="shared" si="15"/>
        <v>80543.599999999991</v>
      </c>
      <c r="M57" s="124">
        <f t="shared" si="15"/>
        <v>235</v>
      </c>
      <c r="N57" s="125">
        <f t="shared" si="15"/>
        <v>73686.899999999994</v>
      </c>
      <c r="O57" s="124">
        <f t="shared" si="15"/>
        <v>196</v>
      </c>
      <c r="P57" s="125">
        <f t="shared" si="15"/>
        <v>58409.700000000004</v>
      </c>
      <c r="Q57" s="124">
        <f t="shared" si="15"/>
        <v>202</v>
      </c>
      <c r="R57" s="125">
        <f t="shared" si="15"/>
        <v>57478.7</v>
      </c>
      <c r="S57" s="124">
        <f t="shared" si="15"/>
        <v>215</v>
      </c>
      <c r="T57" s="125">
        <f t="shared" si="15"/>
        <v>64254.299999999996</v>
      </c>
      <c r="U57" s="124">
        <f t="shared" si="15"/>
        <v>238</v>
      </c>
      <c r="V57" s="125">
        <f t="shared" si="15"/>
        <v>84463</v>
      </c>
      <c r="W57" s="124">
        <f t="shared" si="15"/>
        <v>209</v>
      </c>
      <c r="X57" s="125">
        <f t="shared" si="15"/>
        <v>67875.599999999991</v>
      </c>
      <c r="Y57" s="124">
        <f t="shared" si="15"/>
        <v>224</v>
      </c>
      <c r="Z57" s="125">
        <f t="shared" si="15"/>
        <v>80898.2</v>
      </c>
      <c r="AA57" s="124">
        <f t="shared" si="15"/>
        <v>214</v>
      </c>
      <c r="AB57" s="125">
        <f t="shared" si="15"/>
        <v>80523.600000000006</v>
      </c>
      <c r="AC57" s="124">
        <f t="shared" si="15"/>
        <v>190</v>
      </c>
      <c r="AD57" s="125">
        <f t="shared" si="15"/>
        <v>60291.8</v>
      </c>
      <c r="AE57" s="124">
        <f t="shared" si="15"/>
        <v>222</v>
      </c>
      <c r="AF57" s="125">
        <f t="shared" si="15"/>
        <v>72126.8</v>
      </c>
      <c r="AG57" s="124">
        <f t="shared" si="15"/>
        <v>201</v>
      </c>
      <c r="AH57" s="125">
        <f t="shared" si="15"/>
        <v>60388.800000000003</v>
      </c>
      <c r="AI57" s="124">
        <f t="shared" si="15"/>
        <v>293</v>
      </c>
      <c r="AJ57" s="125">
        <f t="shared" si="15"/>
        <v>101493.2</v>
      </c>
      <c r="AK57" s="124">
        <f t="shared" si="15"/>
        <v>208</v>
      </c>
      <c r="AL57" s="125">
        <f t="shared" si="15"/>
        <v>71259.899999999994</v>
      </c>
      <c r="AM57" s="124">
        <f t="shared" si="15"/>
        <v>237</v>
      </c>
      <c r="AN57" s="125">
        <f t="shared" si="15"/>
        <v>96213.5</v>
      </c>
      <c r="AO57" s="124">
        <f t="shared" si="15"/>
        <v>6</v>
      </c>
      <c r="AP57" s="125">
        <f t="shared" si="15"/>
        <v>835</v>
      </c>
      <c r="AQ57" s="124">
        <f t="shared" si="15"/>
        <v>188</v>
      </c>
      <c r="AR57" s="125">
        <f t="shared" si="15"/>
        <v>57536.3</v>
      </c>
      <c r="AS57" s="124">
        <f t="shared" si="15"/>
        <v>162</v>
      </c>
      <c r="AT57" s="125">
        <f t="shared" si="15"/>
        <v>52115.3</v>
      </c>
      <c r="AU57" s="124">
        <f t="shared" si="15"/>
        <v>188</v>
      </c>
      <c r="AV57" s="125">
        <f t="shared" si="15"/>
        <v>58100.200000000004</v>
      </c>
      <c r="AW57" s="124">
        <f t="shared" si="15"/>
        <v>265</v>
      </c>
      <c r="AX57" s="125">
        <f t="shared" si="15"/>
        <v>89357.3</v>
      </c>
      <c r="AY57" s="124">
        <f t="shared" si="15"/>
        <v>204</v>
      </c>
      <c r="AZ57" s="125">
        <f t="shared" si="15"/>
        <v>68860.799999999988</v>
      </c>
      <c r="BA57" s="124">
        <f t="shared" si="15"/>
        <v>251</v>
      </c>
      <c r="BB57" s="125">
        <f t="shared" si="15"/>
        <v>96209.8</v>
      </c>
      <c r="BC57" s="124">
        <f t="shared" si="15"/>
        <v>243</v>
      </c>
      <c r="BD57" s="125">
        <f t="shared" si="15"/>
        <v>81843.7</v>
      </c>
      <c r="BE57" s="124">
        <f t="shared" si="15"/>
        <v>168</v>
      </c>
      <c r="BF57" s="125">
        <f t="shared" si="15"/>
        <v>46713.1</v>
      </c>
      <c r="BG57" s="124">
        <f t="shared" si="15"/>
        <v>169</v>
      </c>
      <c r="BH57" s="125">
        <f t="shared" si="15"/>
        <v>62169</v>
      </c>
      <c r="BI57" s="124">
        <f t="shared" si="15"/>
        <v>190</v>
      </c>
      <c r="BJ57" s="125">
        <f t="shared" si="15"/>
        <v>54296.5</v>
      </c>
      <c r="BK57" s="124">
        <f t="shared" si="15"/>
        <v>277</v>
      </c>
      <c r="BL57" s="125">
        <f t="shared" si="15"/>
        <v>101462.20000000001</v>
      </c>
      <c r="BM57" s="126">
        <f t="shared" ref="BM57:BN57" si="16">SUM(BM55,BM49,BM44,BM39,BM32,BM26,BM17)</f>
        <v>6488</v>
      </c>
      <c r="BN57" s="125">
        <f t="shared" si="16"/>
        <v>2173933</v>
      </c>
      <c r="BO57" s="102"/>
      <c r="BP57" s="102"/>
      <c r="BQ57" s="102"/>
      <c r="BR57" s="102"/>
      <c r="BS57" s="102"/>
      <c r="BT57" s="102"/>
      <c r="BU57" s="102"/>
      <c r="BV57" s="102"/>
      <c r="BW57" s="102"/>
      <c r="BX57" s="102"/>
      <c r="CA57" s="83"/>
      <c r="CB57" s="83"/>
      <c r="CC57" s="83"/>
      <c r="CD57" s="83"/>
      <c r="CE57" s="83"/>
      <c r="CF57" s="83"/>
      <c r="CG57" s="83"/>
      <c r="CH57" s="83"/>
      <c r="CI57" s="83"/>
      <c r="CJ57" s="83"/>
      <c r="CK57" s="83"/>
      <c r="CL57" s="83"/>
      <c r="CM57" s="83"/>
      <c r="CN57" s="83"/>
      <c r="CO57" s="83"/>
      <c r="CP57" s="83"/>
    </row>
    <row r="58" spans="1:94" x14ac:dyDescent="0.25">
      <c r="A58" s="103"/>
      <c r="C58" s="124"/>
      <c r="D58" s="125"/>
      <c r="E58" s="124"/>
      <c r="F58" s="125"/>
      <c r="G58" s="124"/>
      <c r="H58" s="125"/>
      <c r="I58" s="124"/>
      <c r="J58" s="125"/>
      <c r="K58" s="124"/>
      <c r="L58" s="125"/>
      <c r="M58" s="124"/>
      <c r="N58" s="125"/>
      <c r="O58" s="124"/>
      <c r="P58" s="125"/>
      <c r="Q58" s="124"/>
      <c r="R58" s="125"/>
      <c r="S58" s="124"/>
      <c r="T58" s="125"/>
      <c r="U58" s="124"/>
      <c r="V58" s="125"/>
      <c r="W58" s="124"/>
      <c r="X58" s="125"/>
      <c r="Y58" s="124"/>
      <c r="Z58" s="125"/>
      <c r="AA58" s="124"/>
      <c r="AB58" s="125"/>
      <c r="AC58" s="124"/>
      <c r="AD58" s="125"/>
      <c r="AE58" s="124"/>
      <c r="AF58" s="125"/>
      <c r="AG58" s="124"/>
      <c r="AH58" s="125"/>
      <c r="AI58" s="124"/>
      <c r="AJ58" s="125"/>
      <c r="AK58" s="124"/>
      <c r="AL58" s="125"/>
      <c r="AM58" s="124"/>
      <c r="AN58" s="125"/>
      <c r="AO58" s="124"/>
      <c r="AP58" s="125"/>
      <c r="AQ58" s="124"/>
      <c r="AR58" s="125"/>
      <c r="AS58" s="124"/>
      <c r="AT58" s="125"/>
      <c r="AU58" s="124"/>
      <c r="AV58" s="125"/>
      <c r="AW58" s="124"/>
      <c r="AX58" s="125"/>
      <c r="AY58" s="124"/>
      <c r="AZ58" s="125"/>
      <c r="BA58" s="124"/>
      <c r="BB58" s="125"/>
      <c r="BC58" s="124"/>
      <c r="BD58" s="125"/>
      <c r="BE58" s="124"/>
      <c r="BF58" s="125"/>
      <c r="BG58" s="124"/>
      <c r="BH58" s="125"/>
      <c r="BI58" s="124"/>
      <c r="BJ58" s="125"/>
      <c r="BK58" s="124"/>
      <c r="BL58" s="125"/>
      <c r="BM58" s="126"/>
      <c r="BN58" s="125"/>
      <c r="BO58" s="102"/>
      <c r="BP58" s="102"/>
      <c r="BQ58" s="102"/>
      <c r="BR58" s="102"/>
      <c r="BS58" s="102"/>
      <c r="BT58" s="102"/>
      <c r="BU58" s="102"/>
      <c r="BV58" s="102"/>
      <c r="BW58" s="102"/>
      <c r="BX58" s="102"/>
      <c r="CA58" s="83"/>
      <c r="CB58" s="83"/>
      <c r="CC58" s="83"/>
      <c r="CD58" s="83"/>
      <c r="CE58" s="83"/>
      <c r="CF58" s="83"/>
      <c r="CG58" s="83"/>
      <c r="CH58" s="83"/>
      <c r="CI58" s="83"/>
      <c r="CJ58" s="83"/>
      <c r="CK58" s="83"/>
      <c r="CL58" s="83"/>
      <c r="CM58" s="83"/>
      <c r="CN58" s="83"/>
      <c r="CO58" s="83"/>
      <c r="CP58" s="83"/>
    </row>
    <row r="59" spans="1:94" x14ac:dyDescent="0.25">
      <c r="C59" s="118"/>
      <c r="D59" s="80"/>
      <c r="E59" s="118"/>
      <c r="F59" s="80"/>
      <c r="G59" s="118"/>
      <c r="H59" s="80"/>
      <c r="I59" s="118"/>
      <c r="J59" s="80"/>
      <c r="K59" s="118"/>
      <c r="L59" s="80"/>
      <c r="M59" s="118"/>
      <c r="N59" s="80"/>
      <c r="O59" s="118"/>
      <c r="P59" s="80"/>
      <c r="Q59" s="118"/>
      <c r="R59" s="80"/>
      <c r="S59" s="118"/>
      <c r="T59" s="80"/>
      <c r="U59" s="118"/>
      <c r="V59" s="80"/>
      <c r="W59" s="118"/>
      <c r="X59" s="80"/>
      <c r="Y59" s="118"/>
      <c r="Z59" s="80"/>
      <c r="AA59" s="118"/>
      <c r="AB59" s="80"/>
      <c r="AC59" s="118"/>
      <c r="AD59" s="80"/>
      <c r="AE59" s="118"/>
      <c r="AF59" s="80"/>
      <c r="AG59" s="118"/>
      <c r="AH59" s="80"/>
      <c r="AI59" s="118"/>
      <c r="AJ59" s="80"/>
      <c r="AK59" s="118"/>
      <c r="AL59" s="80"/>
      <c r="AM59" s="118"/>
      <c r="AN59" s="80"/>
      <c r="AO59" s="118"/>
      <c r="AP59" s="80"/>
      <c r="AQ59" s="118"/>
      <c r="AR59" s="80"/>
      <c r="AS59" s="118"/>
      <c r="AT59" s="80"/>
      <c r="AU59" s="118"/>
      <c r="AV59" s="80"/>
      <c r="AW59" s="118"/>
      <c r="AX59" s="80"/>
      <c r="AY59" s="118"/>
      <c r="AZ59" s="80"/>
      <c r="BA59" s="118"/>
      <c r="BB59" s="80"/>
      <c r="BC59" s="118"/>
      <c r="BD59" s="80"/>
      <c r="BE59" s="118"/>
      <c r="BF59" s="80"/>
      <c r="BG59" s="118"/>
      <c r="BH59" s="80"/>
      <c r="BI59" s="118"/>
      <c r="BJ59" s="80"/>
      <c r="BK59" s="118"/>
      <c r="BL59" s="80"/>
      <c r="BM59" s="120"/>
      <c r="BN59" s="80"/>
      <c r="CA59" s="83"/>
      <c r="CB59" s="83"/>
      <c r="CC59" s="83"/>
      <c r="CD59" s="83"/>
      <c r="CE59" s="83"/>
      <c r="CF59" s="83"/>
      <c r="CG59" s="83"/>
      <c r="CH59" s="83"/>
      <c r="CI59" s="83"/>
      <c r="CJ59" s="83"/>
      <c r="CK59" s="83"/>
      <c r="CL59" s="83"/>
      <c r="CM59" s="83"/>
      <c r="CN59" s="83"/>
      <c r="CO59" s="83"/>
      <c r="CP59" s="83"/>
    </row>
    <row r="60" spans="1:94" x14ac:dyDescent="0.25">
      <c r="A60" s="92" t="s">
        <v>47</v>
      </c>
      <c r="B60" s="93"/>
      <c r="C60" s="132" t="s">
        <v>48</v>
      </c>
      <c r="D60" s="132" t="s">
        <v>49</v>
      </c>
      <c r="E60" s="132" t="s">
        <v>48</v>
      </c>
      <c r="F60" s="132" t="s">
        <v>49</v>
      </c>
      <c r="G60" s="132" t="s">
        <v>48</v>
      </c>
      <c r="H60" s="132" t="s">
        <v>49</v>
      </c>
      <c r="I60" s="132" t="s">
        <v>48</v>
      </c>
      <c r="J60" s="132" t="s">
        <v>49</v>
      </c>
      <c r="K60" s="132" t="s">
        <v>48</v>
      </c>
      <c r="L60" s="132" t="s">
        <v>49</v>
      </c>
      <c r="M60" s="132" t="s">
        <v>48</v>
      </c>
      <c r="N60" s="132" t="s">
        <v>49</v>
      </c>
      <c r="O60" s="132" t="s">
        <v>48</v>
      </c>
      <c r="P60" s="132" t="s">
        <v>49</v>
      </c>
      <c r="Q60" s="132" t="s">
        <v>48</v>
      </c>
      <c r="R60" s="132" t="s">
        <v>49</v>
      </c>
      <c r="S60" s="132" t="s">
        <v>48</v>
      </c>
      <c r="T60" s="132" t="s">
        <v>49</v>
      </c>
      <c r="U60" s="132" t="s">
        <v>48</v>
      </c>
      <c r="V60" s="132" t="s">
        <v>49</v>
      </c>
      <c r="W60" s="132" t="s">
        <v>48</v>
      </c>
      <c r="X60" s="132" t="s">
        <v>49</v>
      </c>
      <c r="Y60" s="132" t="s">
        <v>48</v>
      </c>
      <c r="Z60" s="132" t="s">
        <v>49</v>
      </c>
      <c r="AA60" s="132" t="s">
        <v>48</v>
      </c>
      <c r="AB60" s="132" t="s">
        <v>49</v>
      </c>
      <c r="AC60" s="132" t="s">
        <v>48</v>
      </c>
      <c r="AD60" s="132" t="s">
        <v>49</v>
      </c>
      <c r="AE60" s="132" t="s">
        <v>48</v>
      </c>
      <c r="AF60" s="132" t="s">
        <v>49</v>
      </c>
      <c r="AG60" s="132" t="s">
        <v>48</v>
      </c>
      <c r="AH60" s="132" t="s">
        <v>49</v>
      </c>
      <c r="AI60" s="132" t="s">
        <v>48</v>
      </c>
      <c r="AJ60" s="132" t="s">
        <v>49</v>
      </c>
      <c r="AK60" s="132" t="s">
        <v>48</v>
      </c>
      <c r="AL60" s="132" t="s">
        <v>49</v>
      </c>
      <c r="AM60" s="132" t="s">
        <v>48</v>
      </c>
      <c r="AN60" s="132" t="s">
        <v>49</v>
      </c>
      <c r="AO60" s="132" t="s">
        <v>48</v>
      </c>
      <c r="AP60" s="132" t="s">
        <v>49</v>
      </c>
      <c r="AQ60" s="132" t="s">
        <v>48</v>
      </c>
      <c r="AR60" s="132" t="s">
        <v>49</v>
      </c>
      <c r="AS60" s="132" t="s">
        <v>48</v>
      </c>
      <c r="AT60" s="132" t="s">
        <v>49</v>
      </c>
      <c r="AU60" s="132" t="s">
        <v>48</v>
      </c>
      <c r="AV60" s="132" t="s">
        <v>49</v>
      </c>
      <c r="AW60" s="132" t="s">
        <v>48</v>
      </c>
      <c r="AX60" s="132" t="s">
        <v>49</v>
      </c>
      <c r="AY60" s="132" t="s">
        <v>48</v>
      </c>
      <c r="AZ60" s="132" t="s">
        <v>49</v>
      </c>
      <c r="BA60" s="132" t="s">
        <v>48</v>
      </c>
      <c r="BB60" s="132" t="s">
        <v>49</v>
      </c>
      <c r="BC60" s="132" t="s">
        <v>48</v>
      </c>
      <c r="BD60" s="132" t="s">
        <v>49</v>
      </c>
      <c r="BE60" s="132" t="s">
        <v>48</v>
      </c>
      <c r="BF60" s="132" t="s">
        <v>49</v>
      </c>
      <c r="BG60" s="132" t="s">
        <v>48</v>
      </c>
      <c r="BH60" s="132" t="s">
        <v>49</v>
      </c>
      <c r="BI60" s="132" t="s">
        <v>48</v>
      </c>
      <c r="BJ60" s="132" t="s">
        <v>49</v>
      </c>
      <c r="BK60" s="132" t="s">
        <v>48</v>
      </c>
      <c r="BL60" s="132" t="s">
        <v>49</v>
      </c>
      <c r="BM60" s="133"/>
      <c r="BN60" s="132" t="s">
        <v>50</v>
      </c>
      <c r="CA60" s="83"/>
      <c r="CB60" s="83"/>
      <c r="CC60" s="83"/>
      <c r="CD60" s="83"/>
      <c r="CE60" s="83"/>
      <c r="CF60" s="83"/>
      <c r="CG60" s="83"/>
      <c r="CH60" s="83"/>
      <c r="CI60" s="83"/>
      <c r="CJ60" s="83"/>
      <c r="CK60" s="83"/>
      <c r="CL60" s="83"/>
      <c r="CM60" s="83"/>
      <c r="CN60" s="83"/>
      <c r="CO60" s="83"/>
      <c r="CP60" s="83"/>
    </row>
    <row r="61" spans="1:94" x14ac:dyDescent="0.25">
      <c r="A61" s="79" t="s">
        <v>51</v>
      </c>
      <c r="B61" s="98" t="s">
        <v>52</v>
      </c>
      <c r="C61" s="134">
        <v>1.8800000000000001E-2</v>
      </c>
      <c r="D61" s="135">
        <f>C61*(D26+D35)</f>
        <v>547.72484000000009</v>
      </c>
      <c r="E61" s="134">
        <v>1.8800000000000001E-2</v>
      </c>
      <c r="F61" s="135">
        <f>E61*(F26+F35)</f>
        <v>453.04428000000007</v>
      </c>
      <c r="G61" s="134">
        <v>1.8800000000000001E-2</v>
      </c>
      <c r="H61" s="135">
        <f>G61*(H26+H35)</f>
        <v>688.48419999999999</v>
      </c>
      <c r="I61" s="134">
        <v>1.8800000000000001E-2</v>
      </c>
      <c r="J61" s="135">
        <f>I61*(J26+J35)</f>
        <v>684.03424000000007</v>
      </c>
      <c r="K61" s="134">
        <v>1.8800000000000001E-2</v>
      </c>
      <c r="L61" s="135">
        <f>K61*(L26+L35)</f>
        <v>581.7829200000001</v>
      </c>
      <c r="M61" s="134">
        <v>1.8800000000000001E-2</v>
      </c>
      <c r="N61" s="135">
        <f>M61*(N26+N35)</f>
        <v>422.41532000000007</v>
      </c>
      <c r="O61" s="134">
        <v>1.8800000000000001E-2</v>
      </c>
      <c r="P61" s="135">
        <f>O61*(P26+P35)</f>
        <v>450.39348000000001</v>
      </c>
      <c r="Q61" s="134">
        <v>1.8800000000000001E-2</v>
      </c>
      <c r="R61" s="135">
        <f>Q61*(R26+R35)</f>
        <v>506.16556000000003</v>
      </c>
      <c r="S61" s="134">
        <v>1.8800000000000001E-2</v>
      </c>
      <c r="T61" s="135">
        <f>S61*(T26+T35)</f>
        <v>520.64343999999994</v>
      </c>
      <c r="U61" s="134">
        <v>1.8800000000000001E-2</v>
      </c>
      <c r="V61" s="135">
        <f>U61*(V26+V35)</f>
        <v>721.72636000000011</v>
      </c>
      <c r="W61" s="134">
        <v>1.8800000000000001E-2</v>
      </c>
      <c r="X61" s="135">
        <f>W61*(X26+X35)</f>
        <v>565.46640000000002</v>
      </c>
      <c r="Y61" s="134">
        <v>1.8800000000000001E-2</v>
      </c>
      <c r="Z61" s="135">
        <f>Y61*(Z26+Z35)</f>
        <v>616.85620000000006</v>
      </c>
      <c r="AA61" s="134">
        <v>1.8800000000000001E-2</v>
      </c>
      <c r="AB61" s="135">
        <f>AA61*(AB26+AB35)</f>
        <v>538.19888000000003</v>
      </c>
      <c r="AC61" s="134">
        <v>1.8800000000000001E-2</v>
      </c>
      <c r="AD61" s="135">
        <f>AC61*(AD26+AD35)</f>
        <v>482.16924</v>
      </c>
      <c r="AE61" s="134">
        <v>1.8800000000000001E-2</v>
      </c>
      <c r="AF61" s="135">
        <f>AE61*(AF26+AF35)</f>
        <v>655.43755999999996</v>
      </c>
      <c r="AG61" s="134">
        <v>1.8800000000000001E-2</v>
      </c>
      <c r="AH61" s="135">
        <f>AG61*(AH26+AH35)</f>
        <v>645.63524000000007</v>
      </c>
      <c r="AI61" s="134">
        <v>1.8800000000000001E-2</v>
      </c>
      <c r="AJ61" s="135">
        <f>AI61*(AJ26+AJ35)</f>
        <v>844.87763999999993</v>
      </c>
      <c r="AK61" s="134">
        <v>1.8800000000000001E-2</v>
      </c>
      <c r="AL61" s="135">
        <f>AK61*(AL26+AL35)</f>
        <v>610.46795999999995</v>
      </c>
      <c r="AM61" s="134">
        <v>1.8800000000000001E-2</v>
      </c>
      <c r="AN61" s="135">
        <f>AM61*(AN26+AN35)</f>
        <v>607.11592000000007</v>
      </c>
      <c r="AO61" s="134">
        <v>1.8800000000000001E-2</v>
      </c>
      <c r="AP61" s="135">
        <f>AO61*(AP26+AP35)</f>
        <v>0</v>
      </c>
      <c r="AQ61" s="134">
        <v>1.8800000000000001E-2</v>
      </c>
      <c r="AR61" s="135">
        <f>AQ61*(AR26+AR35)</f>
        <v>492.09000000000003</v>
      </c>
      <c r="AS61" s="134">
        <v>1.8800000000000001E-2</v>
      </c>
      <c r="AT61" s="135">
        <f>AS61*(AT26+AT35)</f>
        <v>473.5532</v>
      </c>
      <c r="AU61" s="134">
        <v>1.8800000000000001E-2</v>
      </c>
      <c r="AV61" s="135">
        <f>AU61*(AV26+AV35)</f>
        <v>487.45015999999998</v>
      </c>
      <c r="AW61" s="134">
        <v>1.8800000000000001E-2</v>
      </c>
      <c r="AX61" s="135">
        <f>AW61*(AX26+AX35)</f>
        <v>678.20060000000001</v>
      </c>
      <c r="AY61" s="134">
        <v>1.8800000000000001E-2</v>
      </c>
      <c r="AZ61" s="135">
        <f>AY61*(AZ26+AZ35)</f>
        <v>544.69803999999999</v>
      </c>
      <c r="BA61" s="134">
        <v>1.8800000000000001E-2</v>
      </c>
      <c r="BB61" s="135">
        <f>BA61*(BB26+BB35)</f>
        <v>797.97915999999998</v>
      </c>
      <c r="BC61" s="134">
        <v>1.8800000000000001E-2</v>
      </c>
      <c r="BD61" s="135">
        <f>BC61*(BD26+BD35)</f>
        <v>604.24328000000003</v>
      </c>
      <c r="BE61" s="134">
        <v>1.8800000000000001E-2</v>
      </c>
      <c r="BF61" s="135">
        <f>BE61*(BF26+BF35)</f>
        <v>403.1472</v>
      </c>
      <c r="BG61" s="134">
        <v>1.8800000000000001E-2</v>
      </c>
      <c r="BH61" s="135">
        <f>BG61*(BH26+BH35)</f>
        <v>489.98627999999997</v>
      </c>
      <c r="BI61" s="134">
        <v>1.8800000000000001E-2</v>
      </c>
      <c r="BJ61" s="135">
        <f>BI61*(BJ26+BJ35)</f>
        <v>438.80327999999997</v>
      </c>
      <c r="BK61" s="134">
        <v>1.8800000000000001E-2</v>
      </c>
      <c r="BL61" s="135">
        <f>BK61*(BL26+BL35)</f>
        <v>806.37335999999993</v>
      </c>
      <c r="BM61" s="136"/>
      <c r="BN61" s="113" cm="1">
        <f t="array" ref="BN61">SUMPRODUCT((MOD(COLUMN(D61:BM61)-COLUMN(D61),2)=0)*D61:BM61)</f>
        <v>17359.164240000002</v>
      </c>
      <c r="CA61" s="83"/>
      <c r="CB61" s="83"/>
      <c r="CC61" s="83"/>
      <c r="CD61" s="83"/>
      <c r="CE61" s="83"/>
      <c r="CF61" s="83"/>
      <c r="CG61" s="83"/>
      <c r="CH61" s="83"/>
      <c r="CI61" s="83"/>
      <c r="CJ61" s="83"/>
      <c r="CK61" s="83"/>
      <c r="CL61" s="83"/>
      <c r="CM61" s="83"/>
      <c r="CN61" s="83"/>
      <c r="CO61" s="83"/>
      <c r="CP61" s="83"/>
    </row>
    <row r="62" spans="1:94" x14ac:dyDescent="0.25">
      <c r="A62" s="79" t="s">
        <v>7</v>
      </c>
      <c r="B62" s="98" t="s">
        <v>52</v>
      </c>
      <c r="C62" s="134">
        <v>1.8800000000000001E-2</v>
      </c>
      <c r="D62" s="135">
        <f>C62*(D17+D36)</f>
        <v>536.60275999999999</v>
      </c>
      <c r="E62" s="134">
        <v>1.8800000000000001E-2</v>
      </c>
      <c r="F62" s="135">
        <f>E62*(F17+F36)</f>
        <v>428.38620000000003</v>
      </c>
      <c r="G62" s="134">
        <v>1.8800000000000001E-2</v>
      </c>
      <c r="H62" s="135">
        <f>G62*(H17+H36)</f>
        <v>765.0547200000002</v>
      </c>
      <c r="I62" s="134">
        <v>1.8800000000000001E-2</v>
      </c>
      <c r="J62" s="135">
        <f>I62*(J17+J36)</f>
        <v>536.85844000000009</v>
      </c>
      <c r="K62" s="134">
        <v>1.8800000000000001E-2</v>
      </c>
      <c r="L62" s="135">
        <f>K62*(L17+L36)</f>
        <v>793.47468000000003</v>
      </c>
      <c r="M62" s="134">
        <v>1.8800000000000001E-2</v>
      </c>
      <c r="N62" s="135">
        <f>M62*(N17+N36)</f>
        <v>809.74419999999998</v>
      </c>
      <c r="O62" s="134">
        <v>1.8800000000000001E-2</v>
      </c>
      <c r="P62" s="135">
        <f>O62*(P17+P36)</f>
        <v>498.03456000000006</v>
      </c>
      <c r="Q62" s="134">
        <v>1.8800000000000001E-2</v>
      </c>
      <c r="R62" s="135">
        <f>Q62*(R17+R36)</f>
        <v>474.44808</v>
      </c>
      <c r="S62" s="134">
        <v>1.8800000000000001E-2</v>
      </c>
      <c r="T62" s="135">
        <f>S62*(T17+T36)</f>
        <v>527.19524000000001</v>
      </c>
      <c r="U62" s="134">
        <v>1.8800000000000001E-2</v>
      </c>
      <c r="V62" s="135">
        <f>U62*(V17+V36)</f>
        <v>691.20643999999993</v>
      </c>
      <c r="W62" s="134">
        <v>1.8800000000000001E-2</v>
      </c>
      <c r="X62" s="135">
        <f>W62*(X17+X36)</f>
        <v>589.25591999999995</v>
      </c>
      <c r="Y62" s="134">
        <v>1.8800000000000001E-2</v>
      </c>
      <c r="Z62" s="135">
        <f>Y62*(Z17+Z36)</f>
        <v>750.90207999999996</v>
      </c>
      <c r="AA62" s="134">
        <v>1.8800000000000001E-2</v>
      </c>
      <c r="AB62" s="135">
        <f>AA62*(AB17+AB36)</f>
        <v>821.56187999999997</v>
      </c>
      <c r="AC62" s="134">
        <v>1.8800000000000001E-2</v>
      </c>
      <c r="AD62" s="135">
        <f>AC62*(AD17+AD36)</f>
        <v>525.24567999999999</v>
      </c>
      <c r="AE62" s="134">
        <v>1.8800000000000001E-2</v>
      </c>
      <c r="AF62" s="135">
        <f>AE62*(AF17+AF36)</f>
        <v>558.88452000000007</v>
      </c>
      <c r="AG62" s="134">
        <v>1.8800000000000001E-2</v>
      </c>
      <c r="AH62" s="135">
        <f>AG62*(AH17+AH36)</f>
        <v>344.57016000000004</v>
      </c>
      <c r="AI62" s="134">
        <v>1.8800000000000001E-2</v>
      </c>
      <c r="AJ62" s="135">
        <f>AI62*(AJ17+AJ36)</f>
        <v>847.01707999999996</v>
      </c>
      <c r="AK62" s="134">
        <v>1.8800000000000001E-2</v>
      </c>
      <c r="AL62" s="135">
        <f>AK62*(AL17+AL36)</f>
        <v>595.08204000000001</v>
      </c>
      <c r="AM62" s="134">
        <v>1.8800000000000001E-2</v>
      </c>
      <c r="AN62" s="135">
        <f>AM62*(AN17+AN36)</f>
        <v>992.99531999999988</v>
      </c>
      <c r="AO62" s="134">
        <v>1.8800000000000001E-2</v>
      </c>
      <c r="AP62" s="135">
        <f>AO62*(AP17+AP36)</f>
        <v>0</v>
      </c>
      <c r="AQ62" s="134">
        <v>1.8800000000000001E-2</v>
      </c>
      <c r="AR62" s="135">
        <f>AQ62*(AR17+AR36)</f>
        <v>468.64264000000003</v>
      </c>
      <c r="AS62" s="134">
        <v>1.8800000000000001E-2</v>
      </c>
      <c r="AT62" s="135">
        <f>AS62*(AT17+AT36)</f>
        <v>433.22532000000007</v>
      </c>
      <c r="AU62" s="134">
        <v>1.8800000000000001E-2</v>
      </c>
      <c r="AV62" s="135">
        <f>AU62*(AV17+AV36)</f>
        <v>469.67476000000011</v>
      </c>
      <c r="AW62" s="134">
        <v>1.8800000000000001E-2</v>
      </c>
      <c r="AX62" s="135">
        <f>AW62*(AX17+AX36)</f>
        <v>850.48191999999995</v>
      </c>
      <c r="AY62" s="134">
        <v>1.8800000000000001E-2</v>
      </c>
      <c r="AZ62" s="135">
        <f>AY62*(AZ17+AZ36)</f>
        <v>595.35275999999999</v>
      </c>
      <c r="BA62" s="134">
        <v>1.8800000000000001E-2</v>
      </c>
      <c r="BB62" s="135">
        <f>BA62*(BB17+BB36)</f>
        <v>851.1587199999999</v>
      </c>
      <c r="BC62" s="134">
        <v>1.8800000000000001E-2</v>
      </c>
      <c r="BD62" s="135">
        <f>BC62*(BD17+BD36)</f>
        <v>791.00060000000008</v>
      </c>
      <c r="BE62" s="134">
        <v>1.8800000000000001E-2</v>
      </c>
      <c r="BF62" s="135">
        <f>BE62*(BF17+BF36)</f>
        <v>379.4460400000001</v>
      </c>
      <c r="BG62" s="134">
        <v>1.8800000000000001E-2</v>
      </c>
      <c r="BH62" s="135">
        <f>BG62*(BH17+BH36)</f>
        <v>541.05272000000002</v>
      </c>
      <c r="BI62" s="134">
        <v>1.8800000000000001E-2</v>
      </c>
      <c r="BJ62" s="135">
        <f>BI62*(BJ17+BJ36)</f>
        <v>434.32324</v>
      </c>
      <c r="BK62" s="134">
        <v>1.8800000000000001E-2</v>
      </c>
      <c r="BL62" s="135">
        <f>BK62*(BL17+BL36)</f>
        <v>888.53500000000008</v>
      </c>
      <c r="BM62" s="136"/>
      <c r="BN62" s="113" cm="1">
        <f t="array" ref="BN62">SUMPRODUCT((MOD(COLUMN(D62:BM62)-COLUMN(D62),2)=0)*D62:BM62)</f>
        <v>18789.413719999997</v>
      </c>
      <c r="CA62" s="83"/>
      <c r="CB62" s="83"/>
      <c r="CC62" s="83"/>
      <c r="CD62" s="83"/>
      <c r="CE62" s="83"/>
      <c r="CF62" s="83"/>
      <c r="CG62" s="83"/>
      <c r="CH62" s="83"/>
      <c r="CI62" s="83"/>
      <c r="CJ62" s="83"/>
      <c r="CK62" s="83"/>
      <c r="CL62" s="83"/>
      <c r="CM62" s="83"/>
      <c r="CN62" s="83"/>
      <c r="CO62" s="83"/>
      <c r="CP62" s="83"/>
    </row>
    <row r="63" spans="1:94" x14ac:dyDescent="0.25">
      <c r="A63" s="79" t="s">
        <v>53</v>
      </c>
      <c r="B63" s="98" t="s">
        <v>52</v>
      </c>
      <c r="C63" s="134">
        <v>1.8800000000000001E-2</v>
      </c>
      <c r="D63" s="135">
        <f>C63*(D32+D39)</f>
        <v>183.40716000000003</v>
      </c>
      <c r="E63" s="134">
        <v>1.8800000000000001E-2</v>
      </c>
      <c r="F63" s="135">
        <f>E63*(F32+F39)</f>
        <v>231.42799999999997</v>
      </c>
      <c r="G63" s="134">
        <v>1.8800000000000001E-2</v>
      </c>
      <c r="H63" s="135">
        <f>G63*(H32+H39)</f>
        <v>246.18788000000001</v>
      </c>
      <c r="I63" s="134">
        <v>1.8800000000000001E-2</v>
      </c>
      <c r="J63" s="135">
        <f>I63*(J32+J39)</f>
        <v>268.62191999999999</v>
      </c>
      <c r="K63" s="134">
        <v>1.8800000000000001E-2</v>
      </c>
      <c r="L63" s="135">
        <f>K63*(L32+L39)</f>
        <v>372.13848000000007</v>
      </c>
      <c r="M63" s="134">
        <v>1.8800000000000001E-2</v>
      </c>
      <c r="N63" s="135">
        <f>M63*(N32+N39)</f>
        <v>299.70584000000002</v>
      </c>
      <c r="O63" s="134">
        <v>1.8800000000000001E-2</v>
      </c>
      <c r="P63" s="135">
        <f>O63*(P32+P39)</f>
        <v>154.89132000000001</v>
      </c>
      <c r="Q63" s="134">
        <v>1.8800000000000001E-2</v>
      </c>
      <c r="R63" s="135">
        <f>Q63*(R32+R39)</f>
        <v>181.54408000000001</v>
      </c>
      <c r="S63" s="134">
        <v>1.8800000000000001E-2</v>
      </c>
      <c r="T63" s="135">
        <f>S63*(T32+T39)</f>
        <v>248.65067999999999</v>
      </c>
      <c r="U63" s="134">
        <v>1.8800000000000001E-2</v>
      </c>
      <c r="V63" s="135">
        <f>U63*(V32+V39)</f>
        <v>204.37104000000002</v>
      </c>
      <c r="W63" s="134">
        <v>1.8800000000000001E-2</v>
      </c>
      <c r="X63" s="135">
        <f>W63*(X32+X39)</f>
        <v>233.97915999999998</v>
      </c>
      <c r="Y63" s="134">
        <v>1.8800000000000001E-2</v>
      </c>
      <c r="Z63" s="135">
        <f>Y63*(Z32+Z39)</f>
        <v>272.29543999999999</v>
      </c>
      <c r="AA63" s="134">
        <v>1.8800000000000001E-2</v>
      </c>
      <c r="AB63" s="135">
        <f>AA63*(AB32+AB39)</f>
        <v>330.19003999999995</v>
      </c>
      <c r="AC63" s="134">
        <v>1.8800000000000001E-2</v>
      </c>
      <c r="AD63" s="135">
        <f>AC63*(AD32+AD39)</f>
        <v>205.08544000000006</v>
      </c>
      <c r="AE63" s="134">
        <v>1.8800000000000001E-2</v>
      </c>
      <c r="AF63" s="135">
        <f>AE63*(AF32+AF39)</f>
        <v>211.02435999999994</v>
      </c>
      <c r="AG63" s="134">
        <v>1.8800000000000001E-2</v>
      </c>
      <c r="AH63" s="135">
        <f>AG63*(AH32+AH39)</f>
        <v>148.95992000000004</v>
      </c>
      <c r="AI63" s="134">
        <v>1.8800000000000001E-2</v>
      </c>
      <c r="AJ63" s="135">
        <f>AI63*(AJ32+AJ39)</f>
        <v>278.67240000000004</v>
      </c>
      <c r="AK63" s="134">
        <v>1.8800000000000001E-2</v>
      </c>
      <c r="AL63" s="135">
        <f>AK63*(AL32+AL39)</f>
        <v>289.83208000000008</v>
      </c>
      <c r="AM63" s="134">
        <v>1.8800000000000001E-2</v>
      </c>
      <c r="AN63" s="135">
        <f>AM63*(AN32+AN39)</f>
        <v>274.86164000000002</v>
      </c>
      <c r="AO63" s="134">
        <v>1.8800000000000001E-2</v>
      </c>
      <c r="AP63" s="135">
        <f>AO63*(AP32+AP39)</f>
        <v>7.1966399999999995</v>
      </c>
      <c r="AQ63" s="134">
        <v>1.8800000000000001E-2</v>
      </c>
      <c r="AR63" s="135">
        <f>AQ63*(AR32+AR39)</f>
        <v>210.83636000000001</v>
      </c>
      <c r="AS63" s="134">
        <v>1.8800000000000001E-2</v>
      </c>
      <c r="AT63" s="135">
        <f>AS63*(AT32+AT39)</f>
        <v>142.25020000000004</v>
      </c>
      <c r="AU63" s="134">
        <v>1.8800000000000001E-2</v>
      </c>
      <c r="AV63" s="135">
        <f>AU63*(AV32+AV39)</f>
        <v>175.79504000000003</v>
      </c>
      <c r="AW63" s="134">
        <v>1.8800000000000001E-2</v>
      </c>
      <c r="AX63" s="135">
        <f>AW63*(AX32+AX39)</f>
        <v>216.8768</v>
      </c>
      <c r="AY63" s="134">
        <v>1.8800000000000001E-2</v>
      </c>
      <c r="AZ63" s="135">
        <f>AY63*(AZ32+AZ39)</f>
        <v>219.61032</v>
      </c>
      <c r="BA63" s="134">
        <v>1.8800000000000001E-2</v>
      </c>
      <c r="BB63" s="135">
        <f>BA63*(BB32+BB39)</f>
        <v>378.26540000000006</v>
      </c>
      <c r="BC63" s="134">
        <v>1.8800000000000001E-2</v>
      </c>
      <c r="BD63" s="135">
        <f>BC63*(BD32+BD39)</f>
        <v>208.27956000000003</v>
      </c>
      <c r="BE63" s="134">
        <v>1.8800000000000001E-2</v>
      </c>
      <c r="BF63" s="135">
        <f>BE63*(BF32+BF39)</f>
        <v>182.89392000000001</v>
      </c>
      <c r="BG63" s="134">
        <v>1.8800000000000001E-2</v>
      </c>
      <c r="BH63" s="135">
        <f>BG63*(BH32+BH39)</f>
        <v>163.5976</v>
      </c>
      <c r="BI63" s="134">
        <v>1.8800000000000001E-2</v>
      </c>
      <c r="BJ63" s="135">
        <f>BI63*(BJ32+BJ39)</f>
        <v>201.76723999999999</v>
      </c>
      <c r="BK63" s="134">
        <v>1.8800000000000001E-2</v>
      </c>
      <c r="BL63" s="135">
        <f>BK63*(BL32+BL39)</f>
        <v>212.57723999999999</v>
      </c>
      <c r="BM63" s="136"/>
      <c r="BN63" s="113" cm="1">
        <f t="array" ref="BN63">SUMPRODUCT((MOD(COLUMN(D63:BM63)-COLUMN(D63),2)=0)*D63:BM63)</f>
        <v>6955.793200000001</v>
      </c>
      <c r="CA63" s="83"/>
      <c r="CB63" s="83"/>
      <c r="CC63" s="83"/>
      <c r="CD63" s="83"/>
      <c r="CE63" s="83"/>
      <c r="CF63" s="83"/>
      <c r="CG63" s="83"/>
      <c r="CH63" s="83"/>
      <c r="CI63" s="83"/>
      <c r="CJ63" s="83"/>
      <c r="CK63" s="83"/>
      <c r="CL63" s="83"/>
      <c r="CM63" s="83"/>
      <c r="CN63" s="83"/>
      <c r="CO63" s="83"/>
      <c r="CP63" s="83"/>
    </row>
    <row r="64" spans="1:94" x14ac:dyDescent="0.25">
      <c r="A64" s="79" t="s">
        <v>34</v>
      </c>
      <c r="B64" s="98" t="s">
        <v>52</v>
      </c>
      <c r="C64" s="134">
        <v>0.02</v>
      </c>
      <c r="D64" s="135">
        <f>C64*(D38+D44)</f>
        <v>71.385999999999996</v>
      </c>
      <c r="E64" s="134">
        <v>0.02</v>
      </c>
      <c r="F64" s="135">
        <f>E64*(F38+F44)</f>
        <v>93.397999999999996</v>
      </c>
      <c r="G64" s="134">
        <v>0.02</v>
      </c>
      <c r="H64" s="135">
        <f>G64*(H38+H44)</f>
        <v>93.554000000000016</v>
      </c>
      <c r="I64" s="134">
        <v>0.02</v>
      </c>
      <c r="J64" s="135">
        <f>I64*(J38+J44)</f>
        <v>125.49600000000001</v>
      </c>
      <c r="K64" s="134">
        <v>0.02</v>
      </c>
      <c r="L64" s="135">
        <f>K64*(L38+L44)</f>
        <v>50.046000000000006</v>
      </c>
      <c r="M64" s="134">
        <v>0.02</v>
      </c>
      <c r="N64" s="135">
        <f>M64*(N38+N44)</f>
        <v>69.698000000000008</v>
      </c>
      <c r="O64" s="134">
        <v>0.02</v>
      </c>
      <c r="P64" s="135">
        <f>O64*(P38+P44)</f>
        <v>59.326000000000008</v>
      </c>
      <c r="Q64" s="134">
        <v>0.02</v>
      </c>
      <c r="R64" s="135">
        <f>Q64*(R38+R44)</f>
        <v>55.526000000000003</v>
      </c>
      <c r="S64" s="134">
        <v>0.02</v>
      </c>
      <c r="T64" s="135">
        <f>S64*(T38+T44)</f>
        <v>28.713999999999999</v>
      </c>
      <c r="U64" s="134">
        <v>0.02</v>
      </c>
      <c r="V64" s="135">
        <f>U64*(V38+V44)</f>
        <v>63.756000000000007</v>
      </c>
      <c r="W64" s="134">
        <v>0.02</v>
      </c>
      <c r="X64" s="135">
        <f>W64*(X38+X44)</f>
        <v>31.245999999999999</v>
      </c>
      <c r="Y64" s="134">
        <v>0.02</v>
      </c>
      <c r="Z64" s="135">
        <f>Y64*(Z38+Z44)</f>
        <v>61.176000000000002</v>
      </c>
      <c r="AA64" s="134">
        <v>0.02</v>
      </c>
      <c r="AB64" s="135">
        <f>AA64*(AB38+AB44)</f>
        <v>66.054000000000002</v>
      </c>
      <c r="AC64" s="134">
        <v>0.02</v>
      </c>
      <c r="AD64" s="135">
        <f>AC64*(AD38+AD44)</f>
        <v>41.821999999999996</v>
      </c>
      <c r="AE64" s="134">
        <v>0.02</v>
      </c>
      <c r="AF64" s="135">
        <f>AE64*(AF38+AF44)</f>
        <v>68.75</v>
      </c>
      <c r="AG64" s="134">
        <v>0.02</v>
      </c>
      <c r="AH64" s="135">
        <f>AG64*(AH38+AH44)</f>
        <v>73.986000000000004</v>
      </c>
      <c r="AI64" s="134">
        <v>0.02</v>
      </c>
      <c r="AJ64" s="135">
        <f>AI64*(AJ38+AJ44)</f>
        <v>84.62</v>
      </c>
      <c r="AK64" s="134">
        <v>0.02</v>
      </c>
      <c r="AL64" s="135">
        <f>AK64*(AL38+AL44)</f>
        <v>45.643999999999998</v>
      </c>
      <c r="AM64" s="134">
        <v>0.02</v>
      </c>
      <c r="AN64" s="135">
        <f>AM64*(AN38+AN44)</f>
        <v>129.01</v>
      </c>
      <c r="AO64" s="134">
        <v>0.02</v>
      </c>
      <c r="AP64" s="135">
        <f>AO64*(AP38+AP44)</f>
        <v>3.7239999999999998</v>
      </c>
      <c r="AQ64" s="134">
        <v>0.02</v>
      </c>
      <c r="AR64" s="135">
        <f>AQ64*(AR38+AR44)</f>
        <v>47.223999999999997</v>
      </c>
      <c r="AS64" s="134">
        <v>0.02</v>
      </c>
      <c r="AT64" s="135">
        <f>AS64*(AT38+AT44)</f>
        <v>22.355999999999998</v>
      </c>
      <c r="AU64" s="134">
        <v>0.02</v>
      </c>
      <c r="AV64" s="135">
        <f>AU64*(AV38+AV44)</f>
        <v>48.671999999999997</v>
      </c>
      <c r="AW64" s="134">
        <v>0.02</v>
      </c>
      <c r="AX64" s="135">
        <f>AW64*(AX38+AX44)</f>
        <v>45.486000000000004</v>
      </c>
      <c r="AY64" s="134">
        <v>0.02</v>
      </c>
      <c r="AZ64" s="135">
        <f>AY64*(AZ38+AZ44)</f>
        <v>79.094000000000008</v>
      </c>
      <c r="BA64" s="134">
        <v>0.02</v>
      </c>
      <c r="BB64" s="135">
        <f>BA64*(BB38+BB44)</f>
        <v>80.338000000000008</v>
      </c>
      <c r="BC64" s="134">
        <v>0.02</v>
      </c>
      <c r="BD64" s="135">
        <f>BC64*(BD38+BD44)</f>
        <v>76.39800000000001</v>
      </c>
      <c r="BE64" s="134">
        <v>0.02</v>
      </c>
      <c r="BF64" s="135">
        <f>BE64*(BF38+BF44)</f>
        <v>26.838000000000001</v>
      </c>
      <c r="BG64" s="134">
        <v>0.02</v>
      </c>
      <c r="BH64" s="135">
        <f>BG64*(BH38+BH44)</f>
        <v>70.116</v>
      </c>
      <c r="BI64" s="134">
        <v>0.02</v>
      </c>
      <c r="BJ64" s="135">
        <f>BI64*(BJ38+BJ44)</f>
        <v>46.692</v>
      </c>
      <c r="BK64" s="134">
        <v>0.02</v>
      </c>
      <c r="BL64" s="135">
        <f>BK64*(BL38+BL44)</f>
        <v>101.01</v>
      </c>
      <c r="BM64" s="136"/>
      <c r="BN64" s="113" cm="1">
        <f t="array" ref="BN64">SUMPRODUCT((MOD(COLUMN(D64:BM64)-COLUMN(D64),2)=0)*D64:BM64)</f>
        <v>1961.1559999999999</v>
      </c>
      <c r="CA64" s="83"/>
      <c r="CB64" s="83"/>
      <c r="CC64" s="83"/>
      <c r="CD64" s="83"/>
      <c r="CE64" s="83"/>
      <c r="CF64" s="83"/>
      <c r="CG64" s="83"/>
      <c r="CH64" s="83"/>
      <c r="CI64" s="83"/>
      <c r="CJ64" s="83"/>
      <c r="CK64" s="83"/>
      <c r="CL64" s="83"/>
      <c r="CM64" s="83"/>
      <c r="CN64" s="83"/>
      <c r="CO64" s="83"/>
      <c r="CP64" s="83"/>
    </row>
    <row r="65" spans="1:94" x14ac:dyDescent="0.25">
      <c r="C65" s="137"/>
      <c r="D65" s="138"/>
      <c r="E65" s="118"/>
      <c r="F65" s="138"/>
      <c r="G65" s="118"/>
      <c r="H65" s="138"/>
      <c r="I65" s="118"/>
      <c r="J65" s="138"/>
      <c r="K65" s="118"/>
      <c r="L65" s="138"/>
      <c r="M65" s="118"/>
      <c r="N65" s="138"/>
      <c r="O65" s="118"/>
      <c r="P65" s="138"/>
      <c r="Q65" s="118"/>
      <c r="R65" s="138"/>
      <c r="S65" s="118"/>
      <c r="T65" s="138"/>
      <c r="U65" s="118"/>
      <c r="V65" s="138"/>
      <c r="W65" s="118"/>
      <c r="X65" s="138"/>
      <c r="Y65" s="118"/>
      <c r="Z65" s="138"/>
      <c r="AA65" s="118"/>
      <c r="AB65" s="138"/>
      <c r="AC65" s="118"/>
      <c r="AD65" s="138"/>
      <c r="AE65" s="118"/>
      <c r="AF65" s="138"/>
      <c r="AG65" s="118"/>
      <c r="AH65" s="138"/>
      <c r="AI65" s="118"/>
      <c r="AJ65" s="138"/>
      <c r="AK65" s="118"/>
      <c r="AL65" s="138"/>
      <c r="AM65" s="118"/>
      <c r="AN65" s="138"/>
      <c r="AO65" s="118"/>
      <c r="AP65" s="138"/>
      <c r="AQ65" s="118"/>
      <c r="AR65" s="138"/>
      <c r="AS65" s="118"/>
      <c r="AT65" s="138"/>
      <c r="AU65" s="118"/>
      <c r="AV65" s="138"/>
      <c r="AW65" s="118"/>
      <c r="AX65" s="138"/>
      <c r="AY65" s="118"/>
      <c r="AZ65" s="138"/>
      <c r="BA65" s="118"/>
      <c r="BB65" s="138"/>
      <c r="BC65" s="118"/>
      <c r="BD65" s="138"/>
      <c r="BE65" s="118"/>
      <c r="BF65" s="138"/>
      <c r="BG65" s="118"/>
      <c r="BH65" s="138"/>
      <c r="BI65" s="118"/>
      <c r="BJ65" s="138"/>
      <c r="BK65" s="118"/>
      <c r="BL65" s="138"/>
      <c r="BM65" s="120"/>
      <c r="BN65" s="138"/>
      <c r="CA65" s="83"/>
      <c r="CB65" s="83"/>
      <c r="CC65" s="83"/>
      <c r="CD65" s="83"/>
      <c r="CE65" s="83"/>
      <c r="CF65" s="83"/>
      <c r="CG65" s="83"/>
      <c r="CH65" s="83"/>
      <c r="CI65" s="83"/>
      <c r="CJ65" s="83"/>
      <c r="CK65" s="83"/>
      <c r="CL65" s="83"/>
      <c r="CM65" s="83"/>
      <c r="CN65" s="83"/>
      <c r="CO65" s="83"/>
      <c r="CP65" s="83"/>
    </row>
    <row r="66" spans="1:94" x14ac:dyDescent="0.25">
      <c r="A66" s="79" t="s">
        <v>54</v>
      </c>
      <c r="B66" s="98" t="s">
        <v>52</v>
      </c>
      <c r="C66" s="139">
        <v>0.75</v>
      </c>
      <c r="D66" s="140">
        <f>SUM(D61:D63)*C66</f>
        <v>950.80106999999998</v>
      </c>
      <c r="E66" s="139">
        <v>0.75</v>
      </c>
      <c r="F66" s="140">
        <f>SUM(F61:F63)*E66</f>
        <v>834.64386000000013</v>
      </c>
      <c r="G66" s="139">
        <v>0.75</v>
      </c>
      <c r="H66" s="140">
        <f>SUM(H61:H63)*G66</f>
        <v>1274.7951</v>
      </c>
      <c r="I66" s="139">
        <v>0.75</v>
      </c>
      <c r="J66" s="140">
        <f>SUM(J61:J63)*I66</f>
        <v>1117.1359500000001</v>
      </c>
      <c r="K66" s="139">
        <v>0.75</v>
      </c>
      <c r="L66" s="140">
        <f>SUM(L61:L63)*K66</f>
        <v>1310.5470600000001</v>
      </c>
      <c r="M66" s="139">
        <v>0.75</v>
      </c>
      <c r="N66" s="140">
        <f>SUM(N61:N63)*M66</f>
        <v>1148.8990200000003</v>
      </c>
      <c r="O66" s="139">
        <v>0.75</v>
      </c>
      <c r="P66" s="140">
        <f>SUM(P61:P63)*O66</f>
        <v>827.48951999999997</v>
      </c>
      <c r="Q66" s="139">
        <v>0.75</v>
      </c>
      <c r="R66" s="140">
        <f>SUM(R61:R63)*Q66</f>
        <v>871.61829000000012</v>
      </c>
      <c r="S66" s="139">
        <v>0.75</v>
      </c>
      <c r="T66" s="140">
        <f>SUM(T61:T63)*S66</f>
        <v>972.36701999999991</v>
      </c>
      <c r="U66" s="139">
        <v>0.75</v>
      </c>
      <c r="V66" s="140">
        <f>SUM(V61:V63)*U66</f>
        <v>1212.9778799999999</v>
      </c>
      <c r="W66" s="139">
        <v>0.75</v>
      </c>
      <c r="X66" s="140">
        <f>SUM(X61:X63)*W66</f>
        <v>1041.5261099999998</v>
      </c>
      <c r="Y66" s="139">
        <v>0.75</v>
      </c>
      <c r="Z66" s="140">
        <f>SUM(Z61:Z63)*Y66</f>
        <v>1230.0402899999999</v>
      </c>
      <c r="AA66" s="139">
        <v>0.75</v>
      </c>
      <c r="AB66" s="140">
        <f>SUM(AB61:AB63)*AA66</f>
        <v>1267.4630999999999</v>
      </c>
      <c r="AC66" s="139">
        <v>0.75</v>
      </c>
      <c r="AD66" s="140">
        <f>SUM(AD61:AD63)*AC66</f>
        <v>909.37527</v>
      </c>
      <c r="AE66" s="139">
        <v>0.75</v>
      </c>
      <c r="AF66" s="140">
        <f>SUM(AF61:AF63)*AE66</f>
        <v>1069.00983</v>
      </c>
      <c r="AG66" s="139">
        <v>0.75</v>
      </c>
      <c r="AH66" s="140">
        <f>SUM(AH61:AH63)*AG66</f>
        <v>854.37399000000005</v>
      </c>
      <c r="AI66" s="139">
        <v>0.75</v>
      </c>
      <c r="AJ66" s="140">
        <f>SUM(AJ61:AJ63)*AI66</f>
        <v>1477.9253399999998</v>
      </c>
      <c r="AK66" s="139">
        <v>0.75</v>
      </c>
      <c r="AL66" s="140">
        <f>SUM(AL61:AL63)*AK66</f>
        <v>1121.53656</v>
      </c>
      <c r="AM66" s="139">
        <v>0.75</v>
      </c>
      <c r="AN66" s="140">
        <f>SUM(AN61:AN63)*AM66</f>
        <v>1406.22966</v>
      </c>
      <c r="AO66" s="139">
        <v>0.75</v>
      </c>
      <c r="AP66" s="140">
        <f>SUM(AP61:AP63)*AO66</f>
        <v>5.3974799999999998</v>
      </c>
      <c r="AQ66" s="139">
        <v>0.75</v>
      </c>
      <c r="AR66" s="140">
        <f>SUM(AR61:AR63)*AQ66</f>
        <v>878.67674999999997</v>
      </c>
      <c r="AS66" s="139">
        <v>0.75</v>
      </c>
      <c r="AT66" s="140">
        <f>SUM(AT61:AT63)*AS66</f>
        <v>786.77153999999996</v>
      </c>
      <c r="AU66" s="139">
        <v>0.75</v>
      </c>
      <c r="AV66" s="140">
        <f>SUM(AV61:AV63)*AU66</f>
        <v>849.68997000000013</v>
      </c>
      <c r="AW66" s="139">
        <v>0.75</v>
      </c>
      <c r="AX66" s="140">
        <f>SUM(AX61:AX63)*AW66</f>
        <v>1309.1694899999998</v>
      </c>
      <c r="AY66" s="139">
        <v>0.75</v>
      </c>
      <c r="AZ66" s="140">
        <f>SUM(AZ61:AZ63)*AY66</f>
        <v>1019.74584</v>
      </c>
      <c r="BA66" s="139">
        <v>0.75</v>
      </c>
      <c r="BB66" s="140">
        <f>SUM(BB61:BB63)*BA66</f>
        <v>1520.5524599999999</v>
      </c>
      <c r="BC66" s="139">
        <v>0.75</v>
      </c>
      <c r="BD66" s="140">
        <f>SUM(BD61:BD63)*BC66</f>
        <v>1202.64258</v>
      </c>
      <c r="BE66" s="139">
        <v>0.75</v>
      </c>
      <c r="BF66" s="140">
        <f>SUM(BF61:BF63)*BE66</f>
        <v>724.1153700000001</v>
      </c>
      <c r="BG66" s="139">
        <v>0.75</v>
      </c>
      <c r="BH66" s="140">
        <f>SUM(BH61:BH63)*BG66</f>
        <v>895.97745000000009</v>
      </c>
      <c r="BI66" s="139">
        <v>0.75</v>
      </c>
      <c r="BJ66" s="140">
        <f>SUM(BJ61:BJ63)*BI66</f>
        <v>806.17031999999995</v>
      </c>
      <c r="BK66" s="139">
        <v>0.75</v>
      </c>
      <c r="BL66" s="140">
        <f>SUM(BL61:BL63)*BK66</f>
        <v>1430.6142</v>
      </c>
      <c r="BM66" s="141"/>
      <c r="BN66" s="113" cm="1">
        <f t="array" ref="BN66">SUMPRODUCT((MOD(COLUMN(D66:BM66)-COLUMN(D66),2)=0)*D66:BM66)</f>
        <v>32328.27837</v>
      </c>
      <c r="CA66" s="83"/>
      <c r="CB66" s="83"/>
      <c r="CC66" s="83"/>
      <c r="CD66" s="83"/>
      <c r="CE66" s="83"/>
      <c r="CF66" s="83"/>
      <c r="CG66" s="83"/>
      <c r="CH66" s="83"/>
      <c r="CI66" s="83"/>
      <c r="CJ66" s="83"/>
      <c r="CK66" s="83"/>
      <c r="CL66" s="83"/>
      <c r="CM66" s="83"/>
      <c r="CN66" s="83"/>
      <c r="CO66" s="83"/>
      <c r="CP66" s="83"/>
    </row>
    <row r="67" spans="1:94" x14ac:dyDescent="0.25">
      <c r="A67" s="79" t="s">
        <v>55</v>
      </c>
      <c r="B67" s="98"/>
      <c r="C67" s="139">
        <v>0.7</v>
      </c>
      <c r="D67" s="140">
        <f>C67*D64</f>
        <v>49.970199999999991</v>
      </c>
      <c r="E67" s="139">
        <v>0.7</v>
      </c>
      <c r="F67" s="140">
        <f t="shared" ref="F67" si="17">E67*F64</f>
        <v>65.378599999999992</v>
      </c>
      <c r="G67" s="139">
        <v>0.7</v>
      </c>
      <c r="H67" s="140">
        <f t="shared" ref="H67" si="18">G67*H64</f>
        <v>65.487800000000007</v>
      </c>
      <c r="I67" s="139">
        <v>0.7</v>
      </c>
      <c r="J67" s="140">
        <f t="shared" ref="J67" si="19">I67*J64</f>
        <v>87.847200000000001</v>
      </c>
      <c r="K67" s="139">
        <v>0.7</v>
      </c>
      <c r="L67" s="140">
        <f t="shared" ref="L67" si="20">K67*L64</f>
        <v>35.032200000000003</v>
      </c>
      <c r="M67" s="139">
        <v>0.7</v>
      </c>
      <c r="N67" s="140">
        <f t="shared" ref="N67" si="21">M67*N64</f>
        <v>48.788600000000002</v>
      </c>
      <c r="O67" s="139">
        <v>0.7</v>
      </c>
      <c r="P67" s="140">
        <f t="shared" ref="P67" si="22">O67*P64</f>
        <v>41.528200000000005</v>
      </c>
      <c r="Q67" s="139">
        <v>0.7</v>
      </c>
      <c r="R67" s="140">
        <f t="shared" ref="R67" si="23">Q67*R64</f>
        <v>38.868200000000002</v>
      </c>
      <c r="S67" s="139">
        <v>0.7</v>
      </c>
      <c r="T67" s="140">
        <f t="shared" ref="T67" si="24">S67*T64</f>
        <v>20.099799999999998</v>
      </c>
      <c r="U67" s="139">
        <v>0.7</v>
      </c>
      <c r="V67" s="140">
        <f t="shared" ref="V67" si="25">U67*V64</f>
        <v>44.629200000000004</v>
      </c>
      <c r="W67" s="139">
        <v>0.7</v>
      </c>
      <c r="X67" s="140">
        <f t="shared" ref="X67" si="26">W67*X64</f>
        <v>21.872199999999999</v>
      </c>
      <c r="Y67" s="139">
        <v>0.7</v>
      </c>
      <c r="Z67" s="140">
        <f t="shared" ref="Z67" si="27">Y67*Z64</f>
        <v>42.8232</v>
      </c>
      <c r="AA67" s="139">
        <v>0.7</v>
      </c>
      <c r="AB67" s="140">
        <f t="shared" ref="AB67" si="28">AA67*AB64</f>
        <v>46.2378</v>
      </c>
      <c r="AC67" s="139">
        <v>0.7</v>
      </c>
      <c r="AD67" s="140">
        <f t="shared" ref="AD67" si="29">AC67*AD64</f>
        <v>29.275399999999994</v>
      </c>
      <c r="AE67" s="139">
        <v>0.7</v>
      </c>
      <c r="AF67" s="140">
        <f t="shared" ref="AF67" si="30">AE67*AF64</f>
        <v>48.125</v>
      </c>
      <c r="AG67" s="139">
        <v>0.7</v>
      </c>
      <c r="AH67" s="140">
        <f t="shared" ref="AH67" si="31">AG67*AH64</f>
        <v>51.790199999999999</v>
      </c>
      <c r="AI67" s="139">
        <v>0.7</v>
      </c>
      <c r="AJ67" s="140">
        <f t="shared" ref="AJ67" si="32">AI67*AJ64</f>
        <v>59.234000000000002</v>
      </c>
      <c r="AK67" s="139">
        <v>0.7</v>
      </c>
      <c r="AL67" s="140">
        <f t="shared" ref="AL67" si="33">AK67*AL64</f>
        <v>31.950799999999997</v>
      </c>
      <c r="AM67" s="139">
        <v>0.7</v>
      </c>
      <c r="AN67" s="140">
        <f t="shared" ref="AN67" si="34">AM67*AN64</f>
        <v>90.306999999999988</v>
      </c>
      <c r="AO67" s="139">
        <v>0.7</v>
      </c>
      <c r="AP67" s="140">
        <f t="shared" ref="AP67" si="35">AO67*AP64</f>
        <v>2.6067999999999998</v>
      </c>
      <c r="AQ67" s="139">
        <v>0.7</v>
      </c>
      <c r="AR67" s="140">
        <f t="shared" ref="AR67" si="36">AQ67*AR64</f>
        <v>33.056799999999996</v>
      </c>
      <c r="AS67" s="139">
        <v>0.7</v>
      </c>
      <c r="AT67" s="140">
        <f t="shared" ref="AT67" si="37">AS67*AT64</f>
        <v>15.649199999999997</v>
      </c>
      <c r="AU67" s="139">
        <v>0.7</v>
      </c>
      <c r="AV67" s="140">
        <f t="shared" ref="AV67" si="38">AU67*AV64</f>
        <v>34.070399999999992</v>
      </c>
      <c r="AW67" s="139">
        <v>0.7</v>
      </c>
      <c r="AX67" s="140">
        <f t="shared" ref="AX67" si="39">AW67*AX64</f>
        <v>31.840199999999999</v>
      </c>
      <c r="AY67" s="139">
        <v>0.7</v>
      </c>
      <c r="AZ67" s="140">
        <f t="shared" ref="AZ67" si="40">AY67*AZ64</f>
        <v>55.3658</v>
      </c>
      <c r="BA67" s="139">
        <v>0.7</v>
      </c>
      <c r="BB67" s="140">
        <f t="shared" ref="BB67" si="41">BA67*BB64</f>
        <v>56.236600000000003</v>
      </c>
      <c r="BC67" s="139">
        <v>0.7</v>
      </c>
      <c r="BD67" s="140">
        <f t="shared" ref="BD67" si="42">BC67*BD64</f>
        <v>53.478600000000007</v>
      </c>
      <c r="BE67" s="139">
        <v>0.7</v>
      </c>
      <c r="BF67" s="140">
        <f t="shared" ref="BF67" si="43">BE67*BF64</f>
        <v>18.7866</v>
      </c>
      <c r="BG67" s="139">
        <v>0.7</v>
      </c>
      <c r="BH67" s="140">
        <f t="shared" ref="BH67" si="44">BG67*BH64</f>
        <v>49.081199999999995</v>
      </c>
      <c r="BI67" s="139">
        <v>0.7</v>
      </c>
      <c r="BJ67" s="140">
        <f t="shared" ref="BJ67" si="45">BI67*BJ64</f>
        <v>32.684399999999997</v>
      </c>
      <c r="BK67" s="139">
        <v>0.7</v>
      </c>
      <c r="BL67" s="140">
        <f t="shared" ref="BL67" si="46">BK67*BL64</f>
        <v>70.706999999999994</v>
      </c>
      <c r="BM67" s="141"/>
      <c r="BN67" s="113" cm="1">
        <f t="array" ref="BN67">SUMPRODUCT((MOD(COLUMN(D67:BM67)-COLUMN(D67),2)=0)*D67:BM67)</f>
        <v>1372.8092000000001</v>
      </c>
      <c r="CA67" s="83"/>
      <c r="CB67" s="83"/>
      <c r="CC67" s="83"/>
      <c r="CD67" s="83"/>
      <c r="CE67" s="83"/>
      <c r="CF67" s="83"/>
      <c r="CG67" s="83"/>
      <c r="CH67" s="83"/>
      <c r="CI67" s="83"/>
      <c r="CJ67" s="83"/>
      <c r="CK67" s="83"/>
      <c r="CL67" s="83"/>
      <c r="CM67" s="83"/>
      <c r="CN67" s="83"/>
      <c r="CO67" s="83"/>
      <c r="CP67" s="83"/>
    </row>
    <row r="68" spans="1:94" x14ac:dyDescent="0.25">
      <c r="A68" s="79" t="s">
        <v>56</v>
      </c>
      <c r="B68" s="98" t="s">
        <v>52</v>
      </c>
      <c r="C68" s="139">
        <v>0.25</v>
      </c>
      <c r="D68" s="140">
        <f>SUM(D61:D63)*C68</f>
        <v>316.93369000000001</v>
      </c>
      <c r="E68" s="139">
        <v>0.25</v>
      </c>
      <c r="F68" s="140">
        <f>SUM(F61:F63)*E68</f>
        <v>278.21462000000002</v>
      </c>
      <c r="G68" s="139">
        <v>0.25</v>
      </c>
      <c r="H68" s="140">
        <f>SUM(H61:H63)*G68</f>
        <v>424.93170000000003</v>
      </c>
      <c r="I68" s="139">
        <v>0.25</v>
      </c>
      <c r="J68" s="140">
        <f>SUM(J61:J63)*I68</f>
        <v>372.37865000000005</v>
      </c>
      <c r="K68" s="139">
        <v>0.25</v>
      </c>
      <c r="L68" s="140">
        <f>SUM(L61:L63)*K68</f>
        <v>436.84902000000005</v>
      </c>
      <c r="M68" s="139">
        <v>0.25</v>
      </c>
      <c r="N68" s="140">
        <f>SUM(N61:N63)*M68</f>
        <v>382.96634000000006</v>
      </c>
      <c r="O68" s="139">
        <v>0.25</v>
      </c>
      <c r="P68" s="140">
        <f>SUM(P61:P63)*O68</f>
        <v>275.82983999999999</v>
      </c>
      <c r="Q68" s="139">
        <v>0.25</v>
      </c>
      <c r="R68" s="140">
        <f>SUM(R61:R63)*Q68</f>
        <v>290.53943000000004</v>
      </c>
      <c r="S68" s="139">
        <v>0.25</v>
      </c>
      <c r="T68" s="140">
        <f>SUM(T61:T63)*S68</f>
        <v>324.12233999999995</v>
      </c>
      <c r="U68" s="139">
        <v>0.25</v>
      </c>
      <c r="V68" s="140">
        <f>SUM(V61:V63)*U68</f>
        <v>404.32596000000001</v>
      </c>
      <c r="W68" s="139">
        <v>0.25</v>
      </c>
      <c r="X68" s="140">
        <f>SUM(X61:X63)*W68</f>
        <v>347.17536999999993</v>
      </c>
      <c r="Y68" s="139">
        <v>0.25</v>
      </c>
      <c r="Z68" s="140">
        <f>SUM(Z61:Z63)*Y68</f>
        <v>410.01342999999997</v>
      </c>
      <c r="AA68" s="139">
        <v>0.25</v>
      </c>
      <c r="AB68" s="140">
        <f>SUM(AB61:AB63)*AA68</f>
        <v>422.48770000000002</v>
      </c>
      <c r="AC68" s="139">
        <v>0.25</v>
      </c>
      <c r="AD68" s="140">
        <f>SUM(AD61:AD63)*AC68</f>
        <v>303.12509</v>
      </c>
      <c r="AE68" s="139">
        <v>0.25</v>
      </c>
      <c r="AF68" s="140">
        <f>SUM(AF61:AF63)*AE68</f>
        <v>356.33660999999995</v>
      </c>
      <c r="AG68" s="139">
        <v>0.25</v>
      </c>
      <c r="AH68" s="140">
        <f>SUM(AH61:AH63)*AG68</f>
        <v>284.79133000000002</v>
      </c>
      <c r="AI68" s="139">
        <v>0.25</v>
      </c>
      <c r="AJ68" s="140">
        <f>SUM(AJ61:AJ63)*AI68</f>
        <v>492.64177999999993</v>
      </c>
      <c r="AK68" s="139">
        <v>0.25</v>
      </c>
      <c r="AL68" s="140">
        <f>SUM(AL61:AL63)*AK68</f>
        <v>373.84552000000002</v>
      </c>
      <c r="AM68" s="139">
        <v>0.25</v>
      </c>
      <c r="AN68" s="140">
        <f>SUM(AN61:AN63)*AM68</f>
        <v>468.74322000000001</v>
      </c>
      <c r="AO68" s="139">
        <v>0.25</v>
      </c>
      <c r="AP68" s="140">
        <f>SUM(AP61:AP63)*AO68</f>
        <v>1.7991599999999999</v>
      </c>
      <c r="AQ68" s="139">
        <v>0.25</v>
      </c>
      <c r="AR68" s="140">
        <f>SUM(AR61:AR63)*AQ68</f>
        <v>292.89224999999999</v>
      </c>
      <c r="AS68" s="139">
        <v>0.25</v>
      </c>
      <c r="AT68" s="140">
        <f>SUM(AT61:AT63)*AS68</f>
        <v>262.25718000000001</v>
      </c>
      <c r="AU68" s="139">
        <v>0.25</v>
      </c>
      <c r="AV68" s="140">
        <f>SUM(AV61:AV63)*AU68</f>
        <v>283.22999000000004</v>
      </c>
      <c r="AW68" s="139">
        <v>0.25</v>
      </c>
      <c r="AX68" s="140">
        <f>SUM(AX61:AX63)*AW68</f>
        <v>436.38982999999996</v>
      </c>
      <c r="AY68" s="139">
        <v>0.25</v>
      </c>
      <c r="AZ68" s="140">
        <f>SUM(AZ61:AZ63)*AY68</f>
        <v>339.91528</v>
      </c>
      <c r="BA68" s="139">
        <v>0.25</v>
      </c>
      <c r="BB68" s="140">
        <f>SUM(BB61:BB63)*BA68</f>
        <v>506.85081999999994</v>
      </c>
      <c r="BC68" s="139">
        <v>0.25</v>
      </c>
      <c r="BD68" s="140">
        <f>SUM(BD61:BD63)*BC68</f>
        <v>400.88085999999998</v>
      </c>
      <c r="BE68" s="139">
        <v>0.25</v>
      </c>
      <c r="BF68" s="140">
        <f>SUM(BF61:BF63)*BE68</f>
        <v>241.37179000000003</v>
      </c>
      <c r="BG68" s="139">
        <v>0.25</v>
      </c>
      <c r="BH68" s="140">
        <f>SUM(BH61:BH63)*BG68</f>
        <v>298.65915000000001</v>
      </c>
      <c r="BI68" s="139">
        <v>0.25</v>
      </c>
      <c r="BJ68" s="140">
        <f>SUM(BJ61:BJ63)*BI68</f>
        <v>268.72343999999998</v>
      </c>
      <c r="BK68" s="139">
        <v>0.25</v>
      </c>
      <c r="BL68" s="140">
        <f>SUM(BL61:BL63)*BK68</f>
        <v>476.87139999999999</v>
      </c>
      <c r="BM68" s="141"/>
      <c r="BN68" s="113" cm="1">
        <f t="array" ref="BN68">SUMPRODUCT((MOD(COLUMN(D68:BM68)-COLUMN(D68),2)=0)*D68:BM68)</f>
        <v>10776.092789999995</v>
      </c>
      <c r="CA68" s="83"/>
      <c r="CB68" s="83"/>
      <c r="CC68" s="83"/>
      <c r="CD68" s="83"/>
      <c r="CE68" s="83"/>
      <c r="CF68" s="83"/>
      <c r="CG68" s="83"/>
      <c r="CH68" s="83"/>
      <c r="CI68" s="83"/>
      <c r="CJ68" s="83"/>
      <c r="CK68" s="83"/>
      <c r="CL68" s="83"/>
      <c r="CM68" s="83"/>
      <c r="CN68" s="83"/>
      <c r="CO68" s="83"/>
      <c r="CP68" s="83"/>
    </row>
    <row r="69" spans="1:94" x14ac:dyDescent="0.25">
      <c r="A69" s="79" t="s">
        <v>57</v>
      </c>
      <c r="B69" s="98"/>
      <c r="C69" s="139">
        <v>0.3</v>
      </c>
      <c r="D69" s="140">
        <f>D64*C69</f>
        <v>21.415799999999997</v>
      </c>
      <c r="E69" s="139">
        <v>0.3</v>
      </c>
      <c r="F69" s="140">
        <f t="shared" ref="F69" si="47">F64*E69</f>
        <v>28.019399999999997</v>
      </c>
      <c r="G69" s="139">
        <v>0.3</v>
      </c>
      <c r="H69" s="140">
        <f t="shared" ref="H69" si="48">H64*G69</f>
        <v>28.066200000000006</v>
      </c>
      <c r="I69" s="139">
        <v>0.3</v>
      </c>
      <c r="J69" s="140">
        <f t="shared" ref="J69" si="49">J64*I69</f>
        <v>37.648800000000001</v>
      </c>
      <c r="K69" s="139">
        <v>0.3</v>
      </c>
      <c r="L69" s="140">
        <f t="shared" ref="L69" si="50">L64*K69</f>
        <v>15.013800000000002</v>
      </c>
      <c r="M69" s="139">
        <v>0.3</v>
      </c>
      <c r="N69" s="140">
        <f t="shared" ref="N69" si="51">N64*M69</f>
        <v>20.909400000000002</v>
      </c>
      <c r="O69" s="139">
        <v>0.3</v>
      </c>
      <c r="P69" s="140">
        <f t="shared" ref="P69" si="52">P64*O69</f>
        <v>17.797800000000002</v>
      </c>
      <c r="Q69" s="139">
        <v>0.3</v>
      </c>
      <c r="R69" s="140">
        <f t="shared" ref="R69" si="53">R64*Q69</f>
        <v>16.657800000000002</v>
      </c>
      <c r="S69" s="139">
        <v>0.3</v>
      </c>
      <c r="T69" s="140">
        <f t="shared" ref="T69" si="54">T64*S69</f>
        <v>8.6141999999999985</v>
      </c>
      <c r="U69" s="139">
        <v>0.3</v>
      </c>
      <c r="V69" s="140">
        <f t="shared" ref="V69" si="55">V64*U69</f>
        <v>19.126800000000003</v>
      </c>
      <c r="W69" s="139">
        <v>0.3</v>
      </c>
      <c r="X69" s="140">
        <f t="shared" ref="X69" si="56">X64*W69</f>
        <v>9.3737999999999992</v>
      </c>
      <c r="Y69" s="139">
        <v>0.3</v>
      </c>
      <c r="Z69" s="140">
        <f t="shared" ref="Z69" si="57">Z64*Y69</f>
        <v>18.352799999999998</v>
      </c>
      <c r="AA69" s="139">
        <v>0.3</v>
      </c>
      <c r="AB69" s="140">
        <f t="shared" ref="AB69" si="58">AB64*AA69</f>
        <v>19.816199999999998</v>
      </c>
      <c r="AC69" s="139">
        <v>0.3</v>
      </c>
      <c r="AD69" s="140">
        <f t="shared" ref="AD69" si="59">AD64*AC69</f>
        <v>12.546599999999998</v>
      </c>
      <c r="AE69" s="139">
        <v>0.3</v>
      </c>
      <c r="AF69" s="140">
        <f t="shared" ref="AF69" si="60">AF64*AE69</f>
        <v>20.625</v>
      </c>
      <c r="AG69" s="139">
        <v>0.3</v>
      </c>
      <c r="AH69" s="140">
        <f t="shared" ref="AH69" si="61">AH64*AG69</f>
        <v>22.195800000000002</v>
      </c>
      <c r="AI69" s="139">
        <v>0.3</v>
      </c>
      <c r="AJ69" s="140">
        <f t="shared" ref="AJ69" si="62">AJ64*AI69</f>
        <v>25.385999999999999</v>
      </c>
      <c r="AK69" s="139">
        <v>0.3</v>
      </c>
      <c r="AL69" s="140">
        <f t="shared" ref="AL69" si="63">AL64*AK69</f>
        <v>13.693199999999999</v>
      </c>
      <c r="AM69" s="139">
        <v>0.3</v>
      </c>
      <c r="AN69" s="140">
        <f t="shared" ref="AN69" si="64">AN64*AM69</f>
        <v>38.702999999999996</v>
      </c>
      <c r="AO69" s="139">
        <v>0.3</v>
      </c>
      <c r="AP69" s="140">
        <f t="shared" ref="AP69" si="65">AP64*AO69</f>
        <v>1.1172</v>
      </c>
      <c r="AQ69" s="139">
        <v>0.3</v>
      </c>
      <c r="AR69" s="140">
        <f t="shared" ref="AR69" si="66">AR64*AQ69</f>
        <v>14.167199999999999</v>
      </c>
      <c r="AS69" s="139">
        <v>0.3</v>
      </c>
      <c r="AT69" s="140">
        <f t="shared" ref="AT69" si="67">AT64*AS69</f>
        <v>6.7067999999999994</v>
      </c>
      <c r="AU69" s="139">
        <v>0.3</v>
      </c>
      <c r="AV69" s="140">
        <f t="shared" ref="AV69" si="68">AV64*AU69</f>
        <v>14.601599999999998</v>
      </c>
      <c r="AW69" s="139">
        <v>0.3</v>
      </c>
      <c r="AX69" s="140">
        <f t="shared" ref="AX69" si="69">AX64*AW69</f>
        <v>13.645800000000001</v>
      </c>
      <c r="AY69" s="139">
        <v>0.3</v>
      </c>
      <c r="AZ69" s="140">
        <f t="shared" ref="AZ69" si="70">AZ64*AY69</f>
        <v>23.728200000000001</v>
      </c>
      <c r="BA69" s="139">
        <v>0.3</v>
      </c>
      <c r="BB69" s="140">
        <f t="shared" ref="BB69" si="71">BB64*BA69</f>
        <v>24.101400000000002</v>
      </c>
      <c r="BC69" s="139">
        <v>0.3</v>
      </c>
      <c r="BD69" s="140">
        <f t="shared" ref="BD69" si="72">BD64*BC69</f>
        <v>22.919400000000003</v>
      </c>
      <c r="BE69" s="139">
        <v>0.3</v>
      </c>
      <c r="BF69" s="140">
        <f t="shared" ref="BF69" si="73">BF64*BE69</f>
        <v>8.0513999999999992</v>
      </c>
      <c r="BG69" s="139">
        <v>0.3</v>
      </c>
      <c r="BH69" s="140">
        <f t="shared" ref="BH69" si="74">BH64*BG69</f>
        <v>21.034800000000001</v>
      </c>
      <c r="BI69" s="139">
        <v>0.3</v>
      </c>
      <c r="BJ69" s="140">
        <f t="shared" ref="BJ69" si="75">BJ64*BI69</f>
        <v>14.0076</v>
      </c>
      <c r="BK69" s="139">
        <v>0.3</v>
      </c>
      <c r="BL69" s="140">
        <f t="shared" ref="BL69" si="76">BL64*BK69</f>
        <v>30.303000000000001</v>
      </c>
      <c r="BM69" s="141"/>
      <c r="BN69" s="113" cm="1">
        <f t="array" ref="BN69">SUMPRODUCT((MOD(COLUMN(D69:BM69)-COLUMN(D69),2)=0)*D69:BM69)</f>
        <v>588.34680000000014</v>
      </c>
      <c r="CA69" s="83"/>
      <c r="CB69" s="83"/>
      <c r="CC69" s="83"/>
      <c r="CD69" s="83"/>
      <c r="CE69" s="83"/>
      <c r="CF69" s="83"/>
      <c r="CG69" s="83"/>
      <c r="CH69" s="83"/>
      <c r="CI69" s="83"/>
      <c r="CJ69" s="83"/>
      <c r="CK69" s="83"/>
      <c r="CL69" s="83"/>
      <c r="CM69" s="83"/>
      <c r="CN69" s="83"/>
      <c r="CO69" s="83"/>
      <c r="CP69" s="83"/>
    </row>
    <row r="70" spans="1:94" s="110" customFormat="1" x14ac:dyDescent="0.25">
      <c r="A70" s="107" t="s">
        <v>58</v>
      </c>
      <c r="B70" s="108"/>
      <c r="C70" s="142"/>
      <c r="D70" s="143">
        <f>SUM(D68:D69)</f>
        <v>338.34949</v>
      </c>
      <c r="E70" s="142"/>
      <c r="F70" s="143">
        <f t="shared" ref="F70" si="77">SUM(F68:F69)</f>
        <v>306.23402000000004</v>
      </c>
      <c r="G70" s="142"/>
      <c r="H70" s="143">
        <f t="shared" ref="H70" si="78">SUM(H68:H69)</f>
        <v>452.99790000000002</v>
      </c>
      <c r="I70" s="142"/>
      <c r="J70" s="143">
        <f t="shared" ref="J70" si="79">SUM(J68:J69)</f>
        <v>410.02745000000004</v>
      </c>
      <c r="K70" s="142"/>
      <c r="L70" s="143">
        <f t="shared" ref="L70" si="80">SUM(L68:L69)</f>
        <v>451.86282000000006</v>
      </c>
      <c r="M70" s="142"/>
      <c r="N70" s="143">
        <f t="shared" ref="N70" si="81">SUM(N68:N69)</f>
        <v>403.87574000000006</v>
      </c>
      <c r="O70" s="142"/>
      <c r="P70" s="143">
        <f t="shared" ref="P70" si="82">SUM(P68:P69)</f>
        <v>293.62763999999999</v>
      </c>
      <c r="Q70" s="142"/>
      <c r="R70" s="143">
        <f t="shared" ref="R70" si="83">SUM(R68:R69)</f>
        <v>307.19723000000005</v>
      </c>
      <c r="S70" s="142"/>
      <c r="T70" s="143">
        <f t="shared" ref="T70" si="84">SUM(T68:T69)</f>
        <v>332.73653999999993</v>
      </c>
      <c r="U70" s="142"/>
      <c r="V70" s="143">
        <f t="shared" ref="V70" si="85">SUM(V68:V69)</f>
        <v>423.45276000000001</v>
      </c>
      <c r="W70" s="142"/>
      <c r="X70" s="143">
        <f t="shared" ref="X70" si="86">SUM(X68:X69)</f>
        <v>356.54916999999995</v>
      </c>
      <c r="Y70" s="142"/>
      <c r="Z70" s="143">
        <f t="shared" ref="Z70" si="87">SUM(Z68:Z69)</f>
        <v>428.36622999999997</v>
      </c>
      <c r="AA70" s="142"/>
      <c r="AB70" s="143">
        <f t="shared" ref="AB70" si="88">SUM(AB68:AB69)</f>
        <v>442.3039</v>
      </c>
      <c r="AC70" s="142"/>
      <c r="AD70" s="143">
        <f t="shared" ref="AD70" si="89">SUM(AD68:AD69)</f>
        <v>315.67169000000001</v>
      </c>
      <c r="AE70" s="142"/>
      <c r="AF70" s="143">
        <f t="shared" ref="AF70" si="90">SUM(AF68:AF69)</f>
        <v>376.96160999999995</v>
      </c>
      <c r="AG70" s="142"/>
      <c r="AH70" s="143">
        <f t="shared" ref="AH70" si="91">SUM(AH68:AH69)</f>
        <v>306.98713000000004</v>
      </c>
      <c r="AI70" s="142"/>
      <c r="AJ70" s="143">
        <f t="shared" ref="AJ70" si="92">SUM(AJ68:AJ69)</f>
        <v>518.02777999999989</v>
      </c>
      <c r="AK70" s="142"/>
      <c r="AL70" s="143">
        <f t="shared" ref="AL70" si="93">SUM(AL68:AL69)</f>
        <v>387.53872000000001</v>
      </c>
      <c r="AM70" s="142"/>
      <c r="AN70" s="143">
        <f t="shared" ref="AN70" si="94">SUM(AN68:AN69)</f>
        <v>507.44621999999998</v>
      </c>
      <c r="AO70" s="142"/>
      <c r="AP70" s="143">
        <f t="shared" ref="AP70" si="95">SUM(AP68:AP69)</f>
        <v>2.9163600000000001</v>
      </c>
      <c r="AQ70" s="142"/>
      <c r="AR70" s="143">
        <f t="shared" ref="AR70" si="96">SUM(AR68:AR69)</f>
        <v>307.05944999999997</v>
      </c>
      <c r="AS70" s="142"/>
      <c r="AT70" s="143">
        <f t="shared" ref="AT70" si="97">SUM(AT68:AT69)</f>
        <v>268.96397999999999</v>
      </c>
      <c r="AU70" s="142"/>
      <c r="AV70" s="143">
        <f t="shared" ref="AV70" si="98">SUM(AV68:AV69)</f>
        <v>297.83159000000006</v>
      </c>
      <c r="AW70" s="142"/>
      <c r="AX70" s="143">
        <f t="shared" ref="AX70" si="99">SUM(AX68:AX69)</f>
        <v>450.03562999999997</v>
      </c>
      <c r="AY70" s="142"/>
      <c r="AZ70" s="143">
        <f t="shared" ref="AZ70" si="100">SUM(AZ68:AZ69)</f>
        <v>363.64348000000001</v>
      </c>
      <c r="BA70" s="142"/>
      <c r="BB70" s="143">
        <f t="shared" ref="BB70" si="101">SUM(BB68:BB69)</f>
        <v>530.9522199999999</v>
      </c>
      <c r="BC70" s="142"/>
      <c r="BD70" s="143">
        <f t="shared" ref="BD70" si="102">SUM(BD68:BD69)</f>
        <v>423.80025999999998</v>
      </c>
      <c r="BE70" s="142"/>
      <c r="BF70" s="143">
        <f t="shared" ref="BF70" si="103">SUM(BF68:BF69)</f>
        <v>249.42319000000003</v>
      </c>
      <c r="BG70" s="142"/>
      <c r="BH70" s="143">
        <f t="shared" ref="BH70" si="104">SUM(BH68:BH69)</f>
        <v>319.69395000000003</v>
      </c>
      <c r="BI70" s="142"/>
      <c r="BJ70" s="143">
        <f t="shared" ref="BJ70" si="105">SUM(BJ68:BJ69)</f>
        <v>282.73104000000001</v>
      </c>
      <c r="BK70" s="142"/>
      <c r="BL70" s="143">
        <f t="shared" ref="BL70" si="106">SUM(BL68:BL69)</f>
        <v>507.17439999999999</v>
      </c>
      <c r="BM70" s="144"/>
      <c r="BN70" s="143">
        <f>SUM(C70:BM70)</f>
        <v>11364.439590000002</v>
      </c>
      <c r="BO70" s="109"/>
      <c r="BP70" s="109"/>
      <c r="BQ70" s="109"/>
      <c r="BR70" s="109"/>
      <c r="BS70" s="109"/>
      <c r="BT70" s="109"/>
      <c r="BU70" s="109"/>
      <c r="BV70" s="109"/>
      <c r="BW70" s="109"/>
      <c r="BX70" s="109"/>
      <c r="BY70" s="109"/>
      <c r="BZ70" s="109"/>
      <c r="CA70" s="109"/>
      <c r="CB70" s="109"/>
      <c r="CC70" s="109"/>
      <c r="CD70" s="109"/>
      <c r="CE70" s="109"/>
      <c r="CF70" s="109"/>
      <c r="CG70" s="109"/>
      <c r="CH70" s="109"/>
      <c r="CI70" s="109"/>
      <c r="CJ70" s="109"/>
      <c r="CK70" s="109"/>
      <c r="CL70" s="109"/>
      <c r="CM70" s="109"/>
      <c r="CN70" s="109"/>
      <c r="CO70" s="109"/>
      <c r="CP70" s="109"/>
    </row>
    <row r="71" spans="1:94" x14ac:dyDescent="0.25">
      <c r="C71" s="118"/>
      <c r="D71" s="80"/>
      <c r="E71" s="81"/>
      <c r="F71" s="80"/>
      <c r="G71" s="81"/>
      <c r="H71" s="80"/>
      <c r="I71" s="81"/>
      <c r="J71" s="80"/>
      <c r="K71" s="81"/>
      <c r="L71" s="80"/>
      <c r="M71" s="81"/>
      <c r="N71" s="80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  <c r="BA71" s="81"/>
      <c r="BB71" s="81"/>
      <c r="BC71" s="81"/>
      <c r="BD71" s="81"/>
      <c r="BE71" s="81"/>
      <c r="BF71" s="81"/>
      <c r="BG71" s="81"/>
      <c r="BH71" s="81"/>
      <c r="BI71" s="81"/>
      <c r="BJ71" s="81"/>
      <c r="BK71" s="81"/>
      <c r="BL71" s="145"/>
      <c r="BM71" s="81"/>
      <c r="BN71" s="81"/>
      <c r="CA71" s="83"/>
      <c r="CB71" s="83"/>
      <c r="CC71" s="83"/>
      <c r="CD71" s="83"/>
      <c r="CE71" s="83"/>
      <c r="CF71" s="83"/>
      <c r="CG71" s="83"/>
      <c r="CH71" s="83"/>
      <c r="CI71" s="83"/>
      <c r="CJ71" s="83"/>
      <c r="CK71" s="83"/>
      <c r="CL71" s="83"/>
      <c r="CM71" s="83"/>
      <c r="CN71" s="83"/>
      <c r="CO71" s="83"/>
      <c r="CP71" s="83"/>
    </row>
    <row r="72" spans="1:94" x14ac:dyDescent="0.25">
      <c r="A72" s="111" t="s">
        <v>59</v>
      </c>
      <c r="B72" s="93"/>
      <c r="C72" s="132" t="s">
        <v>48</v>
      </c>
      <c r="D72" s="132" t="s">
        <v>49</v>
      </c>
      <c r="E72" s="132" t="s">
        <v>48</v>
      </c>
      <c r="F72" s="132" t="s">
        <v>49</v>
      </c>
      <c r="G72" s="132" t="s">
        <v>48</v>
      </c>
      <c r="H72" s="132" t="s">
        <v>49</v>
      </c>
      <c r="I72" s="132" t="s">
        <v>48</v>
      </c>
      <c r="J72" s="132" t="s">
        <v>49</v>
      </c>
      <c r="K72" s="132" t="s">
        <v>48</v>
      </c>
      <c r="L72" s="132" t="s">
        <v>49</v>
      </c>
      <c r="M72" s="132" t="s">
        <v>48</v>
      </c>
      <c r="N72" s="132" t="s">
        <v>49</v>
      </c>
      <c r="O72" s="132" t="s">
        <v>48</v>
      </c>
      <c r="P72" s="132" t="s">
        <v>49</v>
      </c>
      <c r="Q72" s="132" t="s">
        <v>48</v>
      </c>
      <c r="R72" s="132" t="s">
        <v>49</v>
      </c>
      <c r="S72" s="132" t="s">
        <v>48</v>
      </c>
      <c r="T72" s="132" t="s">
        <v>49</v>
      </c>
      <c r="U72" s="132" t="s">
        <v>48</v>
      </c>
      <c r="V72" s="132" t="s">
        <v>49</v>
      </c>
      <c r="W72" s="132" t="s">
        <v>48</v>
      </c>
      <c r="X72" s="132" t="s">
        <v>49</v>
      </c>
      <c r="Y72" s="132" t="s">
        <v>48</v>
      </c>
      <c r="Z72" s="132" t="s">
        <v>49</v>
      </c>
      <c r="AA72" s="132" t="s">
        <v>48</v>
      </c>
      <c r="AB72" s="132" t="s">
        <v>49</v>
      </c>
      <c r="AC72" s="132" t="s">
        <v>48</v>
      </c>
      <c r="AD72" s="132" t="s">
        <v>49</v>
      </c>
      <c r="AE72" s="132" t="s">
        <v>48</v>
      </c>
      <c r="AF72" s="132" t="s">
        <v>49</v>
      </c>
      <c r="AG72" s="132" t="s">
        <v>48</v>
      </c>
      <c r="AH72" s="132" t="s">
        <v>49</v>
      </c>
      <c r="AI72" s="132" t="s">
        <v>48</v>
      </c>
      <c r="AJ72" s="132" t="s">
        <v>49</v>
      </c>
      <c r="AK72" s="132" t="s">
        <v>48</v>
      </c>
      <c r="AL72" s="132" t="s">
        <v>49</v>
      </c>
      <c r="AM72" s="132" t="s">
        <v>48</v>
      </c>
      <c r="AN72" s="132" t="s">
        <v>49</v>
      </c>
      <c r="AO72" s="132" t="s">
        <v>48</v>
      </c>
      <c r="AP72" s="132" t="s">
        <v>49</v>
      </c>
      <c r="AQ72" s="132" t="s">
        <v>48</v>
      </c>
      <c r="AR72" s="132" t="s">
        <v>49</v>
      </c>
      <c r="AS72" s="132" t="s">
        <v>48</v>
      </c>
      <c r="AT72" s="132" t="s">
        <v>49</v>
      </c>
      <c r="AU72" s="132" t="s">
        <v>48</v>
      </c>
      <c r="AV72" s="132" t="s">
        <v>49</v>
      </c>
      <c r="AW72" s="132" t="s">
        <v>48</v>
      </c>
      <c r="AX72" s="132" t="s">
        <v>49</v>
      </c>
      <c r="AY72" s="132" t="s">
        <v>48</v>
      </c>
      <c r="AZ72" s="132" t="s">
        <v>49</v>
      </c>
      <c r="BA72" s="132" t="s">
        <v>48</v>
      </c>
      <c r="BB72" s="132" t="s">
        <v>49</v>
      </c>
      <c r="BC72" s="132" t="s">
        <v>48</v>
      </c>
      <c r="BD72" s="132" t="s">
        <v>49</v>
      </c>
      <c r="BE72" s="132" t="s">
        <v>48</v>
      </c>
      <c r="BF72" s="132" t="s">
        <v>49</v>
      </c>
      <c r="BG72" s="132" t="s">
        <v>48</v>
      </c>
      <c r="BH72" s="132" t="s">
        <v>49</v>
      </c>
      <c r="BI72" s="132" t="s">
        <v>48</v>
      </c>
      <c r="BJ72" s="132" t="s">
        <v>49</v>
      </c>
      <c r="BK72" s="132" t="s">
        <v>48</v>
      </c>
      <c r="BL72" s="132" t="s">
        <v>49</v>
      </c>
      <c r="BM72" s="133"/>
      <c r="BN72" s="132" t="s">
        <v>50</v>
      </c>
      <c r="CA72" s="83"/>
      <c r="CB72" s="83"/>
      <c r="CC72" s="83"/>
      <c r="CD72" s="83"/>
      <c r="CE72" s="83"/>
      <c r="CF72" s="83"/>
      <c r="CG72" s="83"/>
      <c r="CH72" s="83"/>
      <c r="CI72" s="83"/>
      <c r="CJ72" s="83"/>
      <c r="CK72" s="83"/>
      <c r="CL72" s="83"/>
      <c r="CM72" s="83"/>
      <c r="CN72" s="83"/>
      <c r="CO72" s="83"/>
      <c r="CP72" s="83"/>
    </row>
    <row r="73" spans="1:94" x14ac:dyDescent="0.25">
      <c r="A73" s="110" t="s">
        <v>38</v>
      </c>
      <c r="B73" s="98" t="s">
        <v>52</v>
      </c>
      <c r="C73" s="134">
        <v>1.0500000000000001E-2</v>
      </c>
      <c r="D73" s="135">
        <f>C73*D47</f>
        <v>22.068900000000003</v>
      </c>
      <c r="E73" s="134">
        <v>1.0500000000000001E-2</v>
      </c>
      <c r="F73" s="135">
        <f>E73*F47</f>
        <v>26.913599999999999</v>
      </c>
      <c r="G73" s="134">
        <v>1.0500000000000001E-2</v>
      </c>
      <c r="H73" s="135">
        <f>G73*H47</f>
        <v>28.531650000000003</v>
      </c>
      <c r="I73" s="134">
        <v>1.0500000000000001E-2</v>
      </c>
      <c r="J73" s="135">
        <f>I73*J47</f>
        <v>21.228899999999999</v>
      </c>
      <c r="K73" s="134">
        <v>1.0500000000000001E-2</v>
      </c>
      <c r="L73" s="135">
        <f>K73*L47</f>
        <v>21.842099999999999</v>
      </c>
      <c r="M73" s="134">
        <v>1.0500000000000001E-2</v>
      </c>
      <c r="N73" s="135">
        <f>M73*N47</f>
        <v>23.795099999999998</v>
      </c>
      <c r="O73" s="134">
        <v>1.0500000000000001E-2</v>
      </c>
      <c r="P73" s="135">
        <f>O73*P47</f>
        <v>25.420500000000001</v>
      </c>
      <c r="Q73" s="134">
        <v>1.0500000000000001E-2</v>
      </c>
      <c r="R73" s="135">
        <f>Q73*R47</f>
        <v>14.664300000000001</v>
      </c>
      <c r="S73" s="134">
        <v>1.0500000000000001E-2</v>
      </c>
      <c r="T73" s="135">
        <f>S73*T47</f>
        <v>24.731700000000004</v>
      </c>
      <c r="U73" s="134">
        <v>1.0500000000000001E-2</v>
      </c>
      <c r="V73" s="135">
        <f>U73*V47</f>
        <v>22.554000000000002</v>
      </c>
      <c r="W73" s="134">
        <v>1.0500000000000001E-2</v>
      </c>
      <c r="X73" s="135">
        <f>W73*X47</f>
        <v>30.799650000000003</v>
      </c>
      <c r="Y73" s="134">
        <v>1.0500000000000001E-2</v>
      </c>
      <c r="Z73" s="135">
        <f>Y73*Z47</f>
        <v>18.713100000000001</v>
      </c>
      <c r="AA73" s="134">
        <v>1.0500000000000001E-2</v>
      </c>
      <c r="AB73" s="135">
        <f>AA73*AB47</f>
        <v>35.372400000000006</v>
      </c>
      <c r="AC73" s="134">
        <v>1.0500000000000001E-2</v>
      </c>
      <c r="AD73" s="135">
        <f>AC73*AD47</f>
        <v>25.674599999999998</v>
      </c>
      <c r="AE73" s="134">
        <v>1.0500000000000001E-2</v>
      </c>
      <c r="AF73" s="135">
        <f>AE73*AF47</f>
        <v>24.718050000000002</v>
      </c>
      <c r="AG73" s="134">
        <v>1.0500000000000001E-2</v>
      </c>
      <c r="AH73" s="135">
        <f>AG73*AH47</f>
        <v>16.427250000000001</v>
      </c>
      <c r="AI73" s="134">
        <v>1.0500000000000001E-2</v>
      </c>
      <c r="AJ73" s="135">
        <f>AI73*AJ47</f>
        <v>38.449950000000001</v>
      </c>
      <c r="AK73" s="134">
        <v>1.0500000000000001E-2</v>
      </c>
      <c r="AL73" s="135">
        <f>AK73*AL47</f>
        <v>16.641450000000003</v>
      </c>
      <c r="AM73" s="134">
        <v>1.0500000000000001E-2</v>
      </c>
      <c r="AN73" s="135">
        <f>AM73*AN47</f>
        <v>19.627649999999999</v>
      </c>
      <c r="AO73" s="134">
        <v>1.0500000000000001E-2</v>
      </c>
      <c r="AP73" s="135">
        <f>AO73*AP47</f>
        <v>2.7090000000000001</v>
      </c>
      <c r="AQ73" s="134">
        <v>1.0500000000000001E-2</v>
      </c>
      <c r="AR73" s="135">
        <f>AQ73*AR47</f>
        <v>16.419900000000002</v>
      </c>
      <c r="AS73" s="134">
        <v>1.0500000000000001E-2</v>
      </c>
      <c r="AT73" s="135">
        <f>AS73*AT47</f>
        <v>11.898600000000002</v>
      </c>
      <c r="AU73" s="134">
        <v>1.0500000000000001E-2</v>
      </c>
      <c r="AV73" s="135">
        <f>AU73*AV47</f>
        <v>18.547200000000004</v>
      </c>
      <c r="AW73" s="134">
        <v>1.0500000000000001E-2</v>
      </c>
      <c r="AX73" s="135">
        <f>AW73*AX47</f>
        <v>26.682600000000001</v>
      </c>
      <c r="AY73" s="134">
        <v>1.0500000000000001E-2</v>
      </c>
      <c r="AZ73" s="135">
        <f>AY73*AZ47</f>
        <v>17.086650000000002</v>
      </c>
      <c r="BA73" s="134">
        <v>1.0500000000000001E-2</v>
      </c>
      <c r="BB73" s="135">
        <f>BA73*BB47</f>
        <v>13.639500000000002</v>
      </c>
      <c r="BC73" s="134">
        <v>1.0500000000000001E-2</v>
      </c>
      <c r="BD73" s="135">
        <f>BC73*BD47</f>
        <v>32.057549999999999</v>
      </c>
      <c r="BE73" s="134">
        <v>1.0500000000000001E-2</v>
      </c>
      <c r="BF73" s="135">
        <f>BE73*BF47</f>
        <v>15.079050000000001</v>
      </c>
      <c r="BG73" s="134">
        <v>1.0500000000000001E-2</v>
      </c>
      <c r="BH73" s="135">
        <f>BG73*BH47</f>
        <v>16.658250000000002</v>
      </c>
      <c r="BI73" s="134">
        <v>1.0500000000000001E-2</v>
      </c>
      <c r="BJ73" s="135">
        <f>BI73*BJ47</f>
        <v>9.3565500000000004</v>
      </c>
      <c r="BK73" s="134">
        <v>1.0500000000000001E-2</v>
      </c>
      <c r="BL73" s="135">
        <f>BK73*BL47</f>
        <v>28.190400000000004</v>
      </c>
      <c r="BM73" s="136"/>
      <c r="BN73" s="113" cm="1">
        <f t="array" ref="BN73">SUMPRODUCT((MOD(COLUMN(D73:BM73)-COLUMN(D73),2)=0)*D73:BM73)</f>
        <v>666.50009999999997</v>
      </c>
      <c r="CA73" s="83"/>
      <c r="CB73" s="83"/>
      <c r="CC73" s="83"/>
      <c r="CD73" s="83"/>
      <c r="CE73" s="83"/>
      <c r="CF73" s="83"/>
      <c r="CG73" s="83"/>
      <c r="CH73" s="83"/>
      <c r="CI73" s="83"/>
      <c r="CJ73" s="83"/>
      <c r="CK73" s="83"/>
      <c r="CL73" s="83"/>
      <c r="CM73" s="83"/>
      <c r="CN73" s="83"/>
      <c r="CO73" s="83"/>
      <c r="CP73" s="83"/>
    </row>
    <row r="74" spans="1:94" x14ac:dyDescent="0.25">
      <c r="A74" s="110" t="s">
        <v>39</v>
      </c>
      <c r="B74" s="98" t="s">
        <v>52</v>
      </c>
      <c r="C74" s="134">
        <v>1.0500000000000001E-2</v>
      </c>
      <c r="D74" s="135">
        <f>C74*D48</f>
        <v>3.3075000000000001</v>
      </c>
      <c r="E74" s="134">
        <v>1.0500000000000001E-2</v>
      </c>
      <c r="F74" s="135">
        <f>E74*F48</f>
        <v>1.7860500000000001</v>
      </c>
      <c r="G74" s="134">
        <v>1.0500000000000001E-2</v>
      </c>
      <c r="H74" s="135">
        <f>G74*H48</f>
        <v>2.3982000000000001</v>
      </c>
      <c r="I74" s="134">
        <v>1.0500000000000001E-2</v>
      </c>
      <c r="J74" s="135">
        <f>I74*J48</f>
        <v>3.0681000000000003</v>
      </c>
      <c r="K74" s="134">
        <v>1.0500000000000001E-2</v>
      </c>
      <c r="L74" s="135">
        <f>K74*L48</f>
        <v>2.4559500000000001</v>
      </c>
      <c r="M74" s="134">
        <v>1.0500000000000001E-2</v>
      </c>
      <c r="N74" s="135">
        <f>M74*N48</f>
        <v>5.1849000000000007</v>
      </c>
      <c r="O74" s="134">
        <v>1.0500000000000001E-2</v>
      </c>
      <c r="P74" s="135">
        <f>O74*P48</f>
        <v>3.3106500000000003</v>
      </c>
      <c r="Q74" s="134">
        <v>1.0500000000000001E-2</v>
      </c>
      <c r="R74" s="135">
        <f>Q74*R48</f>
        <v>3.2455500000000006</v>
      </c>
      <c r="S74" s="134">
        <v>1.0500000000000001E-2</v>
      </c>
      <c r="T74" s="135">
        <f>S74*T48</f>
        <v>3.57735</v>
      </c>
      <c r="U74" s="134">
        <v>1.0500000000000001E-2</v>
      </c>
      <c r="V74" s="135">
        <f>U74*V48</f>
        <v>3.0723000000000003</v>
      </c>
      <c r="W74" s="134">
        <v>1.0500000000000001E-2</v>
      </c>
      <c r="X74" s="135">
        <f>W74*X48</f>
        <v>4.5276000000000005</v>
      </c>
      <c r="Y74" s="134">
        <v>1.0500000000000001E-2</v>
      </c>
      <c r="Z74" s="135">
        <f>Y74*Z48</f>
        <v>3.0145500000000003</v>
      </c>
      <c r="AA74" s="134">
        <v>1.0500000000000001E-2</v>
      </c>
      <c r="AB74" s="135">
        <f>AA74*AB48</f>
        <v>1.7965500000000001</v>
      </c>
      <c r="AC74" s="134">
        <v>1.0500000000000001E-2</v>
      </c>
      <c r="AD74" s="135">
        <f>AC74*AD48</f>
        <v>2.8706999999999998</v>
      </c>
      <c r="AE74" s="134">
        <v>1.0500000000000001E-2</v>
      </c>
      <c r="AF74" s="135">
        <f>AE74*AF48</f>
        <v>4.9654499999999997</v>
      </c>
      <c r="AG74" s="134">
        <v>1.0500000000000001E-2</v>
      </c>
      <c r="AH74" s="135">
        <f>AG74*AH48</f>
        <v>2.5557000000000003</v>
      </c>
      <c r="AI74" s="134">
        <v>1.0500000000000001E-2</v>
      </c>
      <c r="AJ74" s="135">
        <f>AI74*AJ48</f>
        <v>1.8438000000000001</v>
      </c>
      <c r="AK74" s="134">
        <v>1.0500000000000001E-2</v>
      </c>
      <c r="AL74" s="135">
        <f>AK74*AL48</f>
        <v>1.55505</v>
      </c>
      <c r="AM74" s="134">
        <v>1.0500000000000001E-2</v>
      </c>
      <c r="AN74" s="135">
        <f>AM74*AN48</f>
        <v>1.0038</v>
      </c>
      <c r="AO74" s="134">
        <v>1.0500000000000001E-2</v>
      </c>
      <c r="AP74" s="135">
        <f>AO74*AP48</f>
        <v>0</v>
      </c>
      <c r="AQ74" s="134">
        <v>1.0500000000000001E-2</v>
      </c>
      <c r="AR74" s="135">
        <f>AQ74*AR48</f>
        <v>1.3828499999999999</v>
      </c>
      <c r="AS74" s="134">
        <v>1.0500000000000001E-2</v>
      </c>
      <c r="AT74" s="135">
        <f>AS74*AT48</f>
        <v>1.6285499999999999</v>
      </c>
      <c r="AU74" s="134">
        <v>1.0500000000000001E-2</v>
      </c>
      <c r="AV74" s="135">
        <f>AU74*AV48</f>
        <v>1.00485</v>
      </c>
      <c r="AW74" s="134">
        <v>1.0500000000000001E-2</v>
      </c>
      <c r="AX74" s="135">
        <f>AW74*AX48</f>
        <v>2.3205</v>
      </c>
      <c r="AY74" s="134">
        <v>1.0500000000000001E-2</v>
      </c>
      <c r="AZ74" s="135">
        <f>AY74*AZ48</f>
        <v>0.10500000000000001</v>
      </c>
      <c r="BA74" s="134">
        <v>1.0500000000000001E-2</v>
      </c>
      <c r="BB74" s="135">
        <f>BA74*BB48</f>
        <v>0.62160000000000004</v>
      </c>
      <c r="BC74" s="134">
        <v>1.0500000000000001E-2</v>
      </c>
      <c r="BD74" s="135">
        <f>BC74*BD48</f>
        <v>1.6978500000000001</v>
      </c>
      <c r="BE74" s="134">
        <v>1.0500000000000001E-2</v>
      </c>
      <c r="BF74" s="135">
        <f>BE74*BF48</f>
        <v>0.89145000000000008</v>
      </c>
      <c r="BG74" s="134">
        <v>1.0500000000000001E-2</v>
      </c>
      <c r="BH74" s="135">
        <f>BG74*BH48</f>
        <v>9.6789000000000005</v>
      </c>
      <c r="BI74" s="134">
        <v>1.0500000000000001E-2</v>
      </c>
      <c r="BJ74" s="135">
        <f>BI74*BJ48</f>
        <v>7.8162000000000003</v>
      </c>
      <c r="BK74" s="134">
        <v>1.0500000000000001E-2</v>
      </c>
      <c r="BL74" s="135">
        <f>BK74*BL48</f>
        <v>3.4020000000000001</v>
      </c>
      <c r="BM74" s="136"/>
      <c r="BN74" s="113" cm="1">
        <f t="array" ref="BN74">SUMPRODUCT((MOD(COLUMN(D74:BM74)-COLUMN(D74),2)=0)*D74:BM74)</f>
        <v>86.089500000000001</v>
      </c>
      <c r="CA74" s="83"/>
      <c r="CB74" s="83"/>
      <c r="CC74" s="83"/>
      <c r="CD74" s="83"/>
      <c r="CE74" s="83"/>
      <c r="CF74" s="83"/>
      <c r="CG74" s="83"/>
      <c r="CH74" s="83"/>
      <c r="CI74" s="83"/>
      <c r="CJ74" s="83"/>
      <c r="CK74" s="83"/>
      <c r="CL74" s="83"/>
      <c r="CM74" s="83"/>
      <c r="CN74" s="83"/>
      <c r="CO74" s="83"/>
      <c r="CP74" s="83"/>
    </row>
    <row r="75" spans="1:94" x14ac:dyDescent="0.25">
      <c r="A75" s="110"/>
      <c r="C75" s="137"/>
      <c r="D75" s="138"/>
      <c r="E75" s="137"/>
      <c r="F75" s="138"/>
      <c r="G75" s="137"/>
      <c r="H75" s="138"/>
      <c r="I75" s="137"/>
      <c r="J75" s="138"/>
      <c r="K75" s="137"/>
      <c r="L75" s="138"/>
      <c r="M75" s="137"/>
      <c r="N75" s="138"/>
      <c r="O75" s="137"/>
      <c r="P75" s="138"/>
      <c r="Q75" s="137"/>
      <c r="R75" s="138"/>
      <c r="S75" s="137"/>
      <c r="T75" s="138"/>
      <c r="U75" s="137"/>
      <c r="V75" s="138"/>
      <c r="W75" s="137"/>
      <c r="X75" s="138"/>
      <c r="Y75" s="137"/>
      <c r="Z75" s="138"/>
      <c r="AA75" s="137"/>
      <c r="AB75" s="138"/>
      <c r="AC75" s="137"/>
      <c r="AD75" s="138"/>
      <c r="AE75" s="137"/>
      <c r="AF75" s="138"/>
      <c r="AG75" s="137"/>
      <c r="AH75" s="138"/>
      <c r="AI75" s="137"/>
      <c r="AJ75" s="138"/>
      <c r="AK75" s="137"/>
      <c r="AL75" s="138"/>
      <c r="AM75" s="137"/>
      <c r="AN75" s="138"/>
      <c r="AO75" s="137"/>
      <c r="AP75" s="138"/>
      <c r="AQ75" s="137"/>
      <c r="AR75" s="138"/>
      <c r="AS75" s="137"/>
      <c r="AT75" s="138"/>
      <c r="AU75" s="137"/>
      <c r="AV75" s="138"/>
      <c r="AW75" s="137"/>
      <c r="AX75" s="138"/>
      <c r="AY75" s="137"/>
      <c r="AZ75" s="138"/>
      <c r="BA75" s="137"/>
      <c r="BB75" s="138"/>
      <c r="BC75" s="137"/>
      <c r="BD75" s="138"/>
      <c r="BE75" s="137"/>
      <c r="BF75" s="138"/>
      <c r="BG75" s="137"/>
      <c r="BH75" s="138"/>
      <c r="BI75" s="137"/>
      <c r="BJ75" s="138"/>
      <c r="BK75" s="137"/>
      <c r="BL75" s="138"/>
      <c r="BM75" s="120"/>
      <c r="BN75" s="138"/>
      <c r="CA75" s="83"/>
      <c r="CB75" s="83"/>
      <c r="CC75" s="83"/>
      <c r="CD75" s="83"/>
      <c r="CE75" s="83"/>
      <c r="CF75" s="83"/>
      <c r="CG75" s="83"/>
      <c r="CH75" s="83"/>
      <c r="CI75" s="83"/>
      <c r="CJ75" s="83"/>
      <c r="CK75" s="83"/>
      <c r="CL75" s="83"/>
      <c r="CM75" s="83"/>
      <c r="CN75" s="83"/>
      <c r="CO75" s="83"/>
      <c r="CP75" s="83"/>
    </row>
    <row r="76" spans="1:94" x14ac:dyDescent="0.25">
      <c r="A76" s="110" t="s">
        <v>60</v>
      </c>
      <c r="B76" s="98" t="s">
        <v>52</v>
      </c>
      <c r="C76" s="139">
        <v>0.75</v>
      </c>
      <c r="D76" s="140">
        <f>C76*D73</f>
        <v>16.551675000000003</v>
      </c>
      <c r="E76" s="139">
        <v>0.75</v>
      </c>
      <c r="F76" s="140">
        <f>E76*F73</f>
        <v>20.185199999999998</v>
      </c>
      <c r="G76" s="139">
        <v>0.75</v>
      </c>
      <c r="H76" s="140">
        <f>G76*H73</f>
        <v>21.398737500000003</v>
      </c>
      <c r="I76" s="139">
        <v>0.75</v>
      </c>
      <c r="J76" s="140">
        <f>I76*J73</f>
        <v>15.921675</v>
      </c>
      <c r="K76" s="139">
        <v>0.75</v>
      </c>
      <c r="L76" s="140">
        <f>K76*L73</f>
        <v>16.381574999999998</v>
      </c>
      <c r="M76" s="139">
        <v>0.75</v>
      </c>
      <c r="N76" s="140">
        <f>M76*N73</f>
        <v>17.846325</v>
      </c>
      <c r="O76" s="139">
        <v>0.75</v>
      </c>
      <c r="P76" s="140">
        <f>O76*P73</f>
        <v>19.065375</v>
      </c>
      <c r="Q76" s="139">
        <v>0.75</v>
      </c>
      <c r="R76" s="140">
        <f>Q76*R73</f>
        <v>10.998225000000001</v>
      </c>
      <c r="S76" s="139">
        <v>0.75</v>
      </c>
      <c r="T76" s="140">
        <f>S76*T73</f>
        <v>18.548775000000003</v>
      </c>
      <c r="U76" s="139">
        <v>0.75</v>
      </c>
      <c r="V76" s="140">
        <f>U76*V73</f>
        <v>16.915500000000002</v>
      </c>
      <c r="W76" s="139">
        <v>0.75</v>
      </c>
      <c r="X76" s="140">
        <f>W76*X73</f>
        <v>23.099737500000003</v>
      </c>
      <c r="Y76" s="139">
        <v>0.75</v>
      </c>
      <c r="Z76" s="140">
        <f>Y76*Z73</f>
        <v>14.034825000000001</v>
      </c>
      <c r="AA76" s="139">
        <v>0.75</v>
      </c>
      <c r="AB76" s="140">
        <f>AA76*AB73</f>
        <v>26.529300000000006</v>
      </c>
      <c r="AC76" s="139">
        <v>0.75</v>
      </c>
      <c r="AD76" s="140">
        <f>AC76*AD73</f>
        <v>19.255949999999999</v>
      </c>
      <c r="AE76" s="139">
        <v>0.75</v>
      </c>
      <c r="AF76" s="140">
        <f>AE76*AF73</f>
        <v>18.5385375</v>
      </c>
      <c r="AG76" s="139">
        <v>0.75</v>
      </c>
      <c r="AH76" s="140">
        <f>AG76*AH73</f>
        <v>12.320437500000001</v>
      </c>
      <c r="AI76" s="139">
        <v>0.75</v>
      </c>
      <c r="AJ76" s="140">
        <f>AI76*AJ73</f>
        <v>28.837462500000001</v>
      </c>
      <c r="AK76" s="139">
        <v>0.75</v>
      </c>
      <c r="AL76" s="140">
        <f>AK76*AL73</f>
        <v>12.481087500000001</v>
      </c>
      <c r="AM76" s="139">
        <v>0.75</v>
      </c>
      <c r="AN76" s="140">
        <f>AM76*AN73</f>
        <v>14.720737499999998</v>
      </c>
      <c r="AO76" s="139">
        <v>0.75</v>
      </c>
      <c r="AP76" s="140">
        <f>AO76*AP73</f>
        <v>2.0317500000000002</v>
      </c>
      <c r="AQ76" s="139">
        <v>0.75</v>
      </c>
      <c r="AR76" s="140">
        <f>AQ76*AR73</f>
        <v>12.314925000000002</v>
      </c>
      <c r="AS76" s="139">
        <v>0.75</v>
      </c>
      <c r="AT76" s="140">
        <f>AS76*AT73</f>
        <v>8.9239500000000014</v>
      </c>
      <c r="AU76" s="139">
        <v>0.75</v>
      </c>
      <c r="AV76" s="140">
        <f>AU76*AV73</f>
        <v>13.910400000000003</v>
      </c>
      <c r="AW76" s="139">
        <v>0.75</v>
      </c>
      <c r="AX76" s="140">
        <f>AW76*AX73</f>
        <v>20.011949999999999</v>
      </c>
      <c r="AY76" s="139">
        <v>0.75</v>
      </c>
      <c r="AZ76" s="140">
        <f>AY76*AZ73</f>
        <v>12.814987500000001</v>
      </c>
      <c r="BA76" s="139">
        <v>0.75</v>
      </c>
      <c r="BB76" s="140">
        <f>BA76*BB73</f>
        <v>10.229625000000002</v>
      </c>
      <c r="BC76" s="139">
        <v>0.75</v>
      </c>
      <c r="BD76" s="140">
        <f>BC76*BD73</f>
        <v>24.043162500000001</v>
      </c>
      <c r="BE76" s="139">
        <v>0.75</v>
      </c>
      <c r="BF76" s="140">
        <f>BE76*BF73</f>
        <v>11.3092875</v>
      </c>
      <c r="BG76" s="139">
        <v>0.75</v>
      </c>
      <c r="BH76" s="140">
        <f>BG76*BH73</f>
        <v>12.493687500000002</v>
      </c>
      <c r="BI76" s="139">
        <v>0.75</v>
      </c>
      <c r="BJ76" s="140">
        <f>BI76*BJ73</f>
        <v>7.0174125000000007</v>
      </c>
      <c r="BK76" s="139">
        <v>0.75</v>
      </c>
      <c r="BL76" s="140">
        <f>BK76*BL73</f>
        <v>21.142800000000001</v>
      </c>
      <c r="BM76" s="141"/>
      <c r="BN76" s="113" cm="1">
        <f t="array" ref="BN76">SUMPRODUCT((MOD(COLUMN(D76:BM76)-COLUMN(D76),2)=0)*D76:BM76)</f>
        <v>499.87507500000009</v>
      </c>
      <c r="CA76" s="83"/>
      <c r="CB76" s="83"/>
      <c r="CC76" s="83"/>
      <c r="CD76" s="83"/>
      <c r="CE76" s="83"/>
      <c r="CF76" s="83"/>
      <c r="CG76" s="83"/>
      <c r="CH76" s="83"/>
      <c r="CI76" s="83"/>
      <c r="CJ76" s="83"/>
      <c r="CK76" s="83"/>
      <c r="CL76" s="83"/>
      <c r="CM76" s="83"/>
      <c r="CN76" s="83"/>
      <c r="CO76" s="83"/>
      <c r="CP76" s="83"/>
    </row>
    <row r="77" spans="1:94" x14ac:dyDescent="0.25">
      <c r="A77" s="110" t="s">
        <v>61</v>
      </c>
      <c r="B77" s="98" t="s">
        <v>52</v>
      </c>
      <c r="C77" s="139">
        <v>0.75</v>
      </c>
      <c r="D77" s="140">
        <f>C77*D74</f>
        <v>2.4806249999999999</v>
      </c>
      <c r="E77" s="139">
        <v>0.75</v>
      </c>
      <c r="F77" s="140">
        <f>E77*F74</f>
        <v>1.3395375</v>
      </c>
      <c r="G77" s="139">
        <v>0.75</v>
      </c>
      <c r="H77" s="140">
        <f>G77*H74</f>
        <v>1.7986500000000001</v>
      </c>
      <c r="I77" s="139">
        <v>0.75</v>
      </c>
      <c r="J77" s="140">
        <f>I77*J74</f>
        <v>2.301075</v>
      </c>
      <c r="K77" s="139">
        <v>0.75</v>
      </c>
      <c r="L77" s="140">
        <f>K77*L74</f>
        <v>1.8419625000000002</v>
      </c>
      <c r="M77" s="139">
        <v>0.75</v>
      </c>
      <c r="N77" s="140">
        <f>M77*N74</f>
        <v>3.8886750000000005</v>
      </c>
      <c r="O77" s="139">
        <v>0.75</v>
      </c>
      <c r="P77" s="140">
        <f>O77*P74</f>
        <v>2.4829875000000001</v>
      </c>
      <c r="Q77" s="139">
        <v>0.75</v>
      </c>
      <c r="R77" s="140">
        <f>Q77*R74</f>
        <v>2.4341625000000002</v>
      </c>
      <c r="S77" s="139">
        <v>0.75</v>
      </c>
      <c r="T77" s="140">
        <f>S77*T74</f>
        <v>2.6830125000000002</v>
      </c>
      <c r="U77" s="139">
        <v>0.75</v>
      </c>
      <c r="V77" s="140">
        <f>U77*V74</f>
        <v>2.3042250000000002</v>
      </c>
      <c r="W77" s="139">
        <v>0.75</v>
      </c>
      <c r="X77" s="140">
        <f>W77*X74</f>
        <v>3.3957000000000006</v>
      </c>
      <c r="Y77" s="139">
        <v>0.75</v>
      </c>
      <c r="Z77" s="140">
        <f>Y77*Z74</f>
        <v>2.2609125000000003</v>
      </c>
      <c r="AA77" s="139">
        <v>0.75</v>
      </c>
      <c r="AB77" s="140">
        <f>AA77*AB74</f>
        <v>1.3474125000000001</v>
      </c>
      <c r="AC77" s="139">
        <v>0.75</v>
      </c>
      <c r="AD77" s="140">
        <f>AC77*AD74</f>
        <v>2.153025</v>
      </c>
      <c r="AE77" s="139">
        <v>0.75</v>
      </c>
      <c r="AF77" s="140">
        <f>AE77*AF74</f>
        <v>3.7240874999999996</v>
      </c>
      <c r="AG77" s="139">
        <v>0.75</v>
      </c>
      <c r="AH77" s="140">
        <f>AG77*AH74</f>
        <v>1.9167750000000003</v>
      </c>
      <c r="AI77" s="139">
        <v>0.75</v>
      </c>
      <c r="AJ77" s="140">
        <f>AI77*AJ74</f>
        <v>1.3828500000000001</v>
      </c>
      <c r="AK77" s="139">
        <v>0.75</v>
      </c>
      <c r="AL77" s="140">
        <f>AK77*AL74</f>
        <v>1.1662875000000001</v>
      </c>
      <c r="AM77" s="139">
        <v>0.75</v>
      </c>
      <c r="AN77" s="140">
        <f>AM77*AN74</f>
        <v>0.75285000000000002</v>
      </c>
      <c r="AO77" s="139">
        <v>0.75</v>
      </c>
      <c r="AP77" s="140">
        <f>AO77*AP74</f>
        <v>0</v>
      </c>
      <c r="AQ77" s="139">
        <v>0.75</v>
      </c>
      <c r="AR77" s="140">
        <f>AQ77*AR74</f>
        <v>1.0371375</v>
      </c>
      <c r="AS77" s="139">
        <v>0.75</v>
      </c>
      <c r="AT77" s="140">
        <f>AS77*AT74</f>
        <v>1.2214125</v>
      </c>
      <c r="AU77" s="139">
        <v>0.75</v>
      </c>
      <c r="AV77" s="140">
        <f>AU77*AV74</f>
        <v>0.75363749999999996</v>
      </c>
      <c r="AW77" s="139">
        <v>0.75</v>
      </c>
      <c r="AX77" s="140">
        <f>AW77*AX74</f>
        <v>1.740375</v>
      </c>
      <c r="AY77" s="139">
        <v>0.75</v>
      </c>
      <c r="AZ77" s="140">
        <f>AY77*AZ74</f>
        <v>7.8750000000000014E-2</v>
      </c>
      <c r="BA77" s="139">
        <v>0.75</v>
      </c>
      <c r="BB77" s="140">
        <f>BA77*BB74</f>
        <v>0.46620000000000006</v>
      </c>
      <c r="BC77" s="139">
        <v>0.75</v>
      </c>
      <c r="BD77" s="140">
        <f>BC77*BD74</f>
        <v>1.2733875000000001</v>
      </c>
      <c r="BE77" s="139">
        <v>0.75</v>
      </c>
      <c r="BF77" s="140">
        <f>BE77*BF74</f>
        <v>0.66858750000000011</v>
      </c>
      <c r="BG77" s="139">
        <v>0.75</v>
      </c>
      <c r="BH77" s="140">
        <f>BG77*BH74</f>
        <v>7.2591750000000008</v>
      </c>
      <c r="BI77" s="139">
        <v>0.75</v>
      </c>
      <c r="BJ77" s="140">
        <f>BI77*BJ74</f>
        <v>5.8621499999999997</v>
      </c>
      <c r="BK77" s="139">
        <v>0.75</v>
      </c>
      <c r="BL77" s="140">
        <f>BK77*BL74</f>
        <v>2.5514999999999999</v>
      </c>
      <c r="BM77" s="141"/>
      <c r="BN77" s="113" cm="1">
        <f t="array" ref="BN77">SUMPRODUCT((MOD(COLUMN(D77:BM77)-COLUMN(D77),2)=0)*D77:BM77)</f>
        <v>64.567125000000019</v>
      </c>
      <c r="CA77" s="83"/>
      <c r="CB77" s="83"/>
      <c r="CC77" s="83"/>
      <c r="CD77" s="83"/>
      <c r="CE77" s="83"/>
      <c r="CF77" s="83"/>
      <c r="CG77" s="83"/>
      <c r="CH77" s="83"/>
      <c r="CI77" s="83"/>
      <c r="CJ77" s="83"/>
      <c r="CK77" s="83"/>
      <c r="CL77" s="83"/>
      <c r="CM77" s="83"/>
      <c r="CN77" s="83"/>
      <c r="CO77" s="83"/>
      <c r="CP77" s="83"/>
    </row>
    <row r="78" spans="1:94" x14ac:dyDescent="0.25">
      <c r="A78" s="110" t="s">
        <v>62</v>
      </c>
      <c r="B78" s="98" t="s">
        <v>52</v>
      </c>
      <c r="C78" s="139">
        <v>0.25</v>
      </c>
      <c r="D78" s="140">
        <f>C78*D73</f>
        <v>5.5172250000000007</v>
      </c>
      <c r="E78" s="139">
        <v>0.25</v>
      </c>
      <c r="F78" s="140">
        <f>E78*F73</f>
        <v>6.7283999999999997</v>
      </c>
      <c r="G78" s="139">
        <v>0.25</v>
      </c>
      <c r="H78" s="140">
        <f>G78*H73</f>
        <v>7.1329125000000007</v>
      </c>
      <c r="I78" s="139">
        <v>0.25</v>
      </c>
      <c r="J78" s="140">
        <f>I78*J73</f>
        <v>5.3072249999999999</v>
      </c>
      <c r="K78" s="139">
        <v>0.25</v>
      </c>
      <c r="L78" s="140">
        <f>K78*L73</f>
        <v>5.4605249999999996</v>
      </c>
      <c r="M78" s="139">
        <v>0.25</v>
      </c>
      <c r="N78" s="140">
        <f>M78*N73</f>
        <v>5.9487749999999995</v>
      </c>
      <c r="O78" s="139">
        <v>0.25</v>
      </c>
      <c r="P78" s="140">
        <f>O78*P73</f>
        <v>6.3551250000000001</v>
      </c>
      <c r="Q78" s="139">
        <v>0.25</v>
      </c>
      <c r="R78" s="140">
        <f>Q78*R73</f>
        <v>3.6660750000000002</v>
      </c>
      <c r="S78" s="139">
        <v>0.25</v>
      </c>
      <c r="T78" s="140">
        <f>S78*T73</f>
        <v>6.1829250000000009</v>
      </c>
      <c r="U78" s="139">
        <v>0.25</v>
      </c>
      <c r="V78" s="140">
        <f>U78*V73</f>
        <v>5.6385000000000005</v>
      </c>
      <c r="W78" s="139">
        <v>0.25</v>
      </c>
      <c r="X78" s="140">
        <f>W78*X73</f>
        <v>7.6999125000000008</v>
      </c>
      <c r="Y78" s="139">
        <v>0.25</v>
      </c>
      <c r="Z78" s="140">
        <f>Y78*Z73</f>
        <v>4.6782750000000002</v>
      </c>
      <c r="AA78" s="139">
        <v>0.25</v>
      </c>
      <c r="AB78" s="140">
        <f>AA78*AB73</f>
        <v>8.8431000000000015</v>
      </c>
      <c r="AC78" s="139">
        <v>0.25</v>
      </c>
      <c r="AD78" s="140">
        <f>AC78*AD73</f>
        <v>6.4186499999999995</v>
      </c>
      <c r="AE78" s="139">
        <v>0.25</v>
      </c>
      <c r="AF78" s="140">
        <f>AE78*AF73</f>
        <v>6.1795125000000004</v>
      </c>
      <c r="AG78" s="139">
        <v>0.25</v>
      </c>
      <c r="AH78" s="140">
        <f>AG78*AH73</f>
        <v>4.1068125000000002</v>
      </c>
      <c r="AI78" s="139">
        <v>0.25</v>
      </c>
      <c r="AJ78" s="140">
        <f>AI78*AJ73</f>
        <v>9.6124875000000003</v>
      </c>
      <c r="AK78" s="139">
        <v>0.25</v>
      </c>
      <c r="AL78" s="140">
        <f>AK78*AL73</f>
        <v>4.1603625000000006</v>
      </c>
      <c r="AM78" s="139">
        <v>0.25</v>
      </c>
      <c r="AN78" s="140">
        <f>AM78*AN73</f>
        <v>4.9069124999999998</v>
      </c>
      <c r="AO78" s="139">
        <v>0.25</v>
      </c>
      <c r="AP78" s="140">
        <f>AO78*AP73</f>
        <v>0.67725000000000002</v>
      </c>
      <c r="AQ78" s="139">
        <v>0.25</v>
      </c>
      <c r="AR78" s="140">
        <f>AQ78*AR73</f>
        <v>4.1049750000000005</v>
      </c>
      <c r="AS78" s="139">
        <v>0.25</v>
      </c>
      <c r="AT78" s="140">
        <f>AS78*AT73</f>
        <v>2.9746500000000005</v>
      </c>
      <c r="AU78" s="139">
        <v>0.25</v>
      </c>
      <c r="AV78" s="140">
        <f>AU78*AV73</f>
        <v>4.6368000000000009</v>
      </c>
      <c r="AW78" s="139">
        <v>0.25</v>
      </c>
      <c r="AX78" s="140">
        <f>AW78*AX73</f>
        <v>6.6706500000000002</v>
      </c>
      <c r="AY78" s="139">
        <v>0.25</v>
      </c>
      <c r="AZ78" s="140">
        <f>AY78*AZ73</f>
        <v>4.2716625000000006</v>
      </c>
      <c r="BA78" s="139">
        <v>0.25</v>
      </c>
      <c r="BB78" s="140">
        <f>BA78*BB73</f>
        <v>3.4098750000000004</v>
      </c>
      <c r="BC78" s="139">
        <v>0.25</v>
      </c>
      <c r="BD78" s="140">
        <f>BC78*BD73</f>
        <v>8.0143874999999998</v>
      </c>
      <c r="BE78" s="139">
        <v>0.25</v>
      </c>
      <c r="BF78" s="140">
        <f>BE78*BF73</f>
        <v>3.7697625000000001</v>
      </c>
      <c r="BG78" s="139">
        <v>0.25</v>
      </c>
      <c r="BH78" s="140">
        <f>BG78*BH73</f>
        <v>4.1645625000000006</v>
      </c>
      <c r="BI78" s="139">
        <v>0.25</v>
      </c>
      <c r="BJ78" s="140">
        <f>BI78*BJ73</f>
        <v>2.3391375000000001</v>
      </c>
      <c r="BK78" s="139">
        <v>0.25</v>
      </c>
      <c r="BL78" s="140">
        <f>BK78*BL73</f>
        <v>7.047600000000001</v>
      </c>
      <c r="BM78" s="141"/>
      <c r="BN78" s="113" cm="1">
        <f t="array" ref="BN78">SUMPRODUCT((MOD(COLUMN(D78:BM78)-COLUMN(D78),2)=0)*D78:BM78)</f>
        <v>166.62502499999999</v>
      </c>
      <c r="CA78" s="83"/>
      <c r="CB78" s="83"/>
      <c r="CC78" s="83"/>
      <c r="CD78" s="83"/>
      <c r="CE78" s="83"/>
      <c r="CF78" s="83"/>
      <c r="CG78" s="83"/>
      <c r="CH78" s="83"/>
      <c r="CI78" s="83"/>
      <c r="CJ78" s="83"/>
      <c r="CK78" s="83"/>
      <c r="CL78" s="83"/>
      <c r="CM78" s="83"/>
      <c r="CN78" s="83"/>
      <c r="CO78" s="83"/>
      <c r="CP78" s="83"/>
    </row>
    <row r="79" spans="1:94" x14ac:dyDescent="0.25">
      <c r="A79" s="110" t="s">
        <v>63</v>
      </c>
      <c r="B79" s="98" t="s">
        <v>52</v>
      </c>
      <c r="C79" s="139">
        <v>0.25</v>
      </c>
      <c r="D79" s="140">
        <f>C79*D74</f>
        <v>0.82687500000000003</v>
      </c>
      <c r="E79" s="139">
        <v>0.25</v>
      </c>
      <c r="F79" s="140">
        <f>E79*F74</f>
        <v>0.44651250000000003</v>
      </c>
      <c r="G79" s="139">
        <v>0.25</v>
      </c>
      <c r="H79" s="140">
        <f>G79*H74</f>
        <v>0.59955000000000003</v>
      </c>
      <c r="I79" s="139">
        <v>0.25</v>
      </c>
      <c r="J79" s="140">
        <f>I79*J74</f>
        <v>0.76702500000000007</v>
      </c>
      <c r="K79" s="139">
        <v>0.25</v>
      </c>
      <c r="L79" s="140">
        <f>K79*L74</f>
        <v>0.61398750000000002</v>
      </c>
      <c r="M79" s="139">
        <v>0.25</v>
      </c>
      <c r="N79" s="140">
        <f>M79*N74</f>
        <v>1.2962250000000002</v>
      </c>
      <c r="O79" s="139">
        <v>0.25</v>
      </c>
      <c r="P79" s="140">
        <f>O79*P74</f>
        <v>0.82766250000000008</v>
      </c>
      <c r="Q79" s="139">
        <v>0.25</v>
      </c>
      <c r="R79" s="140">
        <f>Q79*R74</f>
        <v>0.81138750000000015</v>
      </c>
      <c r="S79" s="139">
        <v>0.25</v>
      </c>
      <c r="T79" s="140">
        <f>S79*T74</f>
        <v>0.89433750000000001</v>
      </c>
      <c r="U79" s="139">
        <v>0.25</v>
      </c>
      <c r="V79" s="140">
        <f>U79*V74</f>
        <v>0.76807500000000006</v>
      </c>
      <c r="W79" s="139">
        <v>0.25</v>
      </c>
      <c r="X79" s="140">
        <f>W79*X74</f>
        <v>1.1319000000000001</v>
      </c>
      <c r="Y79" s="139">
        <v>0.25</v>
      </c>
      <c r="Z79" s="140">
        <f>Y79*Z74</f>
        <v>0.75363750000000007</v>
      </c>
      <c r="AA79" s="139">
        <v>0.25</v>
      </c>
      <c r="AB79" s="140">
        <f>AA79*AB74</f>
        <v>0.44913750000000002</v>
      </c>
      <c r="AC79" s="139">
        <v>0.25</v>
      </c>
      <c r="AD79" s="140">
        <f>AC79*AD74</f>
        <v>0.71767499999999995</v>
      </c>
      <c r="AE79" s="139">
        <v>0.25</v>
      </c>
      <c r="AF79" s="140">
        <f>AE79*AF74</f>
        <v>1.2413624999999999</v>
      </c>
      <c r="AG79" s="139">
        <v>0.25</v>
      </c>
      <c r="AH79" s="140">
        <f>AG79*AH74</f>
        <v>0.63892500000000008</v>
      </c>
      <c r="AI79" s="139">
        <v>0.25</v>
      </c>
      <c r="AJ79" s="140">
        <f>AI79*AJ74</f>
        <v>0.46095000000000003</v>
      </c>
      <c r="AK79" s="139">
        <v>0.25</v>
      </c>
      <c r="AL79" s="140">
        <f>AK79*AL74</f>
        <v>0.38876250000000001</v>
      </c>
      <c r="AM79" s="139">
        <v>0.25</v>
      </c>
      <c r="AN79" s="140">
        <f>AM79*AN74</f>
        <v>0.25095000000000001</v>
      </c>
      <c r="AO79" s="139">
        <v>0.25</v>
      </c>
      <c r="AP79" s="140">
        <f>AO79*AP74</f>
        <v>0</v>
      </c>
      <c r="AQ79" s="139">
        <v>0.25</v>
      </c>
      <c r="AR79" s="140">
        <f>AQ79*AR74</f>
        <v>0.34571249999999998</v>
      </c>
      <c r="AS79" s="139">
        <v>0.25</v>
      </c>
      <c r="AT79" s="140">
        <f>AS79*AT74</f>
        <v>0.40713749999999999</v>
      </c>
      <c r="AU79" s="139">
        <v>0.25</v>
      </c>
      <c r="AV79" s="140">
        <f>AU79*AV74</f>
        <v>0.25121250000000001</v>
      </c>
      <c r="AW79" s="139">
        <v>0.25</v>
      </c>
      <c r="AX79" s="140">
        <f>AW79*AX74</f>
        <v>0.580125</v>
      </c>
      <c r="AY79" s="139">
        <v>0.25</v>
      </c>
      <c r="AZ79" s="140">
        <f>AY79*AZ74</f>
        <v>2.6250000000000002E-2</v>
      </c>
      <c r="BA79" s="139">
        <v>0.25</v>
      </c>
      <c r="BB79" s="140">
        <f>BA79*BB74</f>
        <v>0.15540000000000001</v>
      </c>
      <c r="BC79" s="139">
        <v>0.25</v>
      </c>
      <c r="BD79" s="140">
        <f>BC79*BD74</f>
        <v>0.42446250000000002</v>
      </c>
      <c r="BE79" s="139">
        <v>0.25</v>
      </c>
      <c r="BF79" s="140">
        <f>BE79*BF74</f>
        <v>0.22286250000000002</v>
      </c>
      <c r="BG79" s="139">
        <v>0.25</v>
      </c>
      <c r="BH79" s="140">
        <f>BG79*BH74</f>
        <v>2.4197250000000001</v>
      </c>
      <c r="BI79" s="139">
        <v>0.25</v>
      </c>
      <c r="BJ79" s="140">
        <f>BI79*BJ74</f>
        <v>1.9540500000000001</v>
      </c>
      <c r="BK79" s="139">
        <v>0.25</v>
      </c>
      <c r="BL79" s="140">
        <f>BK79*BL74</f>
        <v>0.85050000000000003</v>
      </c>
      <c r="BM79" s="141"/>
      <c r="BN79" s="113" cm="1">
        <f t="array" ref="BN79">SUMPRODUCT((MOD(COLUMN(D79:BM79)-COLUMN(D79),2)=0)*D79:BM79)</f>
        <v>21.522375</v>
      </c>
      <c r="CA79" s="83"/>
      <c r="CB79" s="83"/>
      <c r="CC79" s="83"/>
      <c r="CD79" s="83"/>
      <c r="CE79" s="83"/>
      <c r="CF79" s="83"/>
      <c r="CG79" s="83"/>
      <c r="CH79" s="83"/>
      <c r="CI79" s="83"/>
      <c r="CJ79" s="83"/>
      <c r="CK79" s="83"/>
      <c r="CL79" s="83"/>
      <c r="CM79" s="83"/>
      <c r="CN79" s="83"/>
      <c r="CO79" s="83"/>
      <c r="CP79" s="83"/>
    </row>
    <row r="80" spans="1:94" x14ac:dyDescent="0.25">
      <c r="A80" s="107" t="s">
        <v>64</v>
      </c>
      <c r="B80" s="101"/>
      <c r="C80" s="115"/>
      <c r="D80" s="116">
        <f>SUM(D78:D79)</f>
        <v>6.344100000000001</v>
      </c>
      <c r="E80" s="115"/>
      <c r="F80" s="116">
        <f>SUM(F78:F79)</f>
        <v>7.1749124999999996</v>
      </c>
      <c r="G80" s="115"/>
      <c r="H80" s="116">
        <f>SUM(H78:H79)</f>
        <v>7.7324625000000005</v>
      </c>
      <c r="I80" s="115"/>
      <c r="J80" s="116">
        <f>SUM(J78:J79)</f>
        <v>6.0742500000000001</v>
      </c>
      <c r="K80" s="115"/>
      <c r="L80" s="116">
        <f>SUM(L78:L79)</f>
        <v>6.0745125</v>
      </c>
      <c r="M80" s="115"/>
      <c r="N80" s="116">
        <f>SUM(N78:N79)</f>
        <v>7.2449999999999992</v>
      </c>
      <c r="O80" s="115"/>
      <c r="P80" s="116">
        <f>SUM(P78:P79)</f>
        <v>7.1827874999999999</v>
      </c>
      <c r="Q80" s="115"/>
      <c r="R80" s="116">
        <f>SUM(R78:R79)</f>
        <v>4.4774625000000006</v>
      </c>
      <c r="S80" s="115"/>
      <c r="T80" s="116">
        <f>SUM(T78:T79)</f>
        <v>7.0772625000000007</v>
      </c>
      <c r="U80" s="115"/>
      <c r="V80" s="116">
        <f>SUM(V78:V79)</f>
        <v>6.4065750000000001</v>
      </c>
      <c r="W80" s="115"/>
      <c r="X80" s="116">
        <f>SUM(X78:X79)</f>
        <v>8.8318125000000016</v>
      </c>
      <c r="Y80" s="115"/>
      <c r="Z80" s="116">
        <f>SUM(Z78:Z79)</f>
        <v>5.4319125000000001</v>
      </c>
      <c r="AA80" s="115"/>
      <c r="AB80" s="116">
        <f>SUM(AB78:AB79)</f>
        <v>9.2922375000000024</v>
      </c>
      <c r="AC80" s="115"/>
      <c r="AD80" s="116">
        <f>SUM(AD78:AD79)</f>
        <v>7.1363249999999994</v>
      </c>
      <c r="AE80" s="115"/>
      <c r="AF80" s="116">
        <f>SUM(AF78:AF79)</f>
        <v>7.4208750000000006</v>
      </c>
      <c r="AG80" s="115"/>
      <c r="AH80" s="116">
        <f>SUM(AH78:AH79)</f>
        <v>4.7457375000000006</v>
      </c>
      <c r="AI80" s="115"/>
      <c r="AJ80" s="116">
        <f>SUM(AJ78:AJ79)</f>
        <v>10.073437500000001</v>
      </c>
      <c r="AK80" s="115"/>
      <c r="AL80" s="116">
        <f>SUM(AL78:AL79)</f>
        <v>4.549125000000001</v>
      </c>
      <c r="AM80" s="115"/>
      <c r="AN80" s="116">
        <f>SUM(AN78:AN79)</f>
        <v>5.1578625000000002</v>
      </c>
      <c r="AO80" s="115"/>
      <c r="AP80" s="116">
        <f>SUM(AP78:AP79)</f>
        <v>0.67725000000000002</v>
      </c>
      <c r="AQ80" s="115"/>
      <c r="AR80" s="116">
        <f>SUM(AR78:AR79)</f>
        <v>4.4506875000000008</v>
      </c>
      <c r="AS80" s="115"/>
      <c r="AT80" s="116">
        <f>SUM(AT78:AT79)</f>
        <v>3.3817875000000006</v>
      </c>
      <c r="AU80" s="115"/>
      <c r="AV80" s="116">
        <f>SUM(AV78:AV79)</f>
        <v>4.8880125000000012</v>
      </c>
      <c r="AW80" s="115"/>
      <c r="AX80" s="116">
        <f>SUM(AX78:AX79)</f>
        <v>7.250775</v>
      </c>
      <c r="AY80" s="115"/>
      <c r="AZ80" s="116">
        <f>SUM(AZ78:AZ79)</f>
        <v>4.2979125000000007</v>
      </c>
      <c r="BA80" s="115"/>
      <c r="BB80" s="116">
        <f>SUM(BB78:BB79)</f>
        <v>3.5652750000000006</v>
      </c>
      <c r="BC80" s="115"/>
      <c r="BD80" s="116">
        <f>SUM(BD78:BD79)</f>
        <v>8.4388500000000004</v>
      </c>
      <c r="BE80" s="115"/>
      <c r="BF80" s="116">
        <f>SUM(BF78:BF79)</f>
        <v>3.9926250000000003</v>
      </c>
      <c r="BG80" s="115"/>
      <c r="BH80" s="116">
        <f>SUM(BH78:BH79)</f>
        <v>6.5842875000000003</v>
      </c>
      <c r="BI80" s="115"/>
      <c r="BJ80" s="116">
        <f>SUM(BJ78:BJ79)</f>
        <v>4.2931875000000002</v>
      </c>
      <c r="BK80" s="115"/>
      <c r="BL80" s="116">
        <f>SUM(BL78:BL79)</f>
        <v>7.8981000000000012</v>
      </c>
      <c r="BM80" s="117"/>
      <c r="BN80" s="116">
        <f>SUM(C80:BM80)</f>
        <v>188.14739999999998</v>
      </c>
      <c r="CA80" s="83"/>
      <c r="CB80" s="83"/>
      <c r="CC80" s="83"/>
      <c r="CD80" s="83"/>
      <c r="CE80" s="83"/>
      <c r="CF80" s="83"/>
      <c r="CG80" s="83"/>
      <c r="CH80" s="83"/>
      <c r="CI80" s="83"/>
      <c r="CJ80" s="83"/>
      <c r="CK80" s="83"/>
      <c r="CL80" s="83"/>
      <c r="CM80" s="83"/>
      <c r="CN80" s="83"/>
      <c r="CO80" s="83"/>
      <c r="CP80" s="83"/>
    </row>
    <row r="81" spans="1:1" x14ac:dyDescent="0.25">
      <c r="A81" s="1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11A5C-C3EC-40BC-910E-659F26CC81A1}">
  <sheetPr codeName="Sheet2"/>
  <dimension ref="A2:CP81"/>
  <sheetViews>
    <sheetView showGridLines="0" workbookViewId="0">
      <selection sqref="A1:XFD1048576"/>
    </sheetView>
  </sheetViews>
  <sheetFormatPr defaultColWidth="9.140625" defaultRowHeight="12.75" x14ac:dyDescent="0.25"/>
  <cols>
    <col min="1" max="1" width="26.7109375" style="79" customWidth="1"/>
    <col min="2" max="2" width="19.7109375" style="79" customWidth="1"/>
    <col min="3" max="3" width="20.7109375" style="79" customWidth="1"/>
    <col min="4" max="4" width="20.7109375" style="82" customWidth="1"/>
    <col min="5" max="5" width="20.7109375" style="83" customWidth="1"/>
    <col min="6" max="6" width="20.7109375" style="82" customWidth="1"/>
    <col min="7" max="7" width="20.7109375" style="83" customWidth="1"/>
    <col min="8" max="8" width="20.7109375" style="82" customWidth="1"/>
    <col min="9" max="9" width="20.7109375" style="83" customWidth="1"/>
    <col min="10" max="10" width="20.7109375" style="82" customWidth="1"/>
    <col min="11" max="11" width="20.7109375" style="83" customWidth="1"/>
    <col min="12" max="12" width="20.7109375" style="82" customWidth="1"/>
    <col min="13" max="13" width="20.7109375" style="83" customWidth="1"/>
    <col min="14" max="14" width="20.7109375" style="82" customWidth="1"/>
    <col min="15" max="66" width="20.7109375" style="83" customWidth="1"/>
    <col min="67" max="75" width="11.42578125" style="83" customWidth="1"/>
    <col min="76" max="76" width="10.42578125" style="83" bestFit="1" customWidth="1"/>
    <col min="77" max="78" width="9.140625" style="83"/>
    <col min="79" max="16384" width="9.140625" style="79"/>
  </cols>
  <sheetData>
    <row r="2" spans="1:94" ht="15.75" x14ac:dyDescent="0.25">
      <c r="A2" s="78" t="s">
        <v>0</v>
      </c>
      <c r="D2" s="80"/>
      <c r="E2" s="81"/>
      <c r="F2" s="80"/>
      <c r="G2" s="81"/>
    </row>
    <row r="3" spans="1:94" x14ac:dyDescent="0.25">
      <c r="A3" s="79" t="s">
        <v>81</v>
      </c>
      <c r="D3" s="80"/>
      <c r="E3" s="81"/>
      <c r="F3" s="80"/>
      <c r="G3" s="81"/>
    </row>
    <row r="4" spans="1:94" x14ac:dyDescent="0.25">
      <c r="A4" s="1">
        <v>45839</v>
      </c>
      <c r="D4" s="80"/>
      <c r="E4" s="81"/>
      <c r="F4" s="80"/>
      <c r="G4" s="81"/>
    </row>
    <row r="5" spans="1:94" x14ac:dyDescent="0.25">
      <c r="D5" s="80"/>
      <c r="E5" s="81"/>
      <c r="F5" s="80"/>
      <c r="G5" s="81"/>
    </row>
    <row r="6" spans="1:94" s="84" customFormat="1" x14ac:dyDescent="0.25">
      <c r="B6" s="85"/>
      <c r="C6" s="150">
        <f>IF(MOD(COLUMN()-COLUMN($C$6),2)=0,IF(DAY(DATE(YEAR($A$4),MONTH($A$4),(COLUMN()-COLUMN($C$6))/2+1))=(COLUMN()-COLUMN($C$6))/2+1,DATE(YEAR($A$4),MONTH($A$4),(COLUMN()-COLUMN($C$6))/2+1),""),"")</f>
        <v>45839</v>
      </c>
      <c r="D6" s="150" t="str">
        <f t="shared" ref="D6:BL6" si="0">IF(MOD(COLUMN()-COLUMN($C$6),2)=0,IF(DAY(DATE(YEAR($A$4),MONTH($A$4),(COLUMN()-COLUMN($C$6))/2+1))=(COLUMN()-COLUMN($C$6))/2+1,DATE(YEAR($A$4),MONTH($A$4),(COLUMN()-COLUMN($C$6))/2+1),""),"")</f>
        <v/>
      </c>
      <c r="E6" s="150">
        <f t="shared" si="0"/>
        <v>45840</v>
      </c>
      <c r="F6" s="150" t="str">
        <f t="shared" si="0"/>
        <v/>
      </c>
      <c r="G6" s="150">
        <f t="shared" si="0"/>
        <v>45841</v>
      </c>
      <c r="H6" s="150" t="str">
        <f t="shared" si="0"/>
        <v/>
      </c>
      <c r="I6" s="150">
        <f t="shared" si="0"/>
        <v>45842</v>
      </c>
      <c r="J6" s="150" t="str">
        <f t="shared" si="0"/>
        <v/>
      </c>
      <c r="K6" s="150">
        <f t="shared" si="0"/>
        <v>45843</v>
      </c>
      <c r="L6" s="150" t="str">
        <f t="shared" si="0"/>
        <v/>
      </c>
      <c r="M6" s="150">
        <f t="shared" si="0"/>
        <v>45844</v>
      </c>
      <c r="N6" s="150" t="str">
        <f t="shared" si="0"/>
        <v/>
      </c>
      <c r="O6" s="150">
        <f t="shared" si="0"/>
        <v>45845</v>
      </c>
      <c r="P6" s="150" t="str">
        <f t="shared" si="0"/>
        <v/>
      </c>
      <c r="Q6" s="150">
        <f t="shared" si="0"/>
        <v>45846</v>
      </c>
      <c r="R6" s="150" t="str">
        <f t="shared" si="0"/>
        <v/>
      </c>
      <c r="S6" s="150">
        <f t="shared" si="0"/>
        <v>45847</v>
      </c>
      <c r="T6" s="150" t="str">
        <f t="shared" si="0"/>
        <v/>
      </c>
      <c r="U6" s="150">
        <f t="shared" si="0"/>
        <v>45848</v>
      </c>
      <c r="V6" s="150" t="str">
        <f t="shared" si="0"/>
        <v/>
      </c>
      <c r="W6" s="150">
        <f t="shared" si="0"/>
        <v>45849</v>
      </c>
      <c r="X6" s="150" t="str">
        <f t="shared" si="0"/>
        <v/>
      </c>
      <c r="Y6" s="150">
        <f t="shared" si="0"/>
        <v>45850</v>
      </c>
      <c r="Z6" s="150" t="str">
        <f t="shared" si="0"/>
        <v/>
      </c>
      <c r="AA6" s="150">
        <f t="shared" si="0"/>
        <v>45851</v>
      </c>
      <c r="AB6" s="150" t="str">
        <f t="shared" si="0"/>
        <v/>
      </c>
      <c r="AC6" s="150">
        <f t="shared" si="0"/>
        <v>45852</v>
      </c>
      <c r="AD6" s="150" t="str">
        <f t="shared" si="0"/>
        <v/>
      </c>
      <c r="AE6" s="150">
        <f t="shared" si="0"/>
        <v>45853</v>
      </c>
      <c r="AF6" s="150" t="str">
        <f t="shared" si="0"/>
        <v/>
      </c>
      <c r="AG6" s="150">
        <f t="shared" si="0"/>
        <v>45854</v>
      </c>
      <c r="AH6" s="150" t="str">
        <f t="shared" si="0"/>
        <v/>
      </c>
      <c r="AI6" s="150">
        <f t="shared" si="0"/>
        <v>45855</v>
      </c>
      <c r="AJ6" s="150" t="str">
        <f t="shared" si="0"/>
        <v/>
      </c>
      <c r="AK6" s="150">
        <f t="shared" si="0"/>
        <v>45856</v>
      </c>
      <c r="AL6" s="150" t="str">
        <f t="shared" si="0"/>
        <v/>
      </c>
      <c r="AM6" s="150">
        <f t="shared" si="0"/>
        <v>45857</v>
      </c>
      <c r="AN6" s="150" t="str">
        <f t="shared" si="0"/>
        <v/>
      </c>
      <c r="AO6" s="150">
        <f t="shared" si="0"/>
        <v>45858</v>
      </c>
      <c r="AP6" s="150" t="str">
        <f t="shared" si="0"/>
        <v/>
      </c>
      <c r="AQ6" s="150">
        <f t="shared" si="0"/>
        <v>45859</v>
      </c>
      <c r="AR6" s="150" t="str">
        <f t="shared" si="0"/>
        <v/>
      </c>
      <c r="AS6" s="150">
        <f t="shared" si="0"/>
        <v>45860</v>
      </c>
      <c r="AT6" s="150" t="str">
        <f t="shared" si="0"/>
        <v/>
      </c>
      <c r="AU6" s="150">
        <f t="shared" si="0"/>
        <v>45861</v>
      </c>
      <c r="AV6" s="150" t="str">
        <f t="shared" si="0"/>
        <v/>
      </c>
      <c r="AW6" s="150">
        <f t="shared" si="0"/>
        <v>45862</v>
      </c>
      <c r="AX6" s="150" t="str">
        <f t="shared" si="0"/>
        <v/>
      </c>
      <c r="AY6" s="150">
        <f t="shared" si="0"/>
        <v>45863</v>
      </c>
      <c r="AZ6" s="150" t="str">
        <f t="shared" si="0"/>
        <v/>
      </c>
      <c r="BA6" s="150">
        <f t="shared" si="0"/>
        <v>45864</v>
      </c>
      <c r="BB6" s="150" t="str">
        <f t="shared" si="0"/>
        <v/>
      </c>
      <c r="BC6" s="150">
        <f t="shared" si="0"/>
        <v>45865</v>
      </c>
      <c r="BD6" s="150" t="str">
        <f t="shared" si="0"/>
        <v/>
      </c>
      <c r="BE6" s="150">
        <f t="shared" si="0"/>
        <v>45866</v>
      </c>
      <c r="BF6" s="150" t="str">
        <f t="shared" si="0"/>
        <v/>
      </c>
      <c r="BG6" s="150">
        <f t="shared" si="0"/>
        <v>45867</v>
      </c>
      <c r="BH6" s="150" t="str">
        <f t="shared" si="0"/>
        <v/>
      </c>
      <c r="BI6" s="150">
        <f t="shared" si="0"/>
        <v>45868</v>
      </c>
      <c r="BJ6" s="150" t="str">
        <f t="shared" si="0"/>
        <v/>
      </c>
      <c r="BK6" s="150">
        <f t="shared" si="0"/>
        <v>45869</v>
      </c>
      <c r="BL6" s="150" t="str">
        <f t="shared" si="0"/>
        <v/>
      </c>
      <c r="BM6" s="151"/>
      <c r="BN6" s="151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7"/>
      <c r="BZ6" s="87"/>
    </row>
    <row r="7" spans="1:94" x14ac:dyDescent="0.25">
      <c r="B7" s="149" t="s">
        <v>2</v>
      </c>
      <c r="C7" s="146" t="s">
        <v>3</v>
      </c>
      <c r="D7" s="147" t="s">
        <v>4</v>
      </c>
      <c r="E7" s="146" t="s">
        <v>3</v>
      </c>
      <c r="F7" s="147" t="s">
        <v>4</v>
      </c>
      <c r="G7" s="146" t="s">
        <v>3</v>
      </c>
      <c r="H7" s="147" t="s">
        <v>4</v>
      </c>
      <c r="I7" s="146" t="s">
        <v>3</v>
      </c>
      <c r="J7" s="147" t="s">
        <v>4</v>
      </c>
      <c r="K7" s="146" t="s">
        <v>3</v>
      </c>
      <c r="L7" s="147" t="s">
        <v>4</v>
      </c>
      <c r="M7" s="146" t="s">
        <v>3</v>
      </c>
      <c r="N7" s="147" t="s">
        <v>4</v>
      </c>
      <c r="O7" s="146" t="s">
        <v>3</v>
      </c>
      <c r="P7" s="147" t="s">
        <v>4</v>
      </c>
      <c r="Q7" s="146" t="s">
        <v>3</v>
      </c>
      <c r="R7" s="147" t="s">
        <v>4</v>
      </c>
      <c r="S7" s="146" t="s">
        <v>3</v>
      </c>
      <c r="T7" s="147" t="s">
        <v>4</v>
      </c>
      <c r="U7" s="146" t="s">
        <v>3</v>
      </c>
      <c r="V7" s="147" t="s">
        <v>4</v>
      </c>
      <c r="W7" s="146" t="s">
        <v>3</v>
      </c>
      <c r="X7" s="147" t="s">
        <v>4</v>
      </c>
      <c r="Y7" s="146" t="s">
        <v>3</v>
      </c>
      <c r="Z7" s="147" t="s">
        <v>4</v>
      </c>
      <c r="AA7" s="146" t="s">
        <v>3</v>
      </c>
      <c r="AB7" s="147" t="s">
        <v>4</v>
      </c>
      <c r="AC7" s="146" t="s">
        <v>3</v>
      </c>
      <c r="AD7" s="147" t="s">
        <v>4</v>
      </c>
      <c r="AE7" s="146" t="s">
        <v>3</v>
      </c>
      <c r="AF7" s="147" t="s">
        <v>4</v>
      </c>
      <c r="AG7" s="146" t="s">
        <v>3</v>
      </c>
      <c r="AH7" s="147" t="s">
        <v>4</v>
      </c>
      <c r="AI7" s="146" t="s">
        <v>3</v>
      </c>
      <c r="AJ7" s="147" t="s">
        <v>4</v>
      </c>
      <c r="AK7" s="146" t="s">
        <v>3</v>
      </c>
      <c r="AL7" s="147" t="s">
        <v>4</v>
      </c>
      <c r="AM7" s="146" t="s">
        <v>3</v>
      </c>
      <c r="AN7" s="147" t="s">
        <v>4</v>
      </c>
      <c r="AO7" s="146" t="s">
        <v>3</v>
      </c>
      <c r="AP7" s="147" t="s">
        <v>4</v>
      </c>
      <c r="AQ7" s="146" t="s">
        <v>3</v>
      </c>
      <c r="AR7" s="147" t="s">
        <v>4</v>
      </c>
      <c r="AS7" s="146" t="s">
        <v>3</v>
      </c>
      <c r="AT7" s="147" t="s">
        <v>4</v>
      </c>
      <c r="AU7" s="146" t="s">
        <v>3</v>
      </c>
      <c r="AV7" s="147" t="s">
        <v>4</v>
      </c>
      <c r="AW7" s="146" t="s">
        <v>3</v>
      </c>
      <c r="AX7" s="147" t="s">
        <v>4</v>
      </c>
      <c r="AY7" s="146" t="s">
        <v>3</v>
      </c>
      <c r="AZ7" s="147" t="s">
        <v>4</v>
      </c>
      <c r="BA7" s="146" t="s">
        <v>3</v>
      </c>
      <c r="BB7" s="147" t="s">
        <v>4</v>
      </c>
      <c r="BC7" s="146" t="s">
        <v>3</v>
      </c>
      <c r="BD7" s="147" t="s">
        <v>4</v>
      </c>
      <c r="BE7" s="146" t="s">
        <v>3</v>
      </c>
      <c r="BF7" s="147" t="s">
        <v>4</v>
      </c>
      <c r="BG7" s="146" t="s">
        <v>3</v>
      </c>
      <c r="BH7" s="147" t="s">
        <v>4</v>
      </c>
      <c r="BI7" s="146" t="s">
        <v>3</v>
      </c>
      <c r="BJ7" s="147" t="s">
        <v>4</v>
      </c>
      <c r="BK7" s="146" t="s">
        <v>3</v>
      </c>
      <c r="BL7" s="147" t="s">
        <v>4</v>
      </c>
      <c r="BM7" s="148" t="s">
        <v>5</v>
      </c>
      <c r="BN7" s="147" t="s">
        <v>6</v>
      </c>
      <c r="CA7" s="83"/>
      <c r="CB7" s="83"/>
      <c r="CC7" s="83"/>
      <c r="CD7" s="83"/>
      <c r="CE7" s="83"/>
      <c r="CF7" s="83"/>
      <c r="CG7" s="83"/>
      <c r="CH7" s="83"/>
      <c r="CI7" s="83"/>
      <c r="CJ7" s="83"/>
      <c r="CK7" s="83"/>
      <c r="CL7" s="83"/>
      <c r="CM7" s="83"/>
      <c r="CN7" s="83"/>
      <c r="CO7" s="83"/>
      <c r="CP7" s="83"/>
    </row>
    <row r="8" spans="1:94" x14ac:dyDescent="0.25">
      <c r="B8" s="88"/>
      <c r="C8" s="89"/>
      <c r="D8" s="90"/>
      <c r="E8" s="89"/>
      <c r="F8" s="90"/>
      <c r="G8" s="89"/>
      <c r="H8" s="90"/>
      <c r="I8" s="89"/>
      <c r="J8" s="90"/>
      <c r="K8" s="89"/>
      <c r="L8" s="90"/>
      <c r="M8" s="89"/>
      <c r="N8" s="90"/>
      <c r="O8" s="89"/>
      <c r="P8" s="90"/>
      <c r="Q8" s="89"/>
      <c r="R8" s="90"/>
      <c r="S8" s="89"/>
      <c r="T8" s="90"/>
      <c r="U8" s="89"/>
      <c r="V8" s="90"/>
      <c r="W8" s="89"/>
      <c r="X8" s="90"/>
      <c r="Y8" s="89"/>
      <c r="Z8" s="90"/>
      <c r="AA8" s="89"/>
      <c r="AB8" s="90"/>
      <c r="AC8" s="89"/>
      <c r="AD8" s="90"/>
      <c r="AE8" s="89"/>
      <c r="AF8" s="90"/>
      <c r="AG8" s="89"/>
      <c r="AH8" s="90"/>
      <c r="AI8" s="89"/>
      <c r="AJ8" s="90"/>
      <c r="AK8" s="89"/>
      <c r="AL8" s="90"/>
      <c r="AM8" s="89"/>
      <c r="AN8" s="90"/>
      <c r="AO8" s="89"/>
      <c r="AP8" s="90"/>
      <c r="AQ8" s="89"/>
      <c r="AR8" s="90"/>
      <c r="AS8" s="89"/>
      <c r="AT8" s="90"/>
      <c r="AU8" s="89"/>
      <c r="AV8" s="90"/>
      <c r="AW8" s="89"/>
      <c r="AX8" s="90"/>
      <c r="AY8" s="89"/>
      <c r="AZ8" s="90"/>
      <c r="BA8" s="89"/>
      <c r="BB8" s="90"/>
      <c r="BC8" s="89"/>
      <c r="BD8" s="90"/>
      <c r="BE8" s="89"/>
      <c r="BF8" s="90"/>
      <c r="BG8" s="89"/>
      <c r="BH8" s="90"/>
      <c r="BI8" s="89"/>
      <c r="BJ8" s="90"/>
      <c r="BK8" s="89"/>
      <c r="BL8" s="90"/>
      <c r="BM8" s="91"/>
      <c r="BN8" s="90"/>
      <c r="CA8" s="83"/>
      <c r="CB8" s="83"/>
      <c r="CC8" s="83"/>
      <c r="CD8" s="83"/>
      <c r="CE8" s="83"/>
      <c r="CF8" s="83"/>
      <c r="CG8" s="83"/>
      <c r="CH8" s="83"/>
      <c r="CI8" s="83"/>
      <c r="CJ8" s="83"/>
      <c r="CK8" s="83"/>
      <c r="CL8" s="83"/>
      <c r="CM8" s="83"/>
      <c r="CN8" s="83"/>
      <c r="CO8" s="83"/>
      <c r="CP8" s="83"/>
    </row>
    <row r="9" spans="1:94" x14ac:dyDescent="0.25">
      <c r="A9" s="92" t="s">
        <v>7</v>
      </c>
      <c r="B9" s="93"/>
      <c r="C9" s="94"/>
      <c r="D9" s="95"/>
      <c r="E9" s="94"/>
      <c r="F9" s="95"/>
      <c r="G9" s="94"/>
      <c r="H9" s="95"/>
      <c r="I9" s="94"/>
      <c r="J9" s="95"/>
      <c r="K9" s="94"/>
      <c r="L9" s="95"/>
      <c r="M9" s="94"/>
      <c r="N9" s="95"/>
      <c r="O9" s="94"/>
      <c r="P9" s="95"/>
      <c r="Q9" s="94"/>
      <c r="R9" s="95"/>
      <c r="S9" s="94"/>
      <c r="T9" s="95"/>
      <c r="U9" s="94"/>
      <c r="V9" s="95"/>
      <c r="W9" s="94"/>
      <c r="X9" s="95"/>
      <c r="Y9" s="94"/>
      <c r="Z9" s="95"/>
      <c r="AA9" s="94"/>
      <c r="AB9" s="95"/>
      <c r="AC9" s="94"/>
      <c r="AD9" s="95"/>
      <c r="AE9" s="94"/>
      <c r="AF9" s="95"/>
      <c r="AG9" s="94"/>
      <c r="AH9" s="95"/>
      <c r="AI9" s="94"/>
      <c r="AJ9" s="95"/>
      <c r="AK9" s="94"/>
      <c r="AL9" s="95"/>
      <c r="AM9" s="94"/>
      <c r="AN9" s="95"/>
      <c r="AO9" s="94"/>
      <c r="AP9" s="95"/>
      <c r="AQ9" s="94"/>
      <c r="AR9" s="95"/>
      <c r="AS9" s="94"/>
      <c r="AT9" s="95"/>
      <c r="AU9" s="94"/>
      <c r="AV9" s="95"/>
      <c r="AW9" s="94"/>
      <c r="AX9" s="95"/>
      <c r="AY9" s="94"/>
      <c r="AZ9" s="95"/>
      <c r="BA9" s="94"/>
      <c r="BB9" s="95"/>
      <c r="BC9" s="94"/>
      <c r="BD9" s="95"/>
      <c r="BE9" s="94"/>
      <c r="BF9" s="95"/>
      <c r="BG9" s="94"/>
      <c r="BH9" s="95"/>
      <c r="BI9" s="94"/>
      <c r="BJ9" s="95"/>
      <c r="BK9" s="94"/>
      <c r="BL9" s="95"/>
      <c r="BM9" s="96"/>
      <c r="BN9" s="97"/>
      <c r="CA9" s="83"/>
      <c r="CB9" s="83"/>
      <c r="CC9" s="83"/>
      <c r="CD9" s="83"/>
      <c r="CE9" s="83"/>
      <c r="CF9" s="83"/>
      <c r="CG9" s="83"/>
      <c r="CH9" s="83"/>
      <c r="CI9" s="83"/>
      <c r="CJ9" s="83"/>
      <c r="CK9" s="83"/>
      <c r="CL9" s="83"/>
      <c r="CM9" s="83"/>
      <c r="CN9" s="83"/>
      <c r="CO9" s="83"/>
      <c r="CP9" s="83"/>
    </row>
    <row r="10" spans="1:94" x14ac:dyDescent="0.25">
      <c r="A10" s="79" t="s">
        <v>8</v>
      </c>
      <c r="B10" s="98" t="s">
        <v>9</v>
      </c>
      <c r="C10" s="112">
        <f>EOD_Credit_NP!D6</f>
        <v>7</v>
      </c>
      <c r="D10" s="113">
        <f>EOD_Credit_NP!E6</f>
        <v>3481.1</v>
      </c>
      <c r="E10" s="112">
        <f>EOD_Credit_NP!F6</f>
        <v>2</v>
      </c>
      <c r="F10" s="113">
        <f>EOD_Credit_NP!G6</f>
        <v>1466.2</v>
      </c>
      <c r="G10" s="112">
        <f>EOD_Credit_NP!H6</f>
        <v>3</v>
      </c>
      <c r="H10" s="113">
        <f>EOD_Credit_NP!I6</f>
        <v>651.79999999999995</v>
      </c>
      <c r="I10" s="112">
        <f>EOD_Credit_NP!J6</f>
        <v>5</v>
      </c>
      <c r="J10" s="113">
        <f>EOD_Credit_NP!K6</f>
        <v>1686.4</v>
      </c>
      <c r="K10" s="112">
        <f>EOD_Credit_NP!L6</f>
        <v>2</v>
      </c>
      <c r="L10" s="113">
        <f>EOD_Credit_NP!M6</f>
        <v>800</v>
      </c>
      <c r="M10" s="112">
        <f>EOD_Credit_NP!N6</f>
        <v>4</v>
      </c>
      <c r="N10" s="113">
        <f>EOD_Credit_NP!O6</f>
        <v>2166.1</v>
      </c>
      <c r="O10" s="112">
        <f>EOD_Credit_NP!P6</f>
        <v>1</v>
      </c>
      <c r="P10" s="113">
        <f>EOD_Credit_NP!Q6</f>
        <v>500</v>
      </c>
      <c r="Q10" s="112">
        <f>EOD_Credit_NP!R6</f>
        <v>2</v>
      </c>
      <c r="R10" s="113">
        <f>EOD_Credit_NP!S6</f>
        <v>1570.6</v>
      </c>
      <c r="S10" s="112">
        <f>EOD_Credit_NP!T6</f>
        <v>1</v>
      </c>
      <c r="T10" s="113">
        <f>EOD_Credit_NP!U6</f>
        <v>500</v>
      </c>
      <c r="U10" s="112">
        <f>EOD_Credit_NP!V6</f>
        <v>6</v>
      </c>
      <c r="V10" s="113">
        <f>EOD_Credit_NP!W6</f>
        <v>2799.5</v>
      </c>
      <c r="W10" s="112">
        <f>EOD_Credit_NP!X6</f>
        <v>3</v>
      </c>
      <c r="X10" s="113">
        <f>EOD_Credit_NP!Y6</f>
        <v>2138.3000000000002</v>
      </c>
      <c r="Y10" s="112">
        <f>EOD_Credit_NP!Z6</f>
        <v>4</v>
      </c>
      <c r="Z10" s="113">
        <f>EOD_Credit_NP!AA6</f>
        <v>1743.5</v>
      </c>
      <c r="AA10" s="112">
        <f>EOD_Credit_NP!AB6</f>
        <v>6</v>
      </c>
      <c r="AB10" s="113">
        <f>EOD_Credit_NP!AC6</f>
        <v>3954.7</v>
      </c>
      <c r="AC10" s="112">
        <f>EOD_Credit_NP!AD6</f>
        <v>3</v>
      </c>
      <c r="AD10" s="113">
        <f>EOD_Credit_NP!AE6</f>
        <v>1900</v>
      </c>
      <c r="AE10" s="112">
        <f>EOD_Credit_NP!AF6</f>
        <v>1</v>
      </c>
      <c r="AF10" s="113">
        <f>EOD_Credit_NP!AG6</f>
        <v>500</v>
      </c>
      <c r="AG10" s="112">
        <f>EOD_Credit_NP!AH6</f>
        <v>4</v>
      </c>
      <c r="AH10" s="113">
        <f>EOD_Credit_NP!AI6</f>
        <v>1388.3</v>
      </c>
      <c r="AI10" s="112">
        <f>EOD_Credit_NP!AJ6</f>
        <v>7</v>
      </c>
      <c r="AJ10" s="113">
        <f>EOD_Credit_NP!AK6</f>
        <v>2926.7</v>
      </c>
      <c r="AK10" s="112">
        <f>EOD_Credit_NP!AL6</f>
        <v>5</v>
      </c>
      <c r="AL10" s="113">
        <f>EOD_Credit_NP!AM6</f>
        <v>2598.8000000000002</v>
      </c>
      <c r="AM10" s="112">
        <f>EOD_Credit_NP!AN6</f>
        <v>4</v>
      </c>
      <c r="AN10" s="113">
        <f>EOD_Credit_NP!AO6</f>
        <v>3063.5</v>
      </c>
      <c r="AO10" s="112">
        <f>EOD_Credit_NP!AP6</f>
        <v>0</v>
      </c>
      <c r="AP10" s="113">
        <f>EOD_Credit_NP!AQ6</f>
        <v>0</v>
      </c>
      <c r="AQ10" s="112">
        <f>EOD_Credit_NP!AR6</f>
        <v>2</v>
      </c>
      <c r="AR10" s="113">
        <f>EOD_Credit_NP!AS6</f>
        <v>1000</v>
      </c>
      <c r="AS10" s="112">
        <f>EOD_Credit_NP!AT6</f>
        <v>2</v>
      </c>
      <c r="AT10" s="113">
        <f>EOD_Credit_NP!AU6</f>
        <v>618.29999999999995</v>
      </c>
      <c r="AU10" s="112">
        <f>EOD_Credit_NP!AV6</f>
        <v>2</v>
      </c>
      <c r="AV10" s="113">
        <f>EOD_Credit_NP!AW6</f>
        <v>573.20000000000005</v>
      </c>
      <c r="AW10" s="112">
        <f>EOD_Credit_NP!AX6</f>
        <v>6</v>
      </c>
      <c r="AX10" s="113">
        <f>EOD_Credit_NP!AY6</f>
        <v>3323.6</v>
      </c>
      <c r="AY10" s="112">
        <f>EOD_Credit_NP!AZ6</f>
        <v>0</v>
      </c>
      <c r="AZ10" s="113">
        <f>EOD_Credit_NP!BA6</f>
        <v>0</v>
      </c>
      <c r="BA10" s="112">
        <f>EOD_Credit_NP!BB6</f>
        <v>2</v>
      </c>
      <c r="BB10" s="113">
        <f>EOD_Credit_NP!BC6</f>
        <v>490.5</v>
      </c>
      <c r="BC10" s="112">
        <f>EOD_Credit_NP!BD6</f>
        <v>4</v>
      </c>
      <c r="BD10" s="113">
        <f>EOD_Credit_NP!BE6</f>
        <v>931.7</v>
      </c>
      <c r="BE10" s="112">
        <f>EOD_Credit_NP!BF6</f>
        <v>2</v>
      </c>
      <c r="BF10" s="113">
        <f>EOD_Credit_NP!BG6</f>
        <v>524.20000000000005</v>
      </c>
      <c r="BG10" s="112">
        <f>EOD_Credit_NP!BH6</f>
        <v>1</v>
      </c>
      <c r="BH10" s="113">
        <f>EOD_Credit_NP!BI6</f>
        <v>801.6</v>
      </c>
      <c r="BI10" s="112">
        <f>EOD_Credit_NP!BJ6</f>
        <v>5</v>
      </c>
      <c r="BJ10" s="113">
        <f>EOD_Credit_NP!BK6</f>
        <v>1869.2</v>
      </c>
      <c r="BK10" s="112">
        <f>EOD_Credit_NP!BL6</f>
        <v>2</v>
      </c>
      <c r="BL10" s="113">
        <f>EOD_Credit_NP!BM6</f>
        <v>1127.0999999999999</v>
      </c>
      <c r="BM10" s="114" cm="1">
        <f t="array" ref="BM10">SUMPRODUCT((MOD(COLUMN(C10:BL10)-COLUMN(C10),2)=0)*C10:BL10)</f>
        <v>98</v>
      </c>
      <c r="BN10" s="113" cm="1">
        <f t="array" ref="BN10">SUMPRODUCT((MOD(COLUMN(D10:BM10)-COLUMN(D10),2)=0)*D10:BM10)</f>
        <v>47094.899999999987</v>
      </c>
      <c r="BO10" s="99"/>
      <c r="BP10" s="99"/>
      <c r="BQ10" s="99"/>
      <c r="BR10" s="99"/>
      <c r="BS10" s="99"/>
      <c r="BT10" s="99"/>
      <c r="BU10" s="99"/>
      <c r="BV10" s="99"/>
      <c r="BW10" s="99"/>
      <c r="BX10" s="99"/>
      <c r="CA10" s="83"/>
      <c r="CB10" s="83"/>
      <c r="CC10" s="83"/>
      <c r="CD10" s="83"/>
      <c r="CE10" s="83"/>
      <c r="CF10" s="83"/>
      <c r="CG10" s="83"/>
      <c r="CH10" s="83"/>
      <c r="CI10" s="83"/>
      <c r="CJ10" s="83"/>
      <c r="CK10" s="83"/>
      <c r="CL10" s="83"/>
      <c r="CM10" s="83"/>
      <c r="CN10" s="83"/>
      <c r="CO10" s="83"/>
      <c r="CP10" s="83"/>
    </row>
    <row r="11" spans="1:94" x14ac:dyDescent="0.25">
      <c r="A11" s="79" t="s">
        <v>10</v>
      </c>
      <c r="B11" s="98" t="s">
        <v>9</v>
      </c>
      <c r="C11" s="112">
        <f>EOD_Credit_NP!D8</f>
        <v>7</v>
      </c>
      <c r="D11" s="113">
        <f>EOD_Credit_NP!E8</f>
        <v>5224.1000000000004</v>
      </c>
      <c r="E11" s="112">
        <f>EOD_Credit_NP!F8</f>
        <v>12</v>
      </c>
      <c r="F11" s="113">
        <f>EOD_Credit_NP!G8</f>
        <v>5777.1</v>
      </c>
      <c r="G11" s="112">
        <f>EOD_Credit_NP!H8</f>
        <v>9</v>
      </c>
      <c r="H11" s="113">
        <f>EOD_Credit_NP!I8</f>
        <v>5234.7</v>
      </c>
      <c r="I11" s="112">
        <f>EOD_Credit_NP!J8</f>
        <v>8</v>
      </c>
      <c r="J11" s="113">
        <f>EOD_Credit_NP!K8</f>
        <v>5618.7</v>
      </c>
      <c r="K11" s="112">
        <f>EOD_Credit_NP!L8</f>
        <v>6</v>
      </c>
      <c r="L11" s="113">
        <f>EOD_Credit_NP!M8</f>
        <v>2378.9</v>
      </c>
      <c r="M11" s="112">
        <f>EOD_Credit_NP!N8</f>
        <v>5</v>
      </c>
      <c r="N11" s="113">
        <f>EOD_Credit_NP!O8</f>
        <v>3556.2</v>
      </c>
      <c r="O11" s="112">
        <f>EOD_Credit_NP!P8</f>
        <v>9</v>
      </c>
      <c r="P11" s="113">
        <f>EOD_Credit_NP!Q8</f>
        <v>4071.8</v>
      </c>
      <c r="Q11" s="112">
        <f>EOD_Credit_NP!R8</f>
        <v>9</v>
      </c>
      <c r="R11" s="113">
        <f>EOD_Credit_NP!S8</f>
        <v>6061.8</v>
      </c>
      <c r="S11" s="112">
        <f>EOD_Credit_NP!T8</f>
        <v>12</v>
      </c>
      <c r="T11" s="113">
        <f>EOD_Credit_NP!U8</f>
        <v>6161.8</v>
      </c>
      <c r="U11" s="112">
        <f>EOD_Credit_NP!V8</f>
        <v>3</v>
      </c>
      <c r="V11" s="113">
        <f>EOD_Credit_NP!W8</f>
        <v>1800</v>
      </c>
      <c r="W11" s="112">
        <f>EOD_Credit_NP!X8</f>
        <v>10</v>
      </c>
      <c r="X11" s="113">
        <f>EOD_Credit_NP!Y8</f>
        <v>8600.6</v>
      </c>
      <c r="Y11" s="112">
        <f>EOD_Credit_NP!Z8</f>
        <v>4</v>
      </c>
      <c r="Z11" s="113">
        <f>EOD_Credit_NP!AA8</f>
        <v>2243</v>
      </c>
      <c r="AA11" s="112">
        <f>EOD_Credit_NP!AB8</f>
        <v>2</v>
      </c>
      <c r="AB11" s="113">
        <f>EOD_Credit_NP!AC8</f>
        <v>1715.3</v>
      </c>
      <c r="AC11" s="112">
        <f>EOD_Credit_NP!AD8</f>
        <v>2</v>
      </c>
      <c r="AD11" s="113">
        <f>EOD_Credit_NP!AE8</f>
        <v>814.2</v>
      </c>
      <c r="AE11" s="112">
        <f>EOD_Credit_NP!AF8</f>
        <v>5</v>
      </c>
      <c r="AF11" s="113">
        <f>EOD_Credit_NP!AG8</f>
        <v>3273.6</v>
      </c>
      <c r="AG11" s="112">
        <f>EOD_Credit_NP!AH8</f>
        <v>7</v>
      </c>
      <c r="AH11" s="113">
        <f>EOD_Credit_NP!AI8</f>
        <v>4780</v>
      </c>
      <c r="AI11" s="112">
        <f>EOD_Credit_NP!AJ8</f>
        <v>6</v>
      </c>
      <c r="AJ11" s="113">
        <f>EOD_Credit_NP!AK8</f>
        <v>2502.1999999999998</v>
      </c>
      <c r="AK11" s="112">
        <f>EOD_Credit_NP!AL8</f>
        <v>15</v>
      </c>
      <c r="AL11" s="113">
        <f>EOD_Credit_NP!AM8</f>
        <v>12741.5</v>
      </c>
      <c r="AM11" s="112">
        <f>EOD_Credit_NP!AN8</f>
        <v>10</v>
      </c>
      <c r="AN11" s="113">
        <f>EOD_Credit_NP!AO8</f>
        <v>6168.5</v>
      </c>
      <c r="AO11" s="112">
        <f>EOD_Credit_NP!AP8</f>
        <v>3</v>
      </c>
      <c r="AP11" s="113">
        <f>EOD_Credit_NP!AQ8</f>
        <v>808.6</v>
      </c>
      <c r="AQ11" s="112">
        <f>EOD_Credit_NP!AR8</f>
        <v>7</v>
      </c>
      <c r="AR11" s="113">
        <f>EOD_Credit_NP!AS8</f>
        <v>4655.7</v>
      </c>
      <c r="AS11" s="112">
        <f>EOD_Credit_NP!AT8</f>
        <v>3</v>
      </c>
      <c r="AT11" s="113">
        <f>EOD_Credit_NP!AU8</f>
        <v>2280.1999999999998</v>
      </c>
      <c r="AU11" s="112">
        <f>EOD_Credit_NP!AV8</f>
        <v>5</v>
      </c>
      <c r="AV11" s="113">
        <f>EOD_Credit_NP!AW8</f>
        <v>2200</v>
      </c>
      <c r="AW11" s="112">
        <f>EOD_Credit_NP!AX8</f>
        <v>5</v>
      </c>
      <c r="AX11" s="113">
        <f>EOD_Credit_NP!AY8</f>
        <v>3040.2</v>
      </c>
      <c r="AY11" s="112">
        <f>EOD_Credit_NP!AZ8</f>
        <v>5</v>
      </c>
      <c r="AZ11" s="113">
        <f>EOD_Credit_NP!BA8</f>
        <v>3693</v>
      </c>
      <c r="BA11" s="112">
        <f>EOD_Credit_NP!BB8</f>
        <v>4</v>
      </c>
      <c r="BB11" s="113">
        <f>EOD_Credit_NP!BC8</f>
        <v>3373.3</v>
      </c>
      <c r="BC11" s="112">
        <f>EOD_Credit_NP!BD8</f>
        <v>7</v>
      </c>
      <c r="BD11" s="113">
        <f>EOD_Credit_NP!BE8</f>
        <v>4738.5</v>
      </c>
      <c r="BE11" s="112">
        <f>EOD_Credit_NP!BF8</f>
        <v>3</v>
      </c>
      <c r="BF11" s="113">
        <f>EOD_Credit_NP!BG8</f>
        <v>2300</v>
      </c>
      <c r="BG11" s="112">
        <f>EOD_Credit_NP!BH8</f>
        <v>4</v>
      </c>
      <c r="BH11" s="113">
        <f>EOD_Credit_NP!BI8</f>
        <v>3265.5</v>
      </c>
      <c r="BI11" s="112">
        <f>EOD_Credit_NP!BJ8</f>
        <v>10</v>
      </c>
      <c r="BJ11" s="113">
        <f>EOD_Credit_NP!BK8</f>
        <v>5827</v>
      </c>
      <c r="BK11" s="112">
        <f>EOD_Credit_NP!BL8</f>
        <v>10</v>
      </c>
      <c r="BL11" s="113">
        <f>EOD_Credit_NP!BM8</f>
        <v>4292.8999999999996</v>
      </c>
      <c r="BM11" s="114" cm="1">
        <f t="array" ref="BM11">SUMPRODUCT((MOD(COLUMN(C11:BL11)-COLUMN(C11),2)=0)*C11:BL11)</f>
        <v>207</v>
      </c>
      <c r="BN11" s="113" cm="1">
        <f t="array" ref="BN11">SUMPRODUCT((MOD(COLUMN(D11:BM11)-COLUMN(D11),2)=0)*D11:BM11)</f>
        <v>129198.9</v>
      </c>
      <c r="BO11" s="99"/>
      <c r="BP11" s="99"/>
      <c r="BQ11" s="99"/>
      <c r="BR11" s="99"/>
      <c r="BS11" s="99"/>
      <c r="BT11" s="99"/>
      <c r="BU11" s="99"/>
      <c r="BV11" s="99"/>
      <c r="BW11" s="99"/>
      <c r="BX11" s="99"/>
      <c r="CA11" s="83"/>
      <c r="CB11" s="83"/>
      <c r="CC11" s="83"/>
      <c r="CD11" s="83"/>
      <c r="CE11" s="83"/>
      <c r="CF11" s="83"/>
      <c r="CG11" s="83"/>
      <c r="CH11" s="83"/>
      <c r="CI11" s="83"/>
      <c r="CJ11" s="83"/>
      <c r="CK11" s="83"/>
      <c r="CL11" s="83"/>
      <c r="CM11" s="83"/>
      <c r="CN11" s="83"/>
      <c r="CO11" s="83"/>
      <c r="CP11" s="83"/>
    </row>
    <row r="12" spans="1:94" x14ac:dyDescent="0.25">
      <c r="A12" s="79" t="s">
        <v>11</v>
      </c>
      <c r="B12" s="98" t="s">
        <v>9</v>
      </c>
      <c r="C12" s="112">
        <f>EOD_Credit_NP!D10</f>
        <v>2</v>
      </c>
      <c r="D12" s="113">
        <f>EOD_Credit_NP!E10</f>
        <v>1571.7</v>
      </c>
      <c r="E12" s="112">
        <f>EOD_Credit_NP!F10</f>
        <v>5</v>
      </c>
      <c r="F12" s="113">
        <f>EOD_Credit_NP!G10</f>
        <v>2834.9</v>
      </c>
      <c r="G12" s="112">
        <f>EOD_Credit_NP!H10</f>
        <v>0</v>
      </c>
      <c r="H12" s="113">
        <f>EOD_Credit_NP!I10</f>
        <v>0</v>
      </c>
      <c r="I12" s="112">
        <f>EOD_Credit_NP!J10</f>
        <v>2</v>
      </c>
      <c r="J12" s="113">
        <f>EOD_Credit_NP!K10</f>
        <v>2291.1</v>
      </c>
      <c r="K12" s="112">
        <f>EOD_Credit_NP!L10</f>
        <v>5</v>
      </c>
      <c r="L12" s="113">
        <f>EOD_Credit_NP!M10</f>
        <v>3112.5</v>
      </c>
      <c r="M12" s="112">
        <f>EOD_Credit_NP!N10</f>
        <v>0</v>
      </c>
      <c r="N12" s="113">
        <f>EOD_Credit_NP!O10</f>
        <v>0</v>
      </c>
      <c r="O12" s="112">
        <f>EOD_Credit_NP!P10</f>
        <v>0</v>
      </c>
      <c r="P12" s="113">
        <f>EOD_Credit_NP!Q10</f>
        <v>0</v>
      </c>
      <c r="Q12" s="112">
        <f>EOD_Credit_NP!R10</f>
        <v>1</v>
      </c>
      <c r="R12" s="113">
        <f>EOD_Credit_NP!S10</f>
        <v>400</v>
      </c>
      <c r="S12" s="112">
        <f>EOD_Credit_NP!T10</f>
        <v>2</v>
      </c>
      <c r="T12" s="113">
        <f>EOD_Credit_NP!U10</f>
        <v>900</v>
      </c>
      <c r="U12" s="112">
        <f>EOD_Credit_NP!V10</f>
        <v>2</v>
      </c>
      <c r="V12" s="113">
        <f>EOD_Credit_NP!W10</f>
        <v>1000</v>
      </c>
      <c r="W12" s="112">
        <f>EOD_Credit_NP!X10</f>
        <v>5</v>
      </c>
      <c r="X12" s="113">
        <f>EOD_Credit_NP!Y10</f>
        <v>1508.6</v>
      </c>
      <c r="Y12" s="112">
        <f>EOD_Credit_NP!Z10</f>
        <v>2</v>
      </c>
      <c r="Z12" s="113">
        <f>EOD_Credit_NP!AA10</f>
        <v>1872.1</v>
      </c>
      <c r="AA12" s="112">
        <f>EOD_Credit_NP!AB10</f>
        <v>5</v>
      </c>
      <c r="AB12" s="113">
        <f>EOD_Credit_NP!AC10</f>
        <v>3857.6</v>
      </c>
      <c r="AC12" s="112">
        <f>EOD_Credit_NP!AD10</f>
        <v>3</v>
      </c>
      <c r="AD12" s="113">
        <f>EOD_Credit_NP!AE10</f>
        <v>1524.7</v>
      </c>
      <c r="AE12" s="112">
        <f>EOD_Credit_NP!AF10</f>
        <v>1</v>
      </c>
      <c r="AF12" s="113">
        <f>EOD_Credit_NP!AG10</f>
        <v>860.8</v>
      </c>
      <c r="AG12" s="112">
        <f>EOD_Credit_NP!AH10</f>
        <v>2</v>
      </c>
      <c r="AH12" s="113">
        <f>EOD_Credit_NP!AI10</f>
        <v>1956.3</v>
      </c>
      <c r="AI12" s="112">
        <f>EOD_Credit_NP!AJ10</f>
        <v>8</v>
      </c>
      <c r="AJ12" s="113">
        <f>EOD_Credit_NP!AK10</f>
        <v>4183.8</v>
      </c>
      <c r="AK12" s="112">
        <f>EOD_Credit_NP!AL10</f>
        <v>4</v>
      </c>
      <c r="AL12" s="113">
        <f>EOD_Credit_NP!AM10</f>
        <v>1913.4</v>
      </c>
      <c r="AM12" s="112">
        <f>EOD_Credit_NP!AN10</f>
        <v>0</v>
      </c>
      <c r="AN12" s="113">
        <f>EOD_Credit_NP!AO10</f>
        <v>0</v>
      </c>
      <c r="AO12" s="112">
        <f>EOD_Credit_NP!AP10</f>
        <v>0</v>
      </c>
      <c r="AP12" s="113">
        <f>EOD_Credit_NP!AQ10</f>
        <v>0</v>
      </c>
      <c r="AQ12" s="112">
        <f>EOD_Credit_NP!AR10</f>
        <v>4</v>
      </c>
      <c r="AR12" s="113">
        <f>EOD_Credit_NP!AS10</f>
        <v>2500</v>
      </c>
      <c r="AS12" s="112">
        <f>EOD_Credit_NP!AT10</f>
        <v>2</v>
      </c>
      <c r="AT12" s="113">
        <f>EOD_Credit_NP!AU10</f>
        <v>1027</v>
      </c>
      <c r="AU12" s="112">
        <f>EOD_Credit_NP!AV10</f>
        <v>3</v>
      </c>
      <c r="AV12" s="113">
        <f>EOD_Credit_NP!AW10</f>
        <v>2153.5</v>
      </c>
      <c r="AW12" s="112">
        <f>EOD_Credit_NP!AX10</f>
        <v>5</v>
      </c>
      <c r="AX12" s="113">
        <f>EOD_Credit_NP!AY10</f>
        <v>2625.5</v>
      </c>
      <c r="AY12" s="112">
        <f>EOD_Credit_NP!AZ10</f>
        <v>1</v>
      </c>
      <c r="AZ12" s="113">
        <f>EOD_Credit_NP!BA10</f>
        <v>200</v>
      </c>
      <c r="BA12" s="112">
        <f>EOD_Credit_NP!BB10</f>
        <v>5</v>
      </c>
      <c r="BB12" s="113">
        <f>EOD_Credit_NP!BC10</f>
        <v>3027.6</v>
      </c>
      <c r="BC12" s="112">
        <f>EOD_Credit_NP!BD10</f>
        <v>2</v>
      </c>
      <c r="BD12" s="113">
        <f>EOD_Credit_NP!BE10</f>
        <v>600</v>
      </c>
      <c r="BE12" s="112">
        <f>EOD_Credit_NP!BF10</f>
        <v>2</v>
      </c>
      <c r="BF12" s="113">
        <f>EOD_Credit_NP!BG10</f>
        <v>1000</v>
      </c>
      <c r="BG12" s="112">
        <f>EOD_Credit_NP!BH10</f>
        <v>5</v>
      </c>
      <c r="BH12" s="113">
        <f>EOD_Credit_NP!BI10</f>
        <v>3958.7</v>
      </c>
      <c r="BI12" s="112">
        <f>EOD_Credit_NP!BJ10</f>
        <v>0</v>
      </c>
      <c r="BJ12" s="113">
        <f>EOD_Credit_NP!BK10</f>
        <v>0</v>
      </c>
      <c r="BK12" s="112">
        <f>EOD_Credit_NP!BL10</f>
        <v>5</v>
      </c>
      <c r="BL12" s="113">
        <f>EOD_Credit_NP!BM10</f>
        <v>2626.9</v>
      </c>
      <c r="BM12" s="114" cm="1">
        <f t="array" ref="BM12">SUMPRODUCT((MOD(COLUMN(C12:BL12)-COLUMN(C12),2)=0)*C12:BL12)</f>
        <v>83</v>
      </c>
      <c r="BN12" s="113" cm="1">
        <f t="array" ref="BN12">SUMPRODUCT((MOD(COLUMN(D12:BM12)-COLUMN(D12),2)=0)*D12:BM12)</f>
        <v>49506.7</v>
      </c>
      <c r="BO12" s="99"/>
      <c r="BP12" s="99"/>
      <c r="BQ12" s="99"/>
      <c r="BR12" s="99"/>
      <c r="BS12" s="99"/>
      <c r="BT12" s="99"/>
      <c r="BU12" s="99"/>
      <c r="BV12" s="99"/>
      <c r="BW12" s="99"/>
      <c r="BX12" s="99"/>
      <c r="CA12" s="83"/>
      <c r="CB12" s="83"/>
      <c r="CC12" s="83"/>
      <c r="CD12" s="83"/>
      <c r="CE12" s="83"/>
      <c r="CF12" s="83"/>
      <c r="CG12" s="83"/>
      <c r="CH12" s="83"/>
      <c r="CI12" s="83"/>
      <c r="CJ12" s="83"/>
      <c r="CK12" s="83"/>
      <c r="CL12" s="83"/>
      <c r="CM12" s="83"/>
      <c r="CN12" s="83"/>
      <c r="CO12" s="83"/>
      <c r="CP12" s="83"/>
    </row>
    <row r="13" spans="1:94" x14ac:dyDescent="0.25">
      <c r="A13" s="79" t="s">
        <v>12</v>
      </c>
      <c r="B13" s="98" t="s">
        <v>9</v>
      </c>
      <c r="C13" s="112">
        <f>EOD_Credit_NP!D12</f>
        <v>4</v>
      </c>
      <c r="D13" s="113">
        <f>EOD_Credit_NP!E12</f>
        <v>2346.4</v>
      </c>
      <c r="E13" s="112">
        <f>EOD_Credit_NP!F12</f>
        <v>1</v>
      </c>
      <c r="F13" s="113">
        <f>EOD_Credit_NP!G12</f>
        <v>500</v>
      </c>
      <c r="G13" s="112">
        <f>EOD_Credit_NP!H12</f>
        <v>9</v>
      </c>
      <c r="H13" s="113">
        <f>EOD_Credit_NP!I12</f>
        <v>4807.8</v>
      </c>
      <c r="I13" s="112">
        <f>EOD_Credit_NP!J12</f>
        <v>5</v>
      </c>
      <c r="J13" s="113">
        <f>EOD_Credit_NP!K12</f>
        <v>3672.6</v>
      </c>
      <c r="K13" s="112">
        <f>EOD_Credit_NP!L12</f>
        <v>3</v>
      </c>
      <c r="L13" s="113">
        <f>EOD_Credit_NP!M12</f>
        <v>1981.4</v>
      </c>
      <c r="M13" s="112">
        <f>EOD_Credit_NP!N12</f>
        <v>1</v>
      </c>
      <c r="N13" s="113">
        <f>EOD_Credit_NP!O12</f>
        <v>769.2</v>
      </c>
      <c r="O13" s="112">
        <f>EOD_Credit_NP!P12</f>
        <v>5</v>
      </c>
      <c r="P13" s="113">
        <f>EOD_Credit_NP!Q12</f>
        <v>2210</v>
      </c>
      <c r="Q13" s="112">
        <f>EOD_Credit_NP!R12</f>
        <v>7</v>
      </c>
      <c r="R13" s="113">
        <f>EOD_Credit_NP!S12</f>
        <v>4297.8999999999996</v>
      </c>
      <c r="S13" s="112">
        <f>EOD_Credit_NP!T12</f>
        <v>5</v>
      </c>
      <c r="T13" s="113">
        <f>EOD_Credit_NP!U12</f>
        <v>1900.2</v>
      </c>
      <c r="U13" s="112">
        <f>EOD_Credit_NP!V12</f>
        <v>12</v>
      </c>
      <c r="V13" s="113">
        <f>EOD_Credit_NP!W12</f>
        <v>6315.4</v>
      </c>
      <c r="W13" s="112">
        <f>EOD_Credit_NP!X12</f>
        <v>3</v>
      </c>
      <c r="X13" s="113">
        <f>EOD_Credit_NP!Y12</f>
        <v>1966.1</v>
      </c>
      <c r="Y13" s="112">
        <f>EOD_Credit_NP!Z12</f>
        <v>6</v>
      </c>
      <c r="Z13" s="113">
        <f>EOD_Credit_NP!AA12</f>
        <v>3433</v>
      </c>
      <c r="AA13" s="112">
        <f>EOD_Credit_NP!AB12</f>
        <v>6</v>
      </c>
      <c r="AB13" s="113">
        <f>EOD_Credit_NP!AC12</f>
        <v>2897.1</v>
      </c>
      <c r="AC13" s="112">
        <f>EOD_Credit_NP!AD12</f>
        <v>1</v>
      </c>
      <c r="AD13" s="113">
        <f>EOD_Credit_NP!AE12</f>
        <v>500</v>
      </c>
      <c r="AE13" s="112">
        <f>EOD_Credit_NP!AF12</f>
        <v>3</v>
      </c>
      <c r="AF13" s="113">
        <f>EOD_Credit_NP!AG12</f>
        <v>1792.1</v>
      </c>
      <c r="AG13" s="112">
        <f>EOD_Credit_NP!AH12</f>
        <v>7</v>
      </c>
      <c r="AH13" s="113">
        <f>EOD_Credit_NP!AI12</f>
        <v>3400</v>
      </c>
      <c r="AI13" s="112">
        <f>EOD_Credit_NP!AJ12</f>
        <v>11</v>
      </c>
      <c r="AJ13" s="113">
        <f>EOD_Credit_NP!AK12</f>
        <v>5981.9</v>
      </c>
      <c r="AK13" s="112">
        <f>EOD_Credit_NP!AL12</f>
        <v>7</v>
      </c>
      <c r="AL13" s="113">
        <f>EOD_Credit_NP!AM12</f>
        <v>5612.1</v>
      </c>
      <c r="AM13" s="112">
        <f>EOD_Credit_NP!AN12</f>
        <v>4</v>
      </c>
      <c r="AN13" s="113">
        <f>EOD_Credit_NP!AO12</f>
        <v>3385.6</v>
      </c>
      <c r="AO13" s="112">
        <f>EOD_Credit_NP!AP12</f>
        <v>0</v>
      </c>
      <c r="AP13" s="113">
        <f>EOD_Credit_NP!AQ12</f>
        <v>0</v>
      </c>
      <c r="AQ13" s="112">
        <f>EOD_Credit_NP!AR12</f>
        <v>10</v>
      </c>
      <c r="AR13" s="113">
        <f>EOD_Credit_NP!AS12</f>
        <v>6172</v>
      </c>
      <c r="AS13" s="112">
        <f>EOD_Credit_NP!AT12</f>
        <v>3</v>
      </c>
      <c r="AT13" s="113">
        <f>EOD_Credit_NP!AU12</f>
        <v>1375.2</v>
      </c>
      <c r="AU13" s="112">
        <f>EOD_Credit_NP!AV12</f>
        <v>2</v>
      </c>
      <c r="AV13" s="113">
        <f>EOD_Credit_NP!AW12</f>
        <v>1300</v>
      </c>
      <c r="AW13" s="112">
        <f>EOD_Credit_NP!AX12</f>
        <v>8</v>
      </c>
      <c r="AX13" s="113">
        <f>EOD_Credit_NP!AY12</f>
        <v>4076.2</v>
      </c>
      <c r="AY13" s="112">
        <f>EOD_Credit_NP!AZ12</f>
        <v>6</v>
      </c>
      <c r="AZ13" s="113">
        <f>EOD_Credit_NP!BA12</f>
        <v>3684.2</v>
      </c>
      <c r="BA13" s="112">
        <f>EOD_Credit_NP!BB12</f>
        <v>5</v>
      </c>
      <c r="BB13" s="113">
        <f>EOD_Credit_NP!BC12</f>
        <v>3620.8</v>
      </c>
      <c r="BC13" s="112">
        <f>EOD_Credit_NP!BD12</f>
        <v>5</v>
      </c>
      <c r="BD13" s="113">
        <f>EOD_Credit_NP!BE12</f>
        <v>2458.9</v>
      </c>
      <c r="BE13" s="112">
        <f>EOD_Credit_NP!BF12</f>
        <v>7</v>
      </c>
      <c r="BF13" s="113">
        <f>EOD_Credit_NP!BG12</f>
        <v>2616.6999999999998</v>
      </c>
      <c r="BG13" s="112">
        <f>EOD_Credit_NP!BH12</f>
        <v>5</v>
      </c>
      <c r="BH13" s="113">
        <f>EOD_Credit_NP!BI12</f>
        <v>1627.3</v>
      </c>
      <c r="BI13" s="112">
        <f>EOD_Credit_NP!BJ12</f>
        <v>9</v>
      </c>
      <c r="BJ13" s="113">
        <f>EOD_Credit_NP!BK12</f>
        <v>5400</v>
      </c>
      <c r="BK13" s="112">
        <f>EOD_Credit_NP!BL12</f>
        <v>11</v>
      </c>
      <c r="BL13" s="113">
        <f>EOD_Credit_NP!BM12</f>
        <v>5486.4</v>
      </c>
      <c r="BM13" s="114" cm="1">
        <f t="array" ref="BM13">SUMPRODUCT((MOD(COLUMN(C13:BL13)-COLUMN(C13),2)=0)*C13:BL13)</f>
        <v>171</v>
      </c>
      <c r="BN13" s="113" cm="1">
        <f t="array" ref="BN13">SUMPRODUCT((MOD(COLUMN(D13:BM13)-COLUMN(D13),2)=0)*D13:BM13)</f>
        <v>95586.499999999985</v>
      </c>
      <c r="BO13" s="99"/>
      <c r="BP13" s="99"/>
      <c r="BQ13" s="99"/>
      <c r="BR13" s="99"/>
      <c r="BS13" s="99"/>
      <c r="BT13" s="99"/>
      <c r="BU13" s="99"/>
      <c r="BV13" s="99"/>
      <c r="BW13" s="99"/>
      <c r="BX13" s="99"/>
      <c r="CA13" s="83"/>
      <c r="CB13" s="83"/>
      <c r="CC13" s="83"/>
      <c r="CD13" s="83"/>
      <c r="CE13" s="83"/>
      <c r="CF13" s="83"/>
      <c r="CG13" s="83"/>
      <c r="CH13" s="83"/>
      <c r="CI13" s="83"/>
      <c r="CJ13" s="83"/>
      <c r="CK13" s="83"/>
      <c r="CL13" s="83"/>
      <c r="CM13" s="83"/>
      <c r="CN13" s="83"/>
      <c r="CO13" s="83"/>
      <c r="CP13" s="83"/>
    </row>
    <row r="14" spans="1:94" x14ac:dyDescent="0.25">
      <c r="A14" s="79" t="s">
        <v>13</v>
      </c>
      <c r="B14" s="98" t="s">
        <v>9</v>
      </c>
      <c r="C14" s="112">
        <f>EOD_Credit_NP!D13</f>
        <v>9</v>
      </c>
      <c r="D14" s="113">
        <f>EOD_Credit_NP!E13</f>
        <v>4333.3</v>
      </c>
      <c r="E14" s="112">
        <f>EOD_Credit_NP!F13</f>
        <v>7</v>
      </c>
      <c r="F14" s="113">
        <f>EOD_Credit_NP!G13</f>
        <v>3514.7</v>
      </c>
      <c r="G14" s="112">
        <f>EOD_Credit_NP!H13</f>
        <v>14</v>
      </c>
      <c r="H14" s="113">
        <f>EOD_Credit_NP!I13</f>
        <v>6710.1</v>
      </c>
      <c r="I14" s="112">
        <f>EOD_Credit_NP!J13</f>
        <v>7</v>
      </c>
      <c r="J14" s="113">
        <f>EOD_Credit_NP!K13</f>
        <v>5507.7</v>
      </c>
      <c r="K14" s="112">
        <f>EOD_Credit_NP!L13</f>
        <v>15</v>
      </c>
      <c r="L14" s="113">
        <f>EOD_Credit_NP!M13</f>
        <v>7240.4</v>
      </c>
      <c r="M14" s="112">
        <f>EOD_Credit_NP!N13</f>
        <v>15</v>
      </c>
      <c r="N14" s="113">
        <f>EOD_Credit_NP!O13</f>
        <v>8123.8</v>
      </c>
      <c r="O14" s="112">
        <f>EOD_Credit_NP!P13</f>
        <v>8</v>
      </c>
      <c r="P14" s="113">
        <f>EOD_Credit_NP!Q13</f>
        <v>5686.9</v>
      </c>
      <c r="Q14" s="112">
        <f>EOD_Credit_NP!R13</f>
        <v>10</v>
      </c>
      <c r="R14" s="113">
        <f>EOD_Credit_NP!S13</f>
        <v>7624.8</v>
      </c>
      <c r="S14" s="112">
        <f>EOD_Credit_NP!T13</f>
        <v>4</v>
      </c>
      <c r="T14" s="113">
        <f>EOD_Credit_NP!U13</f>
        <v>2971.6</v>
      </c>
      <c r="U14" s="112">
        <f>EOD_Credit_NP!V13</f>
        <v>13</v>
      </c>
      <c r="V14" s="113">
        <f>EOD_Credit_NP!W13</f>
        <v>6110.5</v>
      </c>
      <c r="W14" s="112">
        <f>EOD_Credit_NP!X13</f>
        <v>7</v>
      </c>
      <c r="X14" s="113">
        <f>EOD_Credit_NP!Y13</f>
        <v>4657</v>
      </c>
      <c r="Y14" s="112">
        <f>EOD_Credit_NP!Z13</f>
        <v>9</v>
      </c>
      <c r="Z14" s="113">
        <f>EOD_Credit_NP!AA13</f>
        <v>4733.7</v>
      </c>
      <c r="AA14" s="112">
        <f>EOD_Credit_NP!AB13</f>
        <v>4</v>
      </c>
      <c r="AB14" s="113">
        <f>EOD_Credit_NP!AC13</f>
        <v>3066.6</v>
      </c>
      <c r="AC14" s="112">
        <f>EOD_Credit_NP!AD13</f>
        <v>6</v>
      </c>
      <c r="AD14" s="113">
        <f>EOD_Credit_NP!AE13</f>
        <v>2549</v>
      </c>
      <c r="AE14" s="112">
        <f>EOD_Credit_NP!AF13</f>
        <v>12</v>
      </c>
      <c r="AF14" s="113">
        <f>EOD_Credit_NP!AG13</f>
        <v>7386</v>
      </c>
      <c r="AG14" s="112">
        <f>EOD_Credit_NP!AH13</f>
        <v>6</v>
      </c>
      <c r="AH14" s="113">
        <f>EOD_Credit_NP!AI13</f>
        <v>4104.8999999999996</v>
      </c>
      <c r="AI14" s="112">
        <f>EOD_Credit_NP!AJ13</f>
        <v>12</v>
      </c>
      <c r="AJ14" s="113">
        <f>EOD_Credit_NP!AK13</f>
        <v>6639.3</v>
      </c>
      <c r="AK14" s="112">
        <f>EOD_Credit_NP!AL13</f>
        <v>7</v>
      </c>
      <c r="AL14" s="113">
        <f>EOD_Credit_NP!AM13</f>
        <v>3848.1</v>
      </c>
      <c r="AM14" s="112">
        <f>EOD_Credit_NP!AN13</f>
        <v>16</v>
      </c>
      <c r="AN14" s="113">
        <f>EOD_Credit_NP!AO13</f>
        <v>12302.6</v>
      </c>
      <c r="AO14" s="112">
        <f>EOD_Credit_NP!AP13</f>
        <v>1</v>
      </c>
      <c r="AP14" s="113">
        <f>EOD_Credit_NP!AQ13</f>
        <v>1407.6</v>
      </c>
      <c r="AQ14" s="112">
        <f>EOD_Credit_NP!AR13</f>
        <v>4</v>
      </c>
      <c r="AR14" s="113">
        <f>EOD_Credit_NP!AS13</f>
        <v>2465.6</v>
      </c>
      <c r="AS14" s="112">
        <f>EOD_Credit_NP!AT13</f>
        <v>14</v>
      </c>
      <c r="AT14" s="113">
        <f>EOD_Credit_NP!AU13</f>
        <v>6793.5</v>
      </c>
      <c r="AU14" s="112">
        <f>EOD_Credit_NP!AV13</f>
        <v>5</v>
      </c>
      <c r="AV14" s="113">
        <f>EOD_Credit_NP!AW13</f>
        <v>2149.1999999999998</v>
      </c>
      <c r="AW14" s="112">
        <f>EOD_Credit_NP!AX13</f>
        <v>11</v>
      </c>
      <c r="AX14" s="113">
        <f>EOD_Credit_NP!AY13</f>
        <v>5816.9</v>
      </c>
      <c r="AY14" s="112">
        <f>EOD_Credit_NP!AZ13</f>
        <v>7</v>
      </c>
      <c r="AZ14" s="113">
        <f>EOD_Credit_NP!BA13</f>
        <v>4073.5</v>
      </c>
      <c r="BA14" s="112">
        <f>EOD_Credit_NP!BB13</f>
        <v>10</v>
      </c>
      <c r="BB14" s="113">
        <f>EOD_Credit_NP!BC13</f>
        <v>8972.7999999999993</v>
      </c>
      <c r="BC14" s="112">
        <f>EOD_Credit_NP!BD13</f>
        <v>16</v>
      </c>
      <c r="BD14" s="113">
        <f>EOD_Credit_NP!BE13</f>
        <v>13075.8</v>
      </c>
      <c r="BE14" s="112">
        <f>EOD_Credit_NP!BF13</f>
        <v>7</v>
      </c>
      <c r="BF14" s="113">
        <f>EOD_Credit_NP!BG13</f>
        <v>4190.8999999999996</v>
      </c>
      <c r="BG14" s="112">
        <f>EOD_Credit_NP!BH13</f>
        <v>6</v>
      </c>
      <c r="BH14" s="113">
        <f>EOD_Credit_NP!BI13</f>
        <v>3955.9</v>
      </c>
      <c r="BI14" s="112">
        <f>EOD_Credit_NP!BJ13</f>
        <v>3</v>
      </c>
      <c r="BJ14" s="113">
        <f>EOD_Credit_NP!BK13</f>
        <v>1180.2</v>
      </c>
      <c r="BK14" s="112">
        <f>EOD_Credit_NP!BL13</f>
        <v>8</v>
      </c>
      <c r="BL14" s="113">
        <f>EOD_Credit_NP!BM13</f>
        <v>4957</v>
      </c>
      <c r="BM14" s="114" cm="1">
        <f t="array" ref="BM14">SUMPRODUCT((MOD(COLUMN(C14:BL14)-COLUMN(C14),2)=0)*C14:BL14)</f>
        <v>273</v>
      </c>
      <c r="BN14" s="113" cm="1">
        <f t="array" ref="BN14">SUMPRODUCT((MOD(COLUMN(D14:BM14)-COLUMN(D14),2)=0)*D14:BM14)</f>
        <v>166149.9</v>
      </c>
      <c r="BO14" s="99"/>
      <c r="BP14" s="99"/>
      <c r="BQ14" s="99"/>
      <c r="BR14" s="99"/>
      <c r="BS14" s="99"/>
      <c r="BT14" s="99"/>
      <c r="BU14" s="99"/>
      <c r="BV14" s="99"/>
      <c r="BW14" s="99"/>
      <c r="BX14" s="99"/>
      <c r="CA14" s="83"/>
      <c r="CB14" s="83"/>
      <c r="CC14" s="83"/>
      <c r="CD14" s="83"/>
      <c r="CE14" s="83"/>
      <c r="CF14" s="83"/>
      <c r="CG14" s="83"/>
      <c r="CH14" s="83"/>
      <c r="CI14" s="83"/>
      <c r="CJ14" s="83"/>
      <c r="CK14" s="83"/>
      <c r="CL14" s="83"/>
      <c r="CM14" s="83"/>
      <c r="CN14" s="83"/>
      <c r="CO14" s="83"/>
      <c r="CP14" s="83"/>
    </row>
    <row r="15" spans="1:94" x14ac:dyDescent="0.25">
      <c r="A15" s="79" t="s">
        <v>14</v>
      </c>
      <c r="B15" s="98" t="s">
        <v>9</v>
      </c>
      <c r="C15" s="112">
        <f>EOD_Credit_NP!D16</f>
        <v>7</v>
      </c>
      <c r="D15" s="113">
        <f>EOD_Credit_NP!E16</f>
        <v>4494.3999999999996</v>
      </c>
      <c r="E15" s="112">
        <f>EOD_Credit_NP!F16</f>
        <v>8</v>
      </c>
      <c r="F15" s="113">
        <f>EOD_Credit_NP!G16</f>
        <v>4634.5</v>
      </c>
      <c r="G15" s="112">
        <f>EOD_Credit_NP!H16</f>
        <v>17</v>
      </c>
      <c r="H15" s="113">
        <f>EOD_Credit_NP!I16</f>
        <v>9475.7999999999993</v>
      </c>
      <c r="I15" s="112">
        <f>EOD_Credit_NP!J16</f>
        <v>18</v>
      </c>
      <c r="J15" s="113">
        <f>EOD_Credit_NP!K16</f>
        <v>11095.3</v>
      </c>
      <c r="K15" s="112">
        <f>EOD_Credit_NP!L16</f>
        <v>12</v>
      </c>
      <c r="L15" s="113">
        <f>EOD_Credit_NP!M16</f>
        <v>7946.4</v>
      </c>
      <c r="M15" s="112">
        <f>EOD_Credit_NP!N16</f>
        <v>14</v>
      </c>
      <c r="N15" s="113">
        <f>EOD_Credit_NP!O16</f>
        <v>10954.3</v>
      </c>
      <c r="O15" s="112">
        <f>EOD_Credit_NP!P16</f>
        <v>16</v>
      </c>
      <c r="P15" s="113">
        <f>EOD_Credit_NP!Q16</f>
        <v>8388.7000000000007</v>
      </c>
      <c r="Q15" s="112">
        <f>EOD_Credit_NP!R16</f>
        <v>11</v>
      </c>
      <c r="R15" s="113">
        <f>EOD_Credit_NP!S16</f>
        <v>7852.1</v>
      </c>
      <c r="S15" s="112">
        <f>EOD_Credit_NP!T16</f>
        <v>11</v>
      </c>
      <c r="T15" s="113">
        <f>EOD_Credit_NP!U16</f>
        <v>6826.6</v>
      </c>
      <c r="U15" s="112">
        <f>EOD_Credit_NP!V16</f>
        <v>15</v>
      </c>
      <c r="V15" s="113">
        <f>EOD_Credit_NP!W16</f>
        <v>9120.2999999999993</v>
      </c>
      <c r="W15" s="112">
        <f>EOD_Credit_NP!X16</f>
        <v>19</v>
      </c>
      <c r="X15" s="113">
        <f>EOD_Credit_NP!Y16</f>
        <v>13175.3</v>
      </c>
      <c r="Y15" s="112">
        <f>EOD_Credit_NP!Z16</f>
        <v>14</v>
      </c>
      <c r="Z15" s="113">
        <f>EOD_Credit_NP!AA16</f>
        <v>9610.7999999999993</v>
      </c>
      <c r="AA15" s="112">
        <f>EOD_Credit_NP!AB16</f>
        <v>10</v>
      </c>
      <c r="AB15" s="113">
        <f>EOD_Credit_NP!AC16</f>
        <v>8756</v>
      </c>
      <c r="AC15" s="112">
        <f>EOD_Credit_NP!AD16</f>
        <v>7</v>
      </c>
      <c r="AD15" s="113">
        <f>EOD_Credit_NP!AE16</f>
        <v>3560.5</v>
      </c>
      <c r="AE15" s="112">
        <f>EOD_Credit_NP!AF16</f>
        <v>13</v>
      </c>
      <c r="AF15" s="113">
        <f>EOD_Credit_NP!AG16</f>
        <v>8249.7999999999993</v>
      </c>
      <c r="AG15" s="112">
        <f>EOD_Credit_NP!AH16</f>
        <v>9</v>
      </c>
      <c r="AH15" s="113">
        <f>EOD_Credit_NP!AI16</f>
        <v>5369</v>
      </c>
      <c r="AI15" s="112">
        <f>EOD_Credit_NP!AJ16</f>
        <v>15</v>
      </c>
      <c r="AJ15" s="113">
        <f>EOD_Credit_NP!AK16</f>
        <v>8219.9</v>
      </c>
      <c r="AK15" s="112">
        <f>EOD_Credit_NP!AL16</f>
        <v>18</v>
      </c>
      <c r="AL15" s="113">
        <f>EOD_Credit_NP!AM16</f>
        <v>13796.9</v>
      </c>
      <c r="AM15" s="112">
        <f>EOD_Credit_NP!AN16</f>
        <v>17</v>
      </c>
      <c r="AN15" s="113">
        <f>EOD_Credit_NP!AO16</f>
        <v>13454.1</v>
      </c>
      <c r="AO15" s="112">
        <f>EOD_Credit_NP!AP16</f>
        <v>1</v>
      </c>
      <c r="AP15" s="113">
        <f>EOD_Credit_NP!AQ16</f>
        <v>696.1</v>
      </c>
      <c r="AQ15" s="112">
        <f>EOD_Credit_NP!AR16</f>
        <v>10</v>
      </c>
      <c r="AR15" s="113">
        <f>EOD_Credit_NP!AS16</f>
        <v>5829.5</v>
      </c>
      <c r="AS15" s="112">
        <f>EOD_Credit_NP!AT16</f>
        <v>12</v>
      </c>
      <c r="AT15" s="113">
        <f>EOD_Credit_NP!AU16</f>
        <v>8377.7999999999993</v>
      </c>
      <c r="AU15" s="112">
        <f>EOD_Credit_NP!AV16</f>
        <v>10</v>
      </c>
      <c r="AV15" s="113">
        <f>EOD_Credit_NP!AW16</f>
        <v>5619.7</v>
      </c>
      <c r="AW15" s="112">
        <f>EOD_Credit_NP!AX16</f>
        <v>12</v>
      </c>
      <c r="AX15" s="113">
        <f>EOD_Credit_NP!AY16</f>
        <v>6452.3</v>
      </c>
      <c r="AY15" s="112">
        <f>EOD_Credit_NP!AZ16</f>
        <v>16</v>
      </c>
      <c r="AZ15" s="113">
        <f>EOD_Credit_NP!BA16</f>
        <v>11834.8</v>
      </c>
      <c r="BA15" s="112">
        <f>EOD_Credit_NP!BB16</f>
        <v>16</v>
      </c>
      <c r="BB15" s="113">
        <f>EOD_Credit_NP!BC16</f>
        <v>9770.7000000000007</v>
      </c>
      <c r="BC15" s="112">
        <f>EOD_Credit_NP!BD16</f>
        <v>10</v>
      </c>
      <c r="BD15" s="113">
        <f>EOD_Credit_NP!BE16</f>
        <v>7258.5</v>
      </c>
      <c r="BE15" s="112">
        <f>EOD_Credit_NP!BF16</f>
        <v>14</v>
      </c>
      <c r="BF15" s="113">
        <f>EOD_Credit_NP!BG16</f>
        <v>6810</v>
      </c>
      <c r="BG15" s="112">
        <f>EOD_Credit_NP!BH16</f>
        <v>18</v>
      </c>
      <c r="BH15" s="113">
        <f>EOD_Credit_NP!BI16</f>
        <v>11750.6</v>
      </c>
      <c r="BI15" s="112">
        <f>EOD_Credit_NP!BJ16</f>
        <v>10</v>
      </c>
      <c r="BJ15" s="113">
        <f>EOD_Credit_NP!BK16</f>
        <v>6346.5</v>
      </c>
      <c r="BK15" s="112">
        <f>EOD_Credit_NP!BL16</f>
        <v>16</v>
      </c>
      <c r="BL15" s="113">
        <f>EOD_Credit_NP!BM16</f>
        <v>6612</v>
      </c>
      <c r="BM15" s="114" cm="1">
        <f t="array" ref="BM15">SUMPRODUCT((MOD(COLUMN(C15:BL15)-COLUMN(C15),2)=0)*C15:BL15)</f>
        <v>396</v>
      </c>
      <c r="BN15" s="113" cm="1">
        <f t="array" ref="BN15">SUMPRODUCT((MOD(COLUMN(D15:BM15)-COLUMN(D15),2)=0)*D15:BM15)</f>
        <v>252339.20000000001</v>
      </c>
      <c r="BO15" s="99"/>
      <c r="BP15" s="99"/>
      <c r="BQ15" s="99"/>
      <c r="BR15" s="99"/>
      <c r="BS15" s="99"/>
      <c r="BT15" s="99"/>
      <c r="BU15" s="99"/>
      <c r="BV15" s="99"/>
      <c r="BW15" s="99"/>
      <c r="BX15" s="99"/>
      <c r="CA15" s="83"/>
      <c r="CB15" s="83"/>
      <c r="CC15" s="83"/>
      <c r="CD15" s="83"/>
      <c r="CE15" s="83"/>
      <c r="CF15" s="83"/>
      <c r="CG15" s="83"/>
      <c r="CH15" s="83"/>
      <c r="CI15" s="83"/>
      <c r="CJ15" s="83"/>
      <c r="CK15" s="83"/>
      <c r="CL15" s="83"/>
      <c r="CM15" s="83"/>
      <c r="CN15" s="83"/>
      <c r="CO15" s="83"/>
      <c r="CP15" s="83"/>
    </row>
    <row r="16" spans="1:94" x14ac:dyDescent="0.25">
      <c r="A16" s="79" t="s">
        <v>7</v>
      </c>
      <c r="B16" s="98" t="s">
        <v>9</v>
      </c>
      <c r="C16" s="112">
        <f>EOD_Credit_NP!D15</f>
        <v>25</v>
      </c>
      <c r="D16" s="113">
        <f>EOD_Credit_NP!E15</f>
        <v>14893.2</v>
      </c>
      <c r="E16" s="112">
        <f>EOD_Credit_NP!F15</f>
        <v>17</v>
      </c>
      <c r="F16" s="113">
        <f>EOD_Credit_NP!G15</f>
        <v>7348.8</v>
      </c>
      <c r="G16" s="112">
        <f>EOD_Credit_NP!H15</f>
        <v>43</v>
      </c>
      <c r="H16" s="113">
        <f>EOD_Credit_NP!I15</f>
        <v>22693.200000000001</v>
      </c>
      <c r="I16" s="112">
        <f>EOD_Credit_NP!J15</f>
        <v>26</v>
      </c>
      <c r="J16" s="113">
        <f>EOD_Credit_NP!K15</f>
        <v>18579.400000000001</v>
      </c>
      <c r="K16" s="112">
        <f>EOD_Credit_NP!L15</f>
        <v>27</v>
      </c>
      <c r="L16" s="113">
        <f>EOD_Credit_NP!M15</f>
        <v>16096.5</v>
      </c>
      <c r="M16" s="112">
        <f>EOD_Credit_NP!N15</f>
        <v>32</v>
      </c>
      <c r="N16" s="113">
        <f>EOD_Credit_NP!O15</f>
        <v>20605.2</v>
      </c>
      <c r="O16" s="112">
        <f>EOD_Credit_NP!P15</f>
        <v>19</v>
      </c>
      <c r="P16" s="113">
        <f>EOD_Credit_NP!Q15</f>
        <v>9171.2999999999993</v>
      </c>
      <c r="Q16" s="112">
        <f>EOD_Credit_NP!R15</f>
        <v>26</v>
      </c>
      <c r="R16" s="113">
        <f>EOD_Credit_NP!S15</f>
        <v>17636.3</v>
      </c>
      <c r="S16" s="112">
        <f>EOD_Credit_NP!T15</f>
        <v>28</v>
      </c>
      <c r="T16" s="113">
        <f>EOD_Credit_NP!U15</f>
        <v>16183.1</v>
      </c>
      <c r="U16" s="112">
        <f>EOD_Credit_NP!V15</f>
        <v>28</v>
      </c>
      <c r="V16" s="113">
        <f>EOD_Credit_NP!W15</f>
        <v>14465</v>
      </c>
      <c r="W16" s="112">
        <f>EOD_Credit_NP!X15</f>
        <v>25</v>
      </c>
      <c r="X16" s="113">
        <f>EOD_Credit_NP!Y15</f>
        <v>17122.3</v>
      </c>
      <c r="Y16" s="112">
        <f>EOD_Credit_NP!Z15</f>
        <v>33</v>
      </c>
      <c r="Z16" s="113">
        <f>EOD_Credit_NP!AA15</f>
        <v>17339.2</v>
      </c>
      <c r="AA16" s="112">
        <f>EOD_Credit_NP!AB15</f>
        <v>27</v>
      </c>
      <c r="AB16" s="113">
        <f>EOD_Credit_NP!AC15</f>
        <v>15811.9</v>
      </c>
      <c r="AC16" s="112">
        <f>EOD_Credit_NP!AD15</f>
        <v>22</v>
      </c>
      <c r="AD16" s="113">
        <f>EOD_Credit_NP!AE15</f>
        <v>12062.5</v>
      </c>
      <c r="AE16" s="112">
        <f>EOD_Credit_NP!AF15</f>
        <v>24</v>
      </c>
      <c r="AF16" s="113">
        <f>EOD_Credit_NP!AG15</f>
        <v>12853.4</v>
      </c>
      <c r="AG16" s="112">
        <f>EOD_Credit_NP!AH15</f>
        <v>25</v>
      </c>
      <c r="AH16" s="113">
        <f>EOD_Credit_NP!AI15</f>
        <v>13118.5</v>
      </c>
      <c r="AI16" s="112">
        <f>EOD_Credit_NP!AJ15</f>
        <v>40</v>
      </c>
      <c r="AJ16" s="113">
        <f>EOD_Credit_NP!AK15</f>
        <v>21767.599999999999</v>
      </c>
      <c r="AK16" s="112">
        <f>EOD_Credit_NP!AL15</f>
        <v>21</v>
      </c>
      <c r="AL16" s="113">
        <f>EOD_Credit_NP!AM15</f>
        <v>13971.5</v>
      </c>
      <c r="AM16" s="112">
        <f>EOD_Credit_NP!AN15</f>
        <v>33</v>
      </c>
      <c r="AN16" s="113">
        <f>EOD_Credit_NP!AO15</f>
        <v>24236.7</v>
      </c>
      <c r="AO16" s="112">
        <f>EOD_Credit_NP!AP15</f>
        <v>5</v>
      </c>
      <c r="AP16" s="113">
        <f>EOD_Credit_NP!AQ15</f>
        <v>4213.8999999999996</v>
      </c>
      <c r="AQ16" s="112">
        <f>EOD_Credit_NP!AR15</f>
        <v>29</v>
      </c>
      <c r="AR16" s="113">
        <f>EOD_Credit_NP!AS15</f>
        <v>15022.9</v>
      </c>
      <c r="AS16" s="112">
        <f>EOD_Credit_NP!AT15</f>
        <v>31</v>
      </c>
      <c r="AT16" s="113">
        <f>EOD_Credit_NP!AU15</f>
        <v>21109.7</v>
      </c>
      <c r="AU16" s="112">
        <f>EOD_Credit_NP!AV15</f>
        <v>29</v>
      </c>
      <c r="AV16" s="113">
        <f>EOD_Credit_NP!AW15</f>
        <v>12681.6</v>
      </c>
      <c r="AW16" s="112">
        <f>EOD_Credit_NP!AX15</f>
        <v>27</v>
      </c>
      <c r="AX16" s="113">
        <f>EOD_Credit_NP!AY15</f>
        <v>14417.1</v>
      </c>
      <c r="AY16" s="112">
        <f>EOD_Credit_NP!AZ15</f>
        <v>31</v>
      </c>
      <c r="AZ16" s="113">
        <f>EOD_Credit_NP!BA15</f>
        <v>20251.2</v>
      </c>
      <c r="BA16" s="112">
        <f>EOD_Credit_NP!BB15</f>
        <v>33</v>
      </c>
      <c r="BB16" s="113">
        <f>EOD_Credit_NP!BC15</f>
        <v>19766.599999999999</v>
      </c>
      <c r="BC16" s="112">
        <f>EOD_Credit_NP!BD15</f>
        <v>32</v>
      </c>
      <c r="BD16" s="113">
        <f>EOD_Credit_NP!BE15</f>
        <v>15657.9</v>
      </c>
      <c r="BE16" s="112">
        <f>EOD_Credit_NP!BF15</f>
        <v>24</v>
      </c>
      <c r="BF16" s="113">
        <f>EOD_Credit_NP!BG15</f>
        <v>12164.2</v>
      </c>
      <c r="BG16" s="112">
        <f>EOD_Credit_NP!BH15</f>
        <v>22</v>
      </c>
      <c r="BH16" s="113">
        <f>EOD_Credit_NP!BI15</f>
        <v>12720.2</v>
      </c>
      <c r="BI16" s="112">
        <f>EOD_Credit_NP!BJ15</f>
        <v>21</v>
      </c>
      <c r="BJ16" s="113">
        <f>EOD_Credit_NP!BK15</f>
        <v>10811.2</v>
      </c>
      <c r="BK16" s="112">
        <f>EOD_Credit_NP!BL15</f>
        <v>27</v>
      </c>
      <c r="BL16" s="113">
        <f>EOD_Credit_NP!BM15</f>
        <v>15353.5</v>
      </c>
      <c r="BM16" s="114" cm="1">
        <f t="array" ref="BM16">SUMPRODUCT((MOD(COLUMN(C16:BL16)-COLUMN(C16),2)=0)*C16:BL16)</f>
        <v>832</v>
      </c>
      <c r="BN16" s="113" cm="1">
        <f t="array" ref="BN16">SUMPRODUCT((MOD(COLUMN(D16:BM16)-COLUMN(D16),2)=0)*D16:BM16)</f>
        <v>480125.60000000003</v>
      </c>
      <c r="BO16" s="99"/>
      <c r="BP16" s="99"/>
      <c r="BQ16" s="99"/>
      <c r="BR16" s="99"/>
      <c r="BS16" s="99"/>
      <c r="BT16" s="99"/>
      <c r="BU16" s="99"/>
      <c r="BV16" s="99"/>
      <c r="BW16" s="99"/>
      <c r="BX16" s="99"/>
      <c r="CA16" s="83"/>
      <c r="CB16" s="83"/>
      <c r="CC16" s="83"/>
      <c r="CD16" s="83"/>
      <c r="CE16" s="83"/>
      <c r="CF16" s="83"/>
      <c r="CG16" s="83"/>
      <c r="CH16" s="83"/>
      <c r="CI16" s="83"/>
      <c r="CJ16" s="83"/>
      <c r="CK16" s="83"/>
      <c r="CL16" s="83"/>
      <c r="CM16" s="83"/>
      <c r="CN16" s="83"/>
      <c r="CO16" s="83"/>
      <c r="CP16" s="83"/>
    </row>
    <row r="17" spans="1:94" x14ac:dyDescent="0.25">
      <c r="A17" s="100" t="s">
        <v>15</v>
      </c>
      <c r="B17" s="101"/>
      <c r="C17" s="115">
        <f>SUM(C10:C16)</f>
        <v>61</v>
      </c>
      <c r="D17" s="116">
        <f>SUM(D10:D16)</f>
        <v>36344.199999999997</v>
      </c>
      <c r="E17" s="115">
        <f t="shared" ref="E17:BL17" si="1">SUM(E10:E16)</f>
        <v>52</v>
      </c>
      <c r="F17" s="116">
        <f t="shared" si="1"/>
        <v>26076.2</v>
      </c>
      <c r="G17" s="115">
        <f t="shared" si="1"/>
        <v>95</v>
      </c>
      <c r="H17" s="116">
        <f t="shared" si="1"/>
        <v>49573.4</v>
      </c>
      <c r="I17" s="115">
        <f t="shared" si="1"/>
        <v>71</v>
      </c>
      <c r="J17" s="116">
        <f t="shared" si="1"/>
        <v>48451.199999999997</v>
      </c>
      <c r="K17" s="115">
        <f t="shared" si="1"/>
        <v>70</v>
      </c>
      <c r="L17" s="116">
        <f t="shared" si="1"/>
        <v>39556.1</v>
      </c>
      <c r="M17" s="115">
        <f t="shared" si="1"/>
        <v>71</v>
      </c>
      <c r="N17" s="116">
        <f t="shared" si="1"/>
        <v>46174.8</v>
      </c>
      <c r="O17" s="115">
        <f t="shared" si="1"/>
        <v>58</v>
      </c>
      <c r="P17" s="116">
        <f t="shared" si="1"/>
        <v>30028.7</v>
      </c>
      <c r="Q17" s="115">
        <f t="shared" si="1"/>
        <v>66</v>
      </c>
      <c r="R17" s="116">
        <f t="shared" si="1"/>
        <v>45443.5</v>
      </c>
      <c r="S17" s="115">
        <f t="shared" si="1"/>
        <v>63</v>
      </c>
      <c r="T17" s="116">
        <f t="shared" si="1"/>
        <v>35443.300000000003</v>
      </c>
      <c r="U17" s="115">
        <f t="shared" si="1"/>
        <v>79</v>
      </c>
      <c r="V17" s="116">
        <f t="shared" si="1"/>
        <v>41610.699999999997</v>
      </c>
      <c r="W17" s="115">
        <f t="shared" si="1"/>
        <v>72</v>
      </c>
      <c r="X17" s="116">
        <f t="shared" si="1"/>
        <v>49168.2</v>
      </c>
      <c r="Y17" s="115">
        <f t="shared" si="1"/>
        <v>72</v>
      </c>
      <c r="Z17" s="116">
        <f t="shared" si="1"/>
        <v>40975.300000000003</v>
      </c>
      <c r="AA17" s="115">
        <f t="shared" si="1"/>
        <v>60</v>
      </c>
      <c r="AB17" s="116">
        <f t="shared" si="1"/>
        <v>40059.200000000004</v>
      </c>
      <c r="AC17" s="115">
        <f t="shared" si="1"/>
        <v>44</v>
      </c>
      <c r="AD17" s="116">
        <f t="shared" si="1"/>
        <v>22910.9</v>
      </c>
      <c r="AE17" s="115">
        <f t="shared" si="1"/>
        <v>59</v>
      </c>
      <c r="AF17" s="116">
        <f t="shared" si="1"/>
        <v>34915.699999999997</v>
      </c>
      <c r="AG17" s="115">
        <f t="shared" si="1"/>
        <v>60</v>
      </c>
      <c r="AH17" s="116">
        <f t="shared" si="1"/>
        <v>34117</v>
      </c>
      <c r="AI17" s="115">
        <f t="shared" si="1"/>
        <v>99</v>
      </c>
      <c r="AJ17" s="116">
        <f t="shared" si="1"/>
        <v>52221.4</v>
      </c>
      <c r="AK17" s="115">
        <f t="shared" si="1"/>
        <v>77</v>
      </c>
      <c r="AL17" s="116">
        <f t="shared" si="1"/>
        <v>54482.3</v>
      </c>
      <c r="AM17" s="115">
        <f t="shared" si="1"/>
        <v>84</v>
      </c>
      <c r="AN17" s="116">
        <f t="shared" si="1"/>
        <v>62611</v>
      </c>
      <c r="AO17" s="115">
        <f t="shared" si="1"/>
        <v>10</v>
      </c>
      <c r="AP17" s="116">
        <f t="shared" si="1"/>
        <v>7126.1999999999989</v>
      </c>
      <c r="AQ17" s="115">
        <f t="shared" si="1"/>
        <v>66</v>
      </c>
      <c r="AR17" s="116">
        <f t="shared" si="1"/>
        <v>37645.699999999997</v>
      </c>
      <c r="AS17" s="115">
        <f t="shared" si="1"/>
        <v>67</v>
      </c>
      <c r="AT17" s="116">
        <f t="shared" si="1"/>
        <v>41581.699999999997</v>
      </c>
      <c r="AU17" s="115">
        <f t="shared" si="1"/>
        <v>56</v>
      </c>
      <c r="AV17" s="116">
        <f t="shared" si="1"/>
        <v>26677.199999999997</v>
      </c>
      <c r="AW17" s="115">
        <f t="shared" si="1"/>
        <v>74</v>
      </c>
      <c r="AX17" s="116">
        <f t="shared" si="1"/>
        <v>39751.800000000003</v>
      </c>
      <c r="AY17" s="115">
        <f t="shared" si="1"/>
        <v>66</v>
      </c>
      <c r="AZ17" s="116">
        <f t="shared" si="1"/>
        <v>43736.7</v>
      </c>
      <c r="BA17" s="115">
        <f t="shared" si="1"/>
        <v>75</v>
      </c>
      <c r="BB17" s="116">
        <f t="shared" si="1"/>
        <v>49022.3</v>
      </c>
      <c r="BC17" s="115">
        <f t="shared" si="1"/>
        <v>76</v>
      </c>
      <c r="BD17" s="116">
        <f t="shared" si="1"/>
        <v>44721.3</v>
      </c>
      <c r="BE17" s="115">
        <f t="shared" si="1"/>
        <v>59</v>
      </c>
      <c r="BF17" s="116">
        <f t="shared" si="1"/>
        <v>29606</v>
      </c>
      <c r="BG17" s="115">
        <f t="shared" si="1"/>
        <v>61</v>
      </c>
      <c r="BH17" s="116">
        <f t="shared" si="1"/>
        <v>38079.800000000003</v>
      </c>
      <c r="BI17" s="115">
        <f t="shared" si="1"/>
        <v>58</v>
      </c>
      <c r="BJ17" s="116">
        <f t="shared" si="1"/>
        <v>31434.100000000002</v>
      </c>
      <c r="BK17" s="115">
        <f t="shared" si="1"/>
        <v>79</v>
      </c>
      <c r="BL17" s="116">
        <f t="shared" si="1"/>
        <v>40455.800000000003</v>
      </c>
      <c r="BM17" s="117">
        <f t="shared" ref="BM17:BN17" si="2">SUM(BM10:BM16)</f>
        <v>2060</v>
      </c>
      <c r="BN17" s="116">
        <f t="shared" si="2"/>
        <v>1220001.7000000002</v>
      </c>
      <c r="BO17" s="102"/>
      <c r="BP17" s="102"/>
      <c r="BQ17" s="102"/>
      <c r="BR17" s="102"/>
      <c r="BS17" s="102"/>
      <c r="BT17" s="102"/>
      <c r="BU17" s="102"/>
      <c r="BV17" s="102"/>
      <c r="BW17" s="102"/>
      <c r="BX17" s="102"/>
      <c r="CA17" s="83"/>
      <c r="CB17" s="83"/>
      <c r="CC17" s="83"/>
      <c r="CD17" s="83"/>
      <c r="CE17" s="83"/>
      <c r="CF17" s="83"/>
      <c r="CG17" s="83"/>
      <c r="CH17" s="83"/>
      <c r="CI17" s="83"/>
      <c r="CJ17" s="83"/>
      <c r="CK17" s="83"/>
      <c r="CL17" s="83"/>
      <c r="CM17" s="83"/>
      <c r="CN17" s="83"/>
      <c r="CO17" s="83"/>
      <c r="CP17" s="83"/>
    </row>
    <row r="18" spans="1:94" x14ac:dyDescent="0.25">
      <c r="C18" s="118"/>
      <c r="D18" s="119"/>
      <c r="E18" s="118"/>
      <c r="F18" s="119"/>
      <c r="G18" s="118"/>
      <c r="H18" s="119"/>
      <c r="I18" s="118"/>
      <c r="J18" s="119"/>
      <c r="K18" s="118"/>
      <c r="L18" s="119"/>
      <c r="M18" s="118"/>
      <c r="N18" s="119"/>
      <c r="O18" s="118"/>
      <c r="P18" s="119"/>
      <c r="Q18" s="118"/>
      <c r="R18" s="119"/>
      <c r="S18" s="118"/>
      <c r="T18" s="119"/>
      <c r="U18" s="118"/>
      <c r="V18" s="119"/>
      <c r="W18" s="118"/>
      <c r="X18" s="119"/>
      <c r="Y18" s="118"/>
      <c r="Z18" s="119"/>
      <c r="AA18" s="118"/>
      <c r="AB18" s="119"/>
      <c r="AC18" s="118"/>
      <c r="AD18" s="119"/>
      <c r="AE18" s="118"/>
      <c r="AF18" s="119"/>
      <c r="AG18" s="118"/>
      <c r="AH18" s="119"/>
      <c r="AI18" s="118"/>
      <c r="AJ18" s="119"/>
      <c r="AK18" s="118"/>
      <c r="AL18" s="119"/>
      <c r="AM18" s="118"/>
      <c r="AN18" s="119"/>
      <c r="AO18" s="118"/>
      <c r="AP18" s="119"/>
      <c r="AQ18" s="118"/>
      <c r="AR18" s="119"/>
      <c r="AS18" s="118"/>
      <c r="AT18" s="119"/>
      <c r="AU18" s="118"/>
      <c r="AV18" s="119"/>
      <c r="AW18" s="118"/>
      <c r="AX18" s="119"/>
      <c r="AY18" s="118"/>
      <c r="AZ18" s="119"/>
      <c r="BA18" s="118"/>
      <c r="BB18" s="119"/>
      <c r="BC18" s="118"/>
      <c r="BD18" s="119"/>
      <c r="BE18" s="118"/>
      <c r="BF18" s="119"/>
      <c r="BG18" s="118"/>
      <c r="BH18" s="119"/>
      <c r="BI18" s="118"/>
      <c r="BJ18" s="119"/>
      <c r="BK18" s="118"/>
      <c r="BL18" s="119"/>
      <c r="BM18" s="120"/>
      <c r="BN18" s="119"/>
      <c r="CA18" s="83"/>
      <c r="CB18" s="83"/>
      <c r="CC18" s="83"/>
      <c r="CD18" s="83"/>
      <c r="CE18" s="83"/>
      <c r="CF18" s="83"/>
      <c r="CG18" s="83"/>
      <c r="CH18" s="83"/>
      <c r="CI18" s="83"/>
      <c r="CJ18" s="83"/>
      <c r="CK18" s="83"/>
      <c r="CL18" s="83"/>
      <c r="CM18" s="83"/>
      <c r="CN18" s="83"/>
      <c r="CO18" s="83"/>
      <c r="CP18" s="83"/>
    </row>
    <row r="19" spans="1:94" x14ac:dyDescent="0.25">
      <c r="A19" s="92" t="s">
        <v>16</v>
      </c>
      <c r="B19" s="93"/>
      <c r="C19" s="121"/>
      <c r="D19" s="122"/>
      <c r="E19" s="121"/>
      <c r="F19" s="122"/>
      <c r="G19" s="121"/>
      <c r="H19" s="122"/>
      <c r="I19" s="121"/>
      <c r="J19" s="122"/>
      <c r="K19" s="121"/>
      <c r="L19" s="122"/>
      <c r="M19" s="121"/>
      <c r="N19" s="122"/>
      <c r="O19" s="121"/>
      <c r="P19" s="122"/>
      <c r="Q19" s="121"/>
      <c r="R19" s="122"/>
      <c r="S19" s="121"/>
      <c r="T19" s="122"/>
      <c r="U19" s="121"/>
      <c r="V19" s="122"/>
      <c r="W19" s="121"/>
      <c r="X19" s="122"/>
      <c r="Y19" s="121"/>
      <c r="Z19" s="122"/>
      <c r="AA19" s="121"/>
      <c r="AB19" s="122"/>
      <c r="AC19" s="121"/>
      <c r="AD19" s="122"/>
      <c r="AE19" s="121"/>
      <c r="AF19" s="122"/>
      <c r="AG19" s="121"/>
      <c r="AH19" s="122"/>
      <c r="AI19" s="121"/>
      <c r="AJ19" s="122"/>
      <c r="AK19" s="121"/>
      <c r="AL19" s="122"/>
      <c r="AM19" s="121"/>
      <c r="AN19" s="122"/>
      <c r="AO19" s="121"/>
      <c r="AP19" s="122"/>
      <c r="AQ19" s="121"/>
      <c r="AR19" s="122"/>
      <c r="AS19" s="121"/>
      <c r="AT19" s="122"/>
      <c r="AU19" s="121"/>
      <c r="AV19" s="122"/>
      <c r="AW19" s="121"/>
      <c r="AX19" s="122"/>
      <c r="AY19" s="121"/>
      <c r="AZ19" s="122"/>
      <c r="BA19" s="121"/>
      <c r="BB19" s="122"/>
      <c r="BC19" s="121"/>
      <c r="BD19" s="122"/>
      <c r="BE19" s="121"/>
      <c r="BF19" s="122"/>
      <c r="BG19" s="121"/>
      <c r="BH19" s="122"/>
      <c r="BI19" s="121"/>
      <c r="BJ19" s="122"/>
      <c r="BK19" s="121"/>
      <c r="BL19" s="122"/>
      <c r="BM19" s="123"/>
      <c r="BN19" s="122"/>
      <c r="CA19" s="83"/>
      <c r="CB19" s="83"/>
      <c r="CC19" s="83"/>
      <c r="CD19" s="83"/>
      <c r="CE19" s="83"/>
      <c r="CF19" s="83"/>
      <c r="CG19" s="83"/>
      <c r="CH19" s="83"/>
      <c r="CI19" s="83"/>
      <c r="CJ19" s="83"/>
      <c r="CK19" s="83"/>
      <c r="CL19" s="83"/>
      <c r="CM19" s="83"/>
      <c r="CN19" s="83"/>
      <c r="CO19" s="83"/>
      <c r="CP19" s="83"/>
    </row>
    <row r="20" spans="1:94" x14ac:dyDescent="0.25">
      <c r="A20" s="79" t="s">
        <v>17</v>
      </c>
      <c r="B20" s="98" t="s">
        <v>9</v>
      </c>
      <c r="C20" s="112">
        <f>EOD_Credit_NP!D7</f>
        <v>7</v>
      </c>
      <c r="D20" s="113">
        <f>EOD_Credit_NP!E7</f>
        <v>2822.8</v>
      </c>
      <c r="E20" s="112">
        <f>EOD_Credit_NP!F7</f>
        <v>4</v>
      </c>
      <c r="F20" s="113">
        <f>EOD_Credit_NP!G7</f>
        <v>2200</v>
      </c>
      <c r="G20" s="112">
        <f>EOD_Credit_NP!H7</f>
        <v>5</v>
      </c>
      <c r="H20" s="113">
        <f>EOD_Credit_NP!I7</f>
        <v>3126</v>
      </c>
      <c r="I20" s="112">
        <f>EOD_Credit_NP!J7</f>
        <v>7</v>
      </c>
      <c r="J20" s="113">
        <f>EOD_Credit_NP!K7</f>
        <v>3807.2</v>
      </c>
      <c r="K20" s="112">
        <f>EOD_Credit_NP!L7</f>
        <v>5</v>
      </c>
      <c r="L20" s="113">
        <f>EOD_Credit_NP!M7</f>
        <v>2103.6999999999998</v>
      </c>
      <c r="M20" s="112">
        <f>EOD_Credit_NP!N7</f>
        <v>6</v>
      </c>
      <c r="N20" s="113">
        <f>EOD_Credit_NP!O7</f>
        <v>3032.8</v>
      </c>
      <c r="O20" s="112">
        <f>EOD_Credit_NP!P7</f>
        <v>2</v>
      </c>
      <c r="P20" s="113">
        <f>EOD_Credit_NP!Q7</f>
        <v>724.4</v>
      </c>
      <c r="Q20" s="112">
        <f>EOD_Credit_NP!R7</f>
        <v>10</v>
      </c>
      <c r="R20" s="113">
        <f>EOD_Credit_NP!S7</f>
        <v>4442.6000000000004</v>
      </c>
      <c r="S20" s="112">
        <f>EOD_Credit_NP!T7</f>
        <v>1</v>
      </c>
      <c r="T20" s="113">
        <f>EOD_Credit_NP!U7</f>
        <v>500</v>
      </c>
      <c r="U20" s="112">
        <f>EOD_Credit_NP!V7</f>
        <v>10</v>
      </c>
      <c r="V20" s="113">
        <f>EOD_Credit_NP!W7</f>
        <v>5451.6</v>
      </c>
      <c r="W20" s="112">
        <f>EOD_Credit_NP!X7</f>
        <v>5</v>
      </c>
      <c r="X20" s="113">
        <f>EOD_Credit_NP!Y7</f>
        <v>3022.1</v>
      </c>
      <c r="Y20" s="112">
        <f>EOD_Credit_NP!Z7</f>
        <v>5</v>
      </c>
      <c r="Z20" s="113">
        <f>EOD_Credit_NP!AA7</f>
        <v>2337.1</v>
      </c>
      <c r="AA20" s="112">
        <f>EOD_Credit_NP!AB7</f>
        <v>1</v>
      </c>
      <c r="AB20" s="113">
        <f>EOD_Credit_NP!AC7</f>
        <v>500</v>
      </c>
      <c r="AC20" s="112">
        <f>EOD_Credit_NP!AD7</f>
        <v>1</v>
      </c>
      <c r="AD20" s="113">
        <f>EOD_Credit_NP!AE7</f>
        <v>39</v>
      </c>
      <c r="AE20" s="112">
        <f>EOD_Credit_NP!AF7</f>
        <v>7</v>
      </c>
      <c r="AF20" s="113">
        <f>EOD_Credit_NP!AG7</f>
        <v>3965.4</v>
      </c>
      <c r="AG20" s="112">
        <f>EOD_Credit_NP!AH7</f>
        <v>2</v>
      </c>
      <c r="AH20" s="113">
        <f>EOD_Credit_NP!AI7</f>
        <v>1171</v>
      </c>
      <c r="AI20" s="112">
        <f>EOD_Credit_NP!AJ7</f>
        <v>3</v>
      </c>
      <c r="AJ20" s="113">
        <f>EOD_Credit_NP!AK7</f>
        <v>1573.3</v>
      </c>
      <c r="AK20" s="112">
        <f>EOD_Credit_NP!AL7</f>
        <v>8</v>
      </c>
      <c r="AL20" s="113">
        <f>EOD_Credit_NP!AM7</f>
        <v>4552.1000000000004</v>
      </c>
      <c r="AM20" s="112">
        <f>EOD_Credit_NP!AN7</f>
        <v>8</v>
      </c>
      <c r="AN20" s="113">
        <f>EOD_Credit_NP!AO7</f>
        <v>4461.1000000000004</v>
      </c>
      <c r="AO20" s="112">
        <f>EOD_Credit_NP!AP7</f>
        <v>0</v>
      </c>
      <c r="AP20" s="113">
        <f>EOD_Credit_NP!AQ7</f>
        <v>0</v>
      </c>
      <c r="AQ20" s="112">
        <f>EOD_Credit_NP!AR7</f>
        <v>4</v>
      </c>
      <c r="AR20" s="113">
        <f>EOD_Credit_NP!AS7</f>
        <v>1982.4</v>
      </c>
      <c r="AS20" s="112">
        <f>EOD_Credit_NP!AT7</f>
        <v>9</v>
      </c>
      <c r="AT20" s="113">
        <f>EOD_Credit_NP!AU7</f>
        <v>6731.5</v>
      </c>
      <c r="AU20" s="112">
        <f>EOD_Credit_NP!AV7</f>
        <v>5</v>
      </c>
      <c r="AV20" s="113">
        <f>EOD_Credit_NP!AW7</f>
        <v>2484.3000000000002</v>
      </c>
      <c r="AW20" s="112">
        <f>EOD_Credit_NP!AX7</f>
        <v>7</v>
      </c>
      <c r="AX20" s="113">
        <f>EOD_Credit_NP!AY7</f>
        <v>4609.1000000000004</v>
      </c>
      <c r="AY20" s="112">
        <f>EOD_Credit_NP!AZ7</f>
        <v>7</v>
      </c>
      <c r="AZ20" s="113">
        <f>EOD_Credit_NP!BA7</f>
        <v>5058.3999999999996</v>
      </c>
      <c r="BA20" s="112">
        <f>EOD_Credit_NP!BB7</f>
        <v>5</v>
      </c>
      <c r="BB20" s="113">
        <f>EOD_Credit_NP!BC7</f>
        <v>2051.4</v>
      </c>
      <c r="BC20" s="112">
        <f>EOD_Credit_NP!BD7</f>
        <v>4</v>
      </c>
      <c r="BD20" s="113">
        <f>EOD_Credit_NP!BE7</f>
        <v>2062.1</v>
      </c>
      <c r="BE20" s="112">
        <f>EOD_Credit_NP!BF7</f>
        <v>5</v>
      </c>
      <c r="BF20" s="113">
        <f>EOD_Credit_NP!BG7</f>
        <v>2454</v>
      </c>
      <c r="BG20" s="112">
        <f>EOD_Credit_NP!BH7</f>
        <v>6</v>
      </c>
      <c r="BH20" s="113">
        <f>EOD_Credit_NP!BI7</f>
        <v>3993.5</v>
      </c>
      <c r="BI20" s="112">
        <f>EOD_Credit_NP!BJ7</f>
        <v>3</v>
      </c>
      <c r="BJ20" s="113">
        <f>EOD_Credit_NP!BK7</f>
        <v>1629.8</v>
      </c>
      <c r="BK20" s="112">
        <f>EOD_Credit_NP!BL7</f>
        <v>8</v>
      </c>
      <c r="BL20" s="113">
        <f>EOD_Credit_NP!BM7</f>
        <v>4262.7</v>
      </c>
      <c r="BM20" s="114" cm="1">
        <f t="array" ref="BM20">SUMPRODUCT((MOD(COLUMN(C20:BL20)-COLUMN(C20),2)=0)*C20:BL20)</f>
        <v>160</v>
      </c>
      <c r="BN20" s="113" cm="1">
        <f t="array" ref="BN20">SUMPRODUCT((MOD(COLUMN(D20:BM20)-COLUMN(D20),2)=0)*D20:BM20)</f>
        <v>87151.4</v>
      </c>
      <c r="CA20" s="83"/>
      <c r="CB20" s="83"/>
      <c r="CC20" s="83"/>
      <c r="CD20" s="83"/>
      <c r="CE20" s="83"/>
      <c r="CF20" s="83"/>
      <c r="CG20" s="83"/>
      <c r="CH20" s="83"/>
      <c r="CI20" s="83"/>
      <c r="CJ20" s="83"/>
      <c r="CK20" s="83"/>
      <c r="CL20" s="83"/>
      <c r="CM20" s="83"/>
      <c r="CN20" s="83"/>
      <c r="CO20" s="83"/>
      <c r="CP20" s="83"/>
    </row>
    <row r="21" spans="1:94" x14ac:dyDescent="0.25">
      <c r="A21" s="79" t="s">
        <v>18</v>
      </c>
      <c r="B21" s="98" t="s">
        <v>9</v>
      </c>
      <c r="C21" s="112">
        <f>EOD_Credit_NP!D9</f>
        <v>0</v>
      </c>
      <c r="D21" s="113">
        <f>EOD_Credit_NP!E9</f>
        <v>0</v>
      </c>
      <c r="E21" s="112">
        <f>EOD_Credit_NP!F9</f>
        <v>1</v>
      </c>
      <c r="F21" s="113">
        <f>EOD_Credit_NP!G9</f>
        <v>620</v>
      </c>
      <c r="G21" s="112">
        <f>EOD_Credit_NP!H9</f>
        <v>0</v>
      </c>
      <c r="H21" s="113">
        <f>EOD_Credit_NP!I9</f>
        <v>0</v>
      </c>
      <c r="I21" s="112">
        <f>EOD_Credit_NP!J9</f>
        <v>0</v>
      </c>
      <c r="J21" s="113">
        <f>EOD_Credit_NP!K9</f>
        <v>0</v>
      </c>
      <c r="K21" s="112">
        <f>EOD_Credit_NP!L9</f>
        <v>1</v>
      </c>
      <c r="L21" s="113">
        <f>EOD_Credit_NP!M9</f>
        <v>500</v>
      </c>
      <c r="M21" s="112">
        <f>EOD_Credit_NP!N9</f>
        <v>1</v>
      </c>
      <c r="N21" s="113">
        <f>EOD_Credit_NP!O9</f>
        <v>500</v>
      </c>
      <c r="O21" s="112">
        <f>EOD_Credit_NP!P9</f>
        <v>1</v>
      </c>
      <c r="P21" s="113">
        <f>EOD_Credit_NP!Q9</f>
        <v>852.3</v>
      </c>
      <c r="Q21" s="112">
        <f>EOD_Credit_NP!R9</f>
        <v>2</v>
      </c>
      <c r="R21" s="113">
        <f>EOD_Credit_NP!S9</f>
        <v>1144.3</v>
      </c>
      <c r="S21" s="112">
        <f>EOD_Credit_NP!T9</f>
        <v>1</v>
      </c>
      <c r="T21" s="113">
        <f>EOD_Credit_NP!U9</f>
        <v>500</v>
      </c>
      <c r="U21" s="112">
        <f>EOD_Credit_NP!V9</f>
        <v>1</v>
      </c>
      <c r="V21" s="113">
        <f>EOD_Credit_NP!W9</f>
        <v>694.2</v>
      </c>
      <c r="W21" s="112">
        <f>EOD_Credit_NP!X9</f>
        <v>0</v>
      </c>
      <c r="X21" s="113">
        <f>EOD_Credit_NP!Y9</f>
        <v>0</v>
      </c>
      <c r="Y21" s="112">
        <f>EOD_Credit_NP!Z9</f>
        <v>1</v>
      </c>
      <c r="Z21" s="113">
        <f>EOD_Credit_NP!AA9</f>
        <v>500</v>
      </c>
      <c r="AA21" s="112">
        <f>EOD_Credit_NP!AB9</f>
        <v>0</v>
      </c>
      <c r="AB21" s="113">
        <f>EOD_Credit_NP!AC9</f>
        <v>0</v>
      </c>
      <c r="AC21" s="112">
        <f>EOD_Credit_NP!AD9</f>
        <v>1</v>
      </c>
      <c r="AD21" s="113">
        <f>EOD_Credit_NP!AE9</f>
        <v>500</v>
      </c>
      <c r="AE21" s="112">
        <f>EOD_Credit_NP!AF9</f>
        <v>1</v>
      </c>
      <c r="AF21" s="113">
        <f>EOD_Credit_NP!AG9</f>
        <v>800</v>
      </c>
      <c r="AG21" s="112">
        <f>EOD_Credit_NP!AH9</f>
        <v>2</v>
      </c>
      <c r="AH21" s="113">
        <f>EOD_Credit_NP!AI9</f>
        <v>1000</v>
      </c>
      <c r="AI21" s="112">
        <f>EOD_Credit_NP!AJ9</f>
        <v>1</v>
      </c>
      <c r="AJ21" s="113">
        <f>EOD_Credit_NP!AK9</f>
        <v>500</v>
      </c>
      <c r="AK21" s="112">
        <f>EOD_Credit_NP!AL9</f>
        <v>0</v>
      </c>
      <c r="AL21" s="113">
        <f>EOD_Credit_NP!AM9</f>
        <v>0</v>
      </c>
      <c r="AM21" s="112">
        <f>EOD_Credit_NP!AN9</f>
        <v>2</v>
      </c>
      <c r="AN21" s="113">
        <f>EOD_Credit_NP!AO9</f>
        <v>1000</v>
      </c>
      <c r="AO21" s="112">
        <f>EOD_Credit_NP!AP9</f>
        <v>0</v>
      </c>
      <c r="AP21" s="113">
        <f>EOD_Credit_NP!AQ9</f>
        <v>0</v>
      </c>
      <c r="AQ21" s="112">
        <f>EOD_Credit_NP!AR9</f>
        <v>0</v>
      </c>
      <c r="AR21" s="113">
        <f>EOD_Credit_NP!AS9</f>
        <v>0</v>
      </c>
      <c r="AS21" s="112">
        <f>EOD_Credit_NP!AT9</f>
        <v>3</v>
      </c>
      <c r="AT21" s="113">
        <f>EOD_Credit_NP!AU9</f>
        <v>1700</v>
      </c>
      <c r="AU21" s="112">
        <f>EOD_Credit_NP!AV9</f>
        <v>0</v>
      </c>
      <c r="AV21" s="113">
        <f>EOD_Credit_NP!AW9</f>
        <v>0</v>
      </c>
      <c r="AW21" s="112">
        <f>EOD_Credit_NP!AX9</f>
        <v>1</v>
      </c>
      <c r="AX21" s="113">
        <f>EOD_Credit_NP!AY9</f>
        <v>500</v>
      </c>
      <c r="AY21" s="112">
        <f>EOD_Credit_NP!AZ9</f>
        <v>2</v>
      </c>
      <c r="AZ21" s="113">
        <f>EOD_Credit_NP!BA9</f>
        <v>1000</v>
      </c>
      <c r="BA21" s="112">
        <f>EOD_Credit_NP!BB9</f>
        <v>1</v>
      </c>
      <c r="BB21" s="113">
        <f>EOD_Credit_NP!BC9</f>
        <v>500</v>
      </c>
      <c r="BC21" s="112">
        <f>EOD_Credit_NP!BD9</f>
        <v>0</v>
      </c>
      <c r="BD21" s="113">
        <f>EOD_Credit_NP!BE9</f>
        <v>0</v>
      </c>
      <c r="BE21" s="112">
        <f>EOD_Credit_NP!BF9</f>
        <v>0</v>
      </c>
      <c r="BF21" s="113">
        <f>EOD_Credit_NP!BG9</f>
        <v>0</v>
      </c>
      <c r="BG21" s="112">
        <f>EOD_Credit_NP!BH9</f>
        <v>0</v>
      </c>
      <c r="BH21" s="113">
        <f>EOD_Credit_NP!BI9</f>
        <v>0</v>
      </c>
      <c r="BI21" s="112">
        <f>EOD_Credit_NP!BJ9</f>
        <v>0</v>
      </c>
      <c r="BJ21" s="113">
        <f>EOD_Credit_NP!BK9</f>
        <v>0</v>
      </c>
      <c r="BK21" s="112">
        <f>EOD_Credit_NP!BL9</f>
        <v>1</v>
      </c>
      <c r="BL21" s="113">
        <f>EOD_Credit_NP!BM9</f>
        <v>500</v>
      </c>
      <c r="BM21" s="114" cm="1">
        <f t="array" ref="BM21">SUMPRODUCT((MOD(COLUMN(C21:BL21)-COLUMN(C21),2)=0)*C21:BL21)</f>
        <v>24</v>
      </c>
      <c r="BN21" s="113" cm="1">
        <f t="array" ref="BN21">SUMPRODUCT((MOD(COLUMN(D21:BM21)-COLUMN(D21),2)=0)*D21:BM21)</f>
        <v>13310.8</v>
      </c>
      <c r="CA21" s="83"/>
      <c r="CB21" s="83"/>
      <c r="CC21" s="83"/>
      <c r="CD21" s="83"/>
      <c r="CE21" s="83"/>
      <c r="CF21" s="83"/>
      <c r="CG21" s="83"/>
      <c r="CH21" s="83"/>
      <c r="CI21" s="83"/>
      <c r="CJ21" s="83"/>
      <c r="CK21" s="83"/>
      <c r="CL21" s="83"/>
      <c r="CM21" s="83"/>
      <c r="CN21" s="83"/>
      <c r="CO21" s="83"/>
      <c r="CP21" s="83"/>
    </row>
    <row r="22" spans="1:94" x14ac:dyDescent="0.25">
      <c r="A22" s="79" t="s">
        <v>19</v>
      </c>
      <c r="B22" s="98" t="s">
        <v>9</v>
      </c>
      <c r="C22" s="112">
        <f>EOD_Credit_NP!D11</f>
        <v>7</v>
      </c>
      <c r="D22" s="113">
        <f>EOD_Credit_NP!E11</f>
        <v>3367.5</v>
      </c>
      <c r="E22" s="112">
        <f>EOD_Credit_NP!F11</f>
        <v>2</v>
      </c>
      <c r="F22" s="113">
        <f>EOD_Credit_NP!G11</f>
        <v>1000</v>
      </c>
      <c r="G22" s="112">
        <f>EOD_Credit_NP!H11</f>
        <v>1</v>
      </c>
      <c r="H22" s="113">
        <f>EOD_Credit_NP!I11</f>
        <v>278.10000000000002</v>
      </c>
      <c r="I22" s="112">
        <f>EOD_Credit_NP!J11</f>
        <v>2</v>
      </c>
      <c r="J22" s="113">
        <f>EOD_Credit_NP!K11</f>
        <v>1968.3</v>
      </c>
      <c r="K22" s="112">
        <f>EOD_Credit_NP!L11</f>
        <v>3</v>
      </c>
      <c r="L22" s="113">
        <f>EOD_Credit_NP!M11</f>
        <v>1089.4000000000001</v>
      </c>
      <c r="M22" s="112">
        <f>EOD_Credit_NP!N11</f>
        <v>3</v>
      </c>
      <c r="N22" s="113">
        <f>EOD_Credit_NP!O11</f>
        <v>1651.9</v>
      </c>
      <c r="O22" s="112">
        <f>EOD_Credit_NP!P11</f>
        <v>1</v>
      </c>
      <c r="P22" s="113">
        <f>EOD_Credit_NP!Q11</f>
        <v>500</v>
      </c>
      <c r="Q22" s="112">
        <f>EOD_Credit_NP!R11</f>
        <v>4</v>
      </c>
      <c r="R22" s="113">
        <f>EOD_Credit_NP!S11</f>
        <v>3143.3</v>
      </c>
      <c r="S22" s="112">
        <f>EOD_Credit_NP!T11</f>
        <v>1</v>
      </c>
      <c r="T22" s="113">
        <f>EOD_Credit_NP!U11</f>
        <v>500</v>
      </c>
      <c r="U22" s="112">
        <f>EOD_Credit_NP!V11</f>
        <v>2</v>
      </c>
      <c r="V22" s="113">
        <f>EOD_Credit_NP!W11</f>
        <v>1282.0999999999999</v>
      </c>
      <c r="W22" s="112">
        <f>EOD_Credit_NP!X11</f>
        <v>3</v>
      </c>
      <c r="X22" s="113">
        <f>EOD_Credit_NP!Y11</f>
        <v>1792.7</v>
      </c>
      <c r="Y22" s="112">
        <f>EOD_Credit_NP!Z11</f>
        <v>2</v>
      </c>
      <c r="Z22" s="113">
        <f>EOD_Credit_NP!AA11</f>
        <v>685.5</v>
      </c>
      <c r="AA22" s="112">
        <f>EOD_Credit_NP!AB11</f>
        <v>3</v>
      </c>
      <c r="AB22" s="113">
        <f>EOD_Credit_NP!AC11</f>
        <v>1757.6</v>
      </c>
      <c r="AC22" s="112">
        <f>EOD_Credit_NP!AD11</f>
        <v>0</v>
      </c>
      <c r="AD22" s="113">
        <f>EOD_Credit_NP!AE11</f>
        <v>0</v>
      </c>
      <c r="AE22" s="112">
        <f>EOD_Credit_NP!AF11</f>
        <v>2</v>
      </c>
      <c r="AF22" s="113">
        <f>EOD_Credit_NP!AG11</f>
        <v>769.2</v>
      </c>
      <c r="AG22" s="112">
        <f>EOD_Credit_NP!AH11</f>
        <v>2</v>
      </c>
      <c r="AH22" s="113">
        <f>EOD_Credit_NP!AI11</f>
        <v>1161.9000000000001</v>
      </c>
      <c r="AI22" s="112">
        <f>EOD_Credit_NP!AJ11</f>
        <v>5</v>
      </c>
      <c r="AJ22" s="113">
        <f>EOD_Credit_NP!AK11</f>
        <v>1772.4</v>
      </c>
      <c r="AK22" s="112">
        <f>EOD_Credit_NP!AL11</f>
        <v>3</v>
      </c>
      <c r="AL22" s="113">
        <f>EOD_Credit_NP!AM11</f>
        <v>1227.8</v>
      </c>
      <c r="AM22" s="112">
        <f>EOD_Credit_NP!AN11</f>
        <v>2</v>
      </c>
      <c r="AN22" s="113">
        <f>EOD_Credit_NP!AO11</f>
        <v>1099.0999999999999</v>
      </c>
      <c r="AO22" s="112">
        <f>EOD_Credit_NP!AP11</f>
        <v>0</v>
      </c>
      <c r="AP22" s="113">
        <f>EOD_Credit_NP!AQ11</f>
        <v>0</v>
      </c>
      <c r="AQ22" s="112">
        <f>EOD_Credit_NP!AR11</f>
        <v>1</v>
      </c>
      <c r="AR22" s="113">
        <f>EOD_Credit_NP!AS11</f>
        <v>500</v>
      </c>
      <c r="AS22" s="112">
        <f>EOD_Credit_NP!AT11</f>
        <v>2</v>
      </c>
      <c r="AT22" s="113">
        <f>EOD_Credit_NP!AU11</f>
        <v>953.1</v>
      </c>
      <c r="AU22" s="112">
        <f>EOD_Credit_NP!AV11</f>
        <v>2</v>
      </c>
      <c r="AV22" s="113">
        <f>EOD_Credit_NP!AW11</f>
        <v>612.20000000000005</v>
      </c>
      <c r="AW22" s="112">
        <f>EOD_Credit_NP!AX11</f>
        <v>2</v>
      </c>
      <c r="AX22" s="113">
        <f>EOD_Credit_NP!AY11</f>
        <v>1281.5999999999999</v>
      </c>
      <c r="AY22" s="112">
        <f>EOD_Credit_NP!AZ11</f>
        <v>0</v>
      </c>
      <c r="AZ22" s="113">
        <f>EOD_Credit_NP!BA11</f>
        <v>0</v>
      </c>
      <c r="BA22" s="112">
        <f>EOD_Credit_NP!BB11</f>
        <v>5</v>
      </c>
      <c r="BB22" s="113">
        <f>EOD_Credit_NP!BC11</f>
        <v>1701.7</v>
      </c>
      <c r="BC22" s="112">
        <f>EOD_Credit_NP!BD11</f>
        <v>3</v>
      </c>
      <c r="BD22" s="113">
        <f>EOD_Credit_NP!BE11</f>
        <v>896</v>
      </c>
      <c r="BE22" s="112">
        <f>EOD_Credit_NP!BF11</f>
        <v>2</v>
      </c>
      <c r="BF22" s="113">
        <f>EOD_Credit_NP!BG11</f>
        <v>665.6</v>
      </c>
      <c r="BG22" s="112">
        <f>EOD_Credit_NP!BH11</f>
        <v>2</v>
      </c>
      <c r="BH22" s="113">
        <f>EOD_Credit_NP!BI11</f>
        <v>1313.2</v>
      </c>
      <c r="BI22" s="112">
        <f>EOD_Credit_NP!BJ11</f>
        <v>2</v>
      </c>
      <c r="BJ22" s="113">
        <f>EOD_Credit_NP!BK11</f>
        <v>1000</v>
      </c>
      <c r="BK22" s="112">
        <f>EOD_Credit_NP!BL11</f>
        <v>5</v>
      </c>
      <c r="BL22" s="113">
        <f>EOD_Credit_NP!BM11</f>
        <v>1942</v>
      </c>
      <c r="BM22" s="114" cm="1">
        <f t="array" ref="BM22">SUMPRODUCT((MOD(COLUMN(C22:BL22)-COLUMN(C22),2)=0)*C22:BL22)</f>
        <v>74</v>
      </c>
      <c r="BN22" s="113" cm="1">
        <f t="array" ref="BN22">SUMPRODUCT((MOD(COLUMN(D22:BM22)-COLUMN(D22),2)=0)*D22:BM22)</f>
        <v>35912.199999999997</v>
      </c>
      <c r="CA22" s="83"/>
      <c r="CB22" s="83"/>
      <c r="CC22" s="83"/>
      <c r="CD22" s="83"/>
      <c r="CE22" s="83"/>
      <c r="CF22" s="83"/>
      <c r="CG22" s="83"/>
      <c r="CH22" s="83"/>
      <c r="CI22" s="83"/>
      <c r="CJ22" s="83"/>
      <c r="CK22" s="83"/>
      <c r="CL22" s="83"/>
      <c r="CM22" s="83"/>
      <c r="CN22" s="83"/>
      <c r="CO22" s="83"/>
      <c r="CP22" s="83"/>
    </row>
    <row r="23" spans="1:94" x14ac:dyDescent="0.25">
      <c r="A23" s="79" t="s">
        <v>20</v>
      </c>
      <c r="B23" s="98" t="s">
        <v>9</v>
      </c>
      <c r="C23" s="112">
        <f>EOD_Credit_NP!D14</f>
        <v>13</v>
      </c>
      <c r="D23" s="113">
        <f>EOD_Credit_NP!E14</f>
        <v>8052.3</v>
      </c>
      <c r="E23" s="112">
        <f>EOD_Credit_NP!F14</f>
        <v>6</v>
      </c>
      <c r="F23" s="113">
        <f>EOD_Credit_NP!G14</f>
        <v>6098</v>
      </c>
      <c r="G23" s="112">
        <f>EOD_Credit_NP!H14</f>
        <v>20</v>
      </c>
      <c r="H23" s="113">
        <f>EOD_Credit_NP!I14</f>
        <v>10816.9</v>
      </c>
      <c r="I23" s="112">
        <f>EOD_Credit_NP!J14</f>
        <v>18</v>
      </c>
      <c r="J23" s="113">
        <f>EOD_Credit_NP!K14</f>
        <v>9965.2999999999993</v>
      </c>
      <c r="K23" s="112">
        <f>EOD_Credit_NP!L14</f>
        <v>20</v>
      </c>
      <c r="L23" s="113">
        <f>EOD_Credit_NP!M14</f>
        <v>12676.9</v>
      </c>
      <c r="M23" s="112">
        <f>EOD_Credit_NP!N14</f>
        <v>17</v>
      </c>
      <c r="N23" s="113">
        <f>EOD_Credit_NP!O14</f>
        <v>9706.1</v>
      </c>
      <c r="O23" s="112">
        <f>EOD_Credit_NP!P14</f>
        <v>8</v>
      </c>
      <c r="P23" s="113">
        <f>EOD_Credit_NP!Q14</f>
        <v>3284.8</v>
      </c>
      <c r="Q23" s="112">
        <f>EOD_Credit_NP!R14</f>
        <v>18</v>
      </c>
      <c r="R23" s="113">
        <f>EOD_Credit_NP!S14</f>
        <v>13688.8</v>
      </c>
      <c r="S23" s="112">
        <f>EOD_Credit_NP!T14</f>
        <v>10</v>
      </c>
      <c r="T23" s="113">
        <f>EOD_Credit_NP!U14</f>
        <v>5300</v>
      </c>
      <c r="U23" s="112">
        <f>EOD_Credit_NP!V14</f>
        <v>18</v>
      </c>
      <c r="V23" s="113">
        <f>EOD_Credit_NP!W14</f>
        <v>9161.6</v>
      </c>
      <c r="W23" s="112">
        <f>EOD_Credit_NP!X14</f>
        <v>14</v>
      </c>
      <c r="X23" s="113">
        <f>EOD_Credit_NP!Y14</f>
        <v>8699.1</v>
      </c>
      <c r="Y23" s="112">
        <f>EOD_Credit_NP!Z14</f>
        <v>24</v>
      </c>
      <c r="Z23" s="113">
        <f>EOD_Credit_NP!AA14</f>
        <v>12106.1</v>
      </c>
      <c r="AA23" s="112">
        <f>EOD_Credit_NP!AB14</f>
        <v>14</v>
      </c>
      <c r="AB23" s="113">
        <f>EOD_Credit_NP!AC14</f>
        <v>7301.4</v>
      </c>
      <c r="AC23" s="112">
        <f>EOD_Credit_NP!AD14</f>
        <v>6</v>
      </c>
      <c r="AD23" s="113">
        <f>EOD_Credit_NP!AE14</f>
        <v>2541.3000000000002</v>
      </c>
      <c r="AE23" s="112">
        <f>EOD_Credit_NP!AF14</f>
        <v>17</v>
      </c>
      <c r="AF23" s="113">
        <f>EOD_Credit_NP!AG14</f>
        <v>11594.2</v>
      </c>
      <c r="AG23" s="112">
        <f>EOD_Credit_NP!AH14</f>
        <v>13</v>
      </c>
      <c r="AH23" s="113">
        <f>EOD_Credit_NP!AI14</f>
        <v>8776.2999999999993</v>
      </c>
      <c r="AI23" s="112">
        <f>EOD_Credit_NP!AJ14</f>
        <v>15</v>
      </c>
      <c r="AJ23" s="113">
        <f>EOD_Credit_NP!AK14</f>
        <v>7278.8</v>
      </c>
      <c r="AK23" s="112">
        <f>EOD_Credit_NP!AL14</f>
        <v>15</v>
      </c>
      <c r="AL23" s="113">
        <f>EOD_Credit_NP!AM14</f>
        <v>8661.2999999999993</v>
      </c>
      <c r="AM23" s="112">
        <f>EOD_Credit_NP!AN14</f>
        <v>16</v>
      </c>
      <c r="AN23" s="113">
        <f>EOD_Credit_NP!AO14</f>
        <v>8782.2999999999993</v>
      </c>
      <c r="AO23" s="112">
        <f>EOD_Credit_NP!AP14</f>
        <v>1</v>
      </c>
      <c r="AP23" s="113">
        <f>EOD_Credit_NP!AQ14</f>
        <v>500</v>
      </c>
      <c r="AQ23" s="112">
        <f>EOD_Credit_NP!AR14</f>
        <v>9</v>
      </c>
      <c r="AR23" s="113">
        <f>EOD_Credit_NP!AS14</f>
        <v>6094.4</v>
      </c>
      <c r="AS23" s="112">
        <f>EOD_Credit_NP!AT14</f>
        <v>9</v>
      </c>
      <c r="AT23" s="113">
        <f>EOD_Credit_NP!AU14</f>
        <v>5534</v>
      </c>
      <c r="AU23" s="112">
        <f>EOD_Credit_NP!AV14</f>
        <v>12</v>
      </c>
      <c r="AV23" s="113">
        <f>EOD_Credit_NP!AW14</f>
        <v>5319.4</v>
      </c>
      <c r="AW23" s="112">
        <f>EOD_Credit_NP!AX14</f>
        <v>15</v>
      </c>
      <c r="AX23" s="113">
        <f>EOD_Credit_NP!AY14</f>
        <v>7934</v>
      </c>
      <c r="AY23" s="112">
        <f>EOD_Credit_NP!AZ14</f>
        <v>11</v>
      </c>
      <c r="AZ23" s="113">
        <f>EOD_Credit_NP!BA14</f>
        <v>6114.8</v>
      </c>
      <c r="BA23" s="112">
        <f>EOD_Credit_NP!BB14</f>
        <v>20</v>
      </c>
      <c r="BB23" s="113">
        <f>EOD_Credit_NP!BC14</f>
        <v>8091.6</v>
      </c>
      <c r="BC23" s="112">
        <f>EOD_Credit_NP!BD14</f>
        <v>13</v>
      </c>
      <c r="BD23" s="113">
        <f>EOD_Credit_NP!BE14</f>
        <v>5488.8</v>
      </c>
      <c r="BE23" s="112">
        <f>EOD_Credit_NP!BF14</f>
        <v>12</v>
      </c>
      <c r="BF23" s="113">
        <f>EOD_Credit_NP!BG14</f>
        <v>6981.3</v>
      </c>
      <c r="BG23" s="112">
        <f>EOD_Credit_NP!BH14</f>
        <v>13</v>
      </c>
      <c r="BH23" s="113">
        <f>EOD_Credit_NP!BI14</f>
        <v>9434.5</v>
      </c>
      <c r="BI23" s="112">
        <f>EOD_Credit_NP!BJ14</f>
        <v>8</v>
      </c>
      <c r="BJ23" s="113">
        <f>EOD_Credit_NP!BK14</f>
        <v>5277.2</v>
      </c>
      <c r="BK23" s="112">
        <f>EOD_Credit_NP!BL14</f>
        <v>10</v>
      </c>
      <c r="BL23" s="113">
        <f>EOD_Credit_NP!BM14</f>
        <v>5169</v>
      </c>
      <c r="BM23" s="114" cm="1">
        <f t="array" ref="BM23">SUMPRODUCT((MOD(COLUMN(C23:BL23)-COLUMN(C23),2)=0)*C23:BL23)</f>
        <v>415</v>
      </c>
      <c r="BN23" s="113" cm="1">
        <f t="array" ref="BN23">SUMPRODUCT((MOD(COLUMN(D23:BM23)-COLUMN(D23),2)=0)*D23:BM23)</f>
        <v>236430.49999999994</v>
      </c>
      <c r="CA23" s="83"/>
      <c r="CB23" s="83"/>
      <c r="CC23" s="83"/>
      <c r="CD23" s="83"/>
      <c r="CE23" s="83"/>
      <c r="CF23" s="83"/>
      <c r="CG23" s="83"/>
      <c r="CH23" s="83"/>
      <c r="CI23" s="83"/>
      <c r="CJ23" s="83"/>
      <c r="CK23" s="83"/>
      <c r="CL23" s="83"/>
      <c r="CM23" s="83"/>
      <c r="CN23" s="83"/>
      <c r="CO23" s="83"/>
      <c r="CP23" s="83"/>
    </row>
    <row r="24" spans="1:94" x14ac:dyDescent="0.25">
      <c r="A24" s="79" t="s">
        <v>21</v>
      </c>
      <c r="B24" s="98" t="s">
        <v>9</v>
      </c>
      <c r="C24" s="112">
        <f>EOD_Credit_NP!D17</f>
        <v>7</v>
      </c>
      <c r="D24" s="113">
        <f>EOD_Credit_NP!E17</f>
        <v>5108.3999999999996</v>
      </c>
      <c r="E24" s="112">
        <f>EOD_Credit_NP!F17</f>
        <v>4</v>
      </c>
      <c r="F24" s="113">
        <f>EOD_Credit_NP!G17</f>
        <v>2833.1</v>
      </c>
      <c r="G24" s="112">
        <f>EOD_Credit_NP!H17</f>
        <v>5</v>
      </c>
      <c r="H24" s="113">
        <f>EOD_Credit_NP!I17</f>
        <v>3590.8</v>
      </c>
      <c r="I24" s="112">
        <f>EOD_Credit_NP!J17</f>
        <v>7</v>
      </c>
      <c r="J24" s="113">
        <f>EOD_Credit_NP!K17</f>
        <v>5540.1</v>
      </c>
      <c r="K24" s="112">
        <f>EOD_Credit_NP!L17</f>
        <v>6</v>
      </c>
      <c r="L24" s="113">
        <f>EOD_Credit_NP!M17</f>
        <v>3671.6</v>
      </c>
      <c r="M24" s="112">
        <f>EOD_Credit_NP!N17</f>
        <v>4</v>
      </c>
      <c r="N24" s="113">
        <f>EOD_Credit_NP!O17</f>
        <v>2155.3000000000002</v>
      </c>
      <c r="O24" s="112">
        <f>EOD_Credit_NP!P17</f>
        <v>3</v>
      </c>
      <c r="P24" s="113">
        <f>EOD_Credit_NP!Q17</f>
        <v>1300</v>
      </c>
      <c r="Q24" s="112">
        <f>EOD_Credit_NP!R17</f>
        <v>4</v>
      </c>
      <c r="R24" s="113">
        <f>EOD_Credit_NP!S17</f>
        <v>2181.8000000000002</v>
      </c>
      <c r="S24" s="112">
        <f>EOD_Credit_NP!T17</f>
        <v>2</v>
      </c>
      <c r="T24" s="113">
        <f>EOD_Credit_NP!U17</f>
        <v>1498.5</v>
      </c>
      <c r="U24" s="112">
        <f>EOD_Credit_NP!V17</f>
        <v>9</v>
      </c>
      <c r="V24" s="113">
        <f>EOD_Credit_NP!W17</f>
        <v>4564.3</v>
      </c>
      <c r="W24" s="112">
        <f>EOD_Credit_NP!X17</f>
        <v>9</v>
      </c>
      <c r="X24" s="113">
        <f>EOD_Credit_NP!Y17</f>
        <v>6880</v>
      </c>
      <c r="Y24" s="112">
        <f>EOD_Credit_NP!Z17</f>
        <v>9</v>
      </c>
      <c r="Z24" s="113">
        <f>EOD_Credit_NP!AA17</f>
        <v>4500</v>
      </c>
      <c r="AA24" s="112">
        <f>EOD_Credit_NP!AB17</f>
        <v>8</v>
      </c>
      <c r="AB24" s="113">
        <f>EOD_Credit_NP!AC17</f>
        <v>4328.3999999999996</v>
      </c>
      <c r="AC24" s="112">
        <f>EOD_Credit_NP!AD17</f>
        <v>2</v>
      </c>
      <c r="AD24" s="113">
        <f>EOD_Credit_NP!AE17</f>
        <v>800</v>
      </c>
      <c r="AE24" s="112">
        <f>EOD_Credit_NP!AF17</f>
        <v>7</v>
      </c>
      <c r="AF24" s="113">
        <f>EOD_Credit_NP!AG17</f>
        <v>4904.8</v>
      </c>
      <c r="AG24" s="112">
        <f>EOD_Credit_NP!AH17</f>
        <v>6</v>
      </c>
      <c r="AH24" s="113">
        <f>EOD_Credit_NP!AI17</f>
        <v>3393.1</v>
      </c>
      <c r="AI24" s="112">
        <f>EOD_Credit_NP!AJ17</f>
        <v>4</v>
      </c>
      <c r="AJ24" s="113">
        <f>EOD_Credit_NP!AK17</f>
        <v>2575.4</v>
      </c>
      <c r="AK24" s="112">
        <f>EOD_Credit_NP!AL17</f>
        <v>7</v>
      </c>
      <c r="AL24" s="113">
        <f>EOD_Credit_NP!AM17</f>
        <v>5038.1000000000004</v>
      </c>
      <c r="AM24" s="112">
        <f>EOD_Credit_NP!AN17</f>
        <v>11</v>
      </c>
      <c r="AN24" s="113">
        <f>EOD_Credit_NP!AO17</f>
        <v>4546.2</v>
      </c>
      <c r="AO24" s="112">
        <f>EOD_Credit_NP!AP17</f>
        <v>3</v>
      </c>
      <c r="AP24" s="113">
        <f>EOD_Credit_NP!AQ17</f>
        <v>1866.2</v>
      </c>
      <c r="AQ24" s="112">
        <f>EOD_Credit_NP!AR17</f>
        <v>5</v>
      </c>
      <c r="AR24" s="113">
        <f>EOD_Credit_NP!AS17</f>
        <v>2823</v>
      </c>
      <c r="AS24" s="112">
        <f>EOD_Credit_NP!AT17</f>
        <v>8</v>
      </c>
      <c r="AT24" s="113">
        <f>EOD_Credit_NP!AU17</f>
        <v>5404.4</v>
      </c>
      <c r="AU24" s="112">
        <f>EOD_Credit_NP!AV17</f>
        <v>3</v>
      </c>
      <c r="AV24" s="113">
        <f>EOD_Credit_NP!AW17</f>
        <v>2781.7</v>
      </c>
      <c r="AW24" s="112">
        <f>EOD_Credit_NP!AX17</f>
        <v>5</v>
      </c>
      <c r="AX24" s="113">
        <f>EOD_Credit_NP!AY17</f>
        <v>1704.1</v>
      </c>
      <c r="AY24" s="112">
        <f>EOD_Credit_NP!AZ17</f>
        <v>4</v>
      </c>
      <c r="AZ24" s="113">
        <f>EOD_Credit_NP!BA17</f>
        <v>2801.9</v>
      </c>
      <c r="BA24" s="112">
        <f>EOD_Credit_NP!BB17</f>
        <v>4</v>
      </c>
      <c r="BB24" s="113">
        <f>EOD_Credit_NP!BC17</f>
        <v>2961.3</v>
      </c>
      <c r="BC24" s="112">
        <f>EOD_Credit_NP!BD17</f>
        <v>5</v>
      </c>
      <c r="BD24" s="113">
        <f>EOD_Credit_NP!BE17</f>
        <v>3565.9</v>
      </c>
      <c r="BE24" s="112">
        <f>EOD_Credit_NP!BF17</f>
        <v>1</v>
      </c>
      <c r="BF24" s="113">
        <f>EOD_Credit_NP!BG17</f>
        <v>500</v>
      </c>
      <c r="BG24" s="112">
        <f>EOD_Credit_NP!BH17</f>
        <v>7</v>
      </c>
      <c r="BH24" s="113">
        <f>EOD_Credit_NP!BI17</f>
        <v>3424.4</v>
      </c>
      <c r="BI24" s="112">
        <f>EOD_Credit_NP!BJ17</f>
        <v>4</v>
      </c>
      <c r="BJ24" s="113">
        <f>EOD_Credit_NP!BK17</f>
        <v>2213.1</v>
      </c>
      <c r="BK24" s="112">
        <f>EOD_Credit_NP!BL17</f>
        <v>4</v>
      </c>
      <c r="BL24" s="113">
        <f>EOD_Credit_NP!BM17</f>
        <v>2145.9</v>
      </c>
      <c r="BM24" s="114" cm="1">
        <f t="array" ref="BM24">SUMPRODUCT((MOD(COLUMN(C24:BL24)-COLUMN(C24),2)=0)*C24:BL24)</f>
        <v>167</v>
      </c>
      <c r="BN24" s="113" cm="1">
        <f t="array" ref="BN24">SUMPRODUCT((MOD(COLUMN(D24:BM24)-COLUMN(D24),2)=0)*D24:BM24)</f>
        <v>101601.79999999997</v>
      </c>
      <c r="CA24" s="83"/>
      <c r="CB24" s="83"/>
      <c r="CC24" s="83"/>
      <c r="CD24" s="83"/>
      <c r="CE24" s="83"/>
      <c r="CF24" s="83"/>
      <c r="CG24" s="83"/>
      <c r="CH24" s="83"/>
      <c r="CI24" s="83"/>
      <c r="CJ24" s="83"/>
      <c r="CK24" s="83"/>
      <c r="CL24" s="83"/>
      <c r="CM24" s="83"/>
      <c r="CN24" s="83"/>
      <c r="CO24" s="83"/>
      <c r="CP24" s="83"/>
    </row>
    <row r="25" spans="1:94" x14ac:dyDescent="0.25">
      <c r="A25" s="79" t="s">
        <v>16</v>
      </c>
      <c r="B25" s="98" t="s">
        <v>9</v>
      </c>
      <c r="C25" s="112">
        <f>EOD_Credit_NP!D18</f>
        <v>31</v>
      </c>
      <c r="D25" s="113">
        <f>EOD_Credit_NP!E18</f>
        <v>21600.2</v>
      </c>
      <c r="E25" s="112">
        <f>EOD_Credit_NP!F18</f>
        <v>28</v>
      </c>
      <c r="F25" s="113">
        <f>EOD_Credit_NP!G18</f>
        <v>14870.9</v>
      </c>
      <c r="G25" s="112">
        <f>EOD_Credit_NP!H18</f>
        <v>37</v>
      </c>
      <c r="H25" s="113">
        <f>EOD_Credit_NP!I18</f>
        <v>17823.7</v>
      </c>
      <c r="I25" s="112">
        <f>EOD_Credit_NP!J18</f>
        <v>41</v>
      </c>
      <c r="J25" s="113">
        <f>EOD_Credit_NP!K18</f>
        <v>24111.4</v>
      </c>
      <c r="K25" s="112">
        <f>EOD_Credit_NP!L18</f>
        <v>43</v>
      </c>
      <c r="L25" s="113">
        <f>EOD_Credit_NP!M18</f>
        <v>22335.1</v>
      </c>
      <c r="M25" s="112">
        <f>EOD_Credit_NP!N18</f>
        <v>38</v>
      </c>
      <c r="N25" s="113">
        <f>EOD_Credit_NP!O18</f>
        <v>20309.5</v>
      </c>
      <c r="O25" s="112">
        <f>EOD_Credit_NP!P18</f>
        <v>26</v>
      </c>
      <c r="P25" s="113">
        <f>EOD_Credit_NP!Q18</f>
        <v>13305.8</v>
      </c>
      <c r="Q25" s="112">
        <f>EOD_Credit_NP!R18</f>
        <v>35</v>
      </c>
      <c r="R25" s="113">
        <f>EOD_Credit_NP!S18</f>
        <v>20564.2</v>
      </c>
      <c r="S25" s="112">
        <f>EOD_Credit_NP!T18</f>
        <v>23</v>
      </c>
      <c r="T25" s="113">
        <f>EOD_Credit_NP!U18</f>
        <v>13006</v>
      </c>
      <c r="U25" s="112">
        <f>EOD_Credit_NP!V18</f>
        <v>33</v>
      </c>
      <c r="V25" s="113">
        <f>EOD_Credit_NP!W18</f>
        <v>17811.900000000001</v>
      </c>
      <c r="W25" s="112">
        <f>EOD_Credit_NP!X18</f>
        <v>41</v>
      </c>
      <c r="X25" s="113">
        <f>EOD_Credit_NP!Y18</f>
        <v>26287.599999999999</v>
      </c>
      <c r="Y25" s="112">
        <f>EOD_Credit_NP!Z18</f>
        <v>39</v>
      </c>
      <c r="Z25" s="113">
        <f>EOD_Credit_NP!AA18</f>
        <v>23116.2</v>
      </c>
      <c r="AA25" s="112">
        <f>EOD_Credit_NP!AB18</f>
        <v>38</v>
      </c>
      <c r="AB25" s="113">
        <f>EOD_Credit_NP!AC18</f>
        <v>18369.400000000001</v>
      </c>
      <c r="AC25" s="112">
        <f>EOD_Credit_NP!AD18</f>
        <v>28</v>
      </c>
      <c r="AD25" s="113">
        <f>EOD_Credit_NP!AE18</f>
        <v>15213.8</v>
      </c>
      <c r="AE25" s="112">
        <f>EOD_Credit_NP!AF18</f>
        <v>37</v>
      </c>
      <c r="AF25" s="113">
        <f>EOD_Credit_NP!AG18</f>
        <v>24514.799999999999</v>
      </c>
      <c r="AG25" s="112">
        <f>EOD_Credit_NP!AH18</f>
        <v>26</v>
      </c>
      <c r="AH25" s="113">
        <f>EOD_Credit_NP!AI18</f>
        <v>12160</v>
      </c>
      <c r="AI25" s="112">
        <f>EOD_Credit_NP!AJ18</f>
        <v>54</v>
      </c>
      <c r="AJ25" s="113">
        <f>EOD_Credit_NP!AK18</f>
        <v>31995.3</v>
      </c>
      <c r="AK25" s="112">
        <f>EOD_Credit_NP!AL18</f>
        <v>37</v>
      </c>
      <c r="AL25" s="113">
        <f>EOD_Credit_NP!AM18</f>
        <v>23248.9</v>
      </c>
      <c r="AM25" s="112">
        <f>EOD_Credit_NP!AN18</f>
        <v>45</v>
      </c>
      <c r="AN25" s="113">
        <f>EOD_Credit_NP!AO18</f>
        <v>24849.3</v>
      </c>
      <c r="AO25" s="112">
        <f>EOD_Credit_NP!AP18</f>
        <v>8</v>
      </c>
      <c r="AP25" s="113">
        <f>EOD_Credit_NP!AQ18</f>
        <v>4454.1000000000004</v>
      </c>
      <c r="AQ25" s="112">
        <f>EOD_Credit_NP!AR18</f>
        <v>24</v>
      </c>
      <c r="AR25" s="113">
        <f>EOD_Credit_NP!AS18</f>
        <v>13890.6</v>
      </c>
      <c r="AS25" s="112">
        <f>EOD_Credit_NP!AT18</f>
        <v>35</v>
      </c>
      <c r="AT25" s="113">
        <f>EOD_Credit_NP!AU18</f>
        <v>19400.900000000001</v>
      </c>
      <c r="AU25" s="112">
        <f>EOD_Credit_NP!AV18</f>
        <v>23</v>
      </c>
      <c r="AV25" s="113">
        <f>EOD_Credit_NP!AW18</f>
        <v>10276.299999999999</v>
      </c>
      <c r="AW25" s="112">
        <f>EOD_Credit_NP!AX18</f>
        <v>45</v>
      </c>
      <c r="AX25" s="113">
        <f>EOD_Credit_NP!AY18</f>
        <v>22481.200000000001</v>
      </c>
      <c r="AY25" s="112">
        <f>EOD_Credit_NP!AZ18</f>
        <v>38</v>
      </c>
      <c r="AZ25" s="113">
        <f>EOD_Credit_NP!BA18</f>
        <v>22038.7</v>
      </c>
      <c r="BA25" s="112">
        <f>EOD_Credit_NP!BB18</f>
        <v>38</v>
      </c>
      <c r="BB25" s="113">
        <f>EOD_Credit_NP!BC18</f>
        <v>19460.2</v>
      </c>
      <c r="BC25" s="112">
        <f>EOD_Credit_NP!BD18</f>
        <v>39</v>
      </c>
      <c r="BD25" s="113">
        <f>EOD_Credit_NP!BE18</f>
        <v>17959.7</v>
      </c>
      <c r="BE25" s="112">
        <f>EOD_Credit_NP!BF18</f>
        <v>26</v>
      </c>
      <c r="BF25" s="113">
        <f>EOD_Credit_NP!BG18</f>
        <v>14685.1</v>
      </c>
      <c r="BG25" s="112">
        <f>EOD_Credit_NP!BH18</f>
        <v>39</v>
      </c>
      <c r="BH25" s="113">
        <f>EOD_Credit_NP!BI18</f>
        <v>27297.7</v>
      </c>
      <c r="BI25" s="112">
        <f>EOD_Credit_NP!BJ18</f>
        <v>30</v>
      </c>
      <c r="BJ25" s="113">
        <f>EOD_Credit_NP!BK18</f>
        <v>14713.3</v>
      </c>
      <c r="BK25" s="112">
        <f>EOD_Credit_NP!BL18</f>
        <v>53</v>
      </c>
      <c r="BL25" s="113">
        <f>EOD_Credit_NP!BM18</f>
        <v>29097.3</v>
      </c>
      <c r="BM25" s="114" cm="1">
        <f t="array" ref="BM25">SUMPRODUCT((MOD(COLUMN(C25:BL25)-COLUMN(C25),2)=0)*C25:BL25)</f>
        <v>1078</v>
      </c>
      <c r="BN25" s="113" cm="1">
        <f t="array" ref="BN25">SUMPRODUCT((MOD(COLUMN(D25:BM25)-COLUMN(D25),2)=0)*D25:BM25)</f>
        <v>601249.10000000009</v>
      </c>
      <c r="CA25" s="83"/>
      <c r="CB25" s="83"/>
      <c r="CC25" s="83"/>
      <c r="CD25" s="83"/>
      <c r="CE25" s="83"/>
      <c r="CF25" s="83"/>
      <c r="CG25" s="83"/>
      <c r="CH25" s="83"/>
      <c r="CI25" s="83"/>
      <c r="CJ25" s="83"/>
      <c r="CK25" s="83"/>
      <c r="CL25" s="83"/>
      <c r="CM25" s="83"/>
      <c r="CN25" s="83"/>
      <c r="CO25" s="83"/>
      <c r="CP25" s="83"/>
    </row>
    <row r="26" spans="1:94" x14ac:dyDescent="0.25">
      <c r="A26" s="100" t="s">
        <v>22</v>
      </c>
      <c r="B26" s="101"/>
      <c r="C26" s="115">
        <f>SUM(C20:C25)</f>
        <v>65</v>
      </c>
      <c r="D26" s="116">
        <f>SUM(D20:D25)</f>
        <v>40951.199999999997</v>
      </c>
      <c r="E26" s="115">
        <f t="shared" ref="E26:BL26" si="3">SUM(E20:E25)</f>
        <v>45</v>
      </c>
      <c r="F26" s="116">
        <f t="shared" si="3"/>
        <v>27622</v>
      </c>
      <c r="G26" s="115">
        <f t="shared" si="3"/>
        <v>68</v>
      </c>
      <c r="H26" s="116">
        <f t="shared" si="3"/>
        <v>35635.5</v>
      </c>
      <c r="I26" s="115">
        <f t="shared" si="3"/>
        <v>75</v>
      </c>
      <c r="J26" s="116">
        <f t="shared" si="3"/>
        <v>45392.3</v>
      </c>
      <c r="K26" s="115">
        <f t="shared" si="3"/>
        <v>78</v>
      </c>
      <c r="L26" s="116">
        <f t="shared" si="3"/>
        <v>42376.7</v>
      </c>
      <c r="M26" s="115">
        <f t="shared" si="3"/>
        <v>69</v>
      </c>
      <c r="N26" s="116">
        <f t="shared" si="3"/>
        <v>37355.600000000006</v>
      </c>
      <c r="O26" s="115">
        <f t="shared" si="3"/>
        <v>41</v>
      </c>
      <c r="P26" s="116">
        <f t="shared" si="3"/>
        <v>19967.3</v>
      </c>
      <c r="Q26" s="115">
        <f t="shared" si="3"/>
        <v>73</v>
      </c>
      <c r="R26" s="116">
        <f t="shared" si="3"/>
        <v>45165</v>
      </c>
      <c r="S26" s="115">
        <f t="shared" si="3"/>
        <v>38</v>
      </c>
      <c r="T26" s="116">
        <f t="shared" si="3"/>
        <v>21304.5</v>
      </c>
      <c r="U26" s="115">
        <f t="shared" si="3"/>
        <v>73</v>
      </c>
      <c r="V26" s="116">
        <f t="shared" si="3"/>
        <v>38965.699999999997</v>
      </c>
      <c r="W26" s="115">
        <f t="shared" si="3"/>
        <v>72</v>
      </c>
      <c r="X26" s="116">
        <f t="shared" si="3"/>
        <v>46681.5</v>
      </c>
      <c r="Y26" s="115">
        <f t="shared" si="3"/>
        <v>80</v>
      </c>
      <c r="Z26" s="116">
        <f t="shared" si="3"/>
        <v>43244.9</v>
      </c>
      <c r="AA26" s="115">
        <f t="shared" si="3"/>
        <v>64</v>
      </c>
      <c r="AB26" s="116">
        <f t="shared" si="3"/>
        <v>32256.800000000003</v>
      </c>
      <c r="AC26" s="115">
        <f t="shared" si="3"/>
        <v>38</v>
      </c>
      <c r="AD26" s="116">
        <f t="shared" si="3"/>
        <v>19094.099999999999</v>
      </c>
      <c r="AE26" s="115">
        <f t="shared" si="3"/>
        <v>71</v>
      </c>
      <c r="AF26" s="116">
        <f t="shared" si="3"/>
        <v>46548.399999999994</v>
      </c>
      <c r="AG26" s="115">
        <f t="shared" si="3"/>
        <v>51</v>
      </c>
      <c r="AH26" s="116">
        <f t="shared" si="3"/>
        <v>27662.3</v>
      </c>
      <c r="AI26" s="115">
        <f t="shared" si="3"/>
        <v>82</v>
      </c>
      <c r="AJ26" s="116">
        <f t="shared" si="3"/>
        <v>45695.199999999997</v>
      </c>
      <c r="AK26" s="115">
        <f t="shared" si="3"/>
        <v>70</v>
      </c>
      <c r="AL26" s="116">
        <f t="shared" si="3"/>
        <v>42728.200000000004</v>
      </c>
      <c r="AM26" s="115">
        <f t="shared" si="3"/>
        <v>84</v>
      </c>
      <c r="AN26" s="116">
        <f t="shared" si="3"/>
        <v>44738</v>
      </c>
      <c r="AO26" s="115">
        <f t="shared" si="3"/>
        <v>12</v>
      </c>
      <c r="AP26" s="116">
        <f t="shared" si="3"/>
        <v>6820.3</v>
      </c>
      <c r="AQ26" s="115">
        <f t="shared" si="3"/>
        <v>43</v>
      </c>
      <c r="AR26" s="116">
        <f t="shared" si="3"/>
        <v>25290.400000000001</v>
      </c>
      <c r="AS26" s="115">
        <f t="shared" si="3"/>
        <v>66</v>
      </c>
      <c r="AT26" s="116">
        <f t="shared" si="3"/>
        <v>39723.9</v>
      </c>
      <c r="AU26" s="115">
        <f t="shared" si="3"/>
        <v>45</v>
      </c>
      <c r="AV26" s="116">
        <f t="shared" si="3"/>
        <v>21473.899999999998</v>
      </c>
      <c r="AW26" s="115">
        <f t="shared" si="3"/>
        <v>75</v>
      </c>
      <c r="AX26" s="116">
        <f t="shared" si="3"/>
        <v>38510</v>
      </c>
      <c r="AY26" s="115">
        <f t="shared" si="3"/>
        <v>62</v>
      </c>
      <c r="AZ26" s="116">
        <f t="shared" si="3"/>
        <v>37013.800000000003</v>
      </c>
      <c r="BA26" s="115">
        <f t="shared" si="3"/>
        <v>73</v>
      </c>
      <c r="BB26" s="116">
        <f t="shared" si="3"/>
        <v>34766.199999999997</v>
      </c>
      <c r="BC26" s="115">
        <f t="shared" si="3"/>
        <v>64</v>
      </c>
      <c r="BD26" s="116">
        <f t="shared" si="3"/>
        <v>29972.5</v>
      </c>
      <c r="BE26" s="115">
        <f t="shared" si="3"/>
        <v>46</v>
      </c>
      <c r="BF26" s="116">
        <f t="shared" si="3"/>
        <v>25286</v>
      </c>
      <c r="BG26" s="115">
        <f t="shared" si="3"/>
        <v>67</v>
      </c>
      <c r="BH26" s="116">
        <f t="shared" si="3"/>
        <v>45463.3</v>
      </c>
      <c r="BI26" s="115">
        <f t="shared" si="3"/>
        <v>47</v>
      </c>
      <c r="BJ26" s="116">
        <f t="shared" si="3"/>
        <v>24833.4</v>
      </c>
      <c r="BK26" s="115">
        <f t="shared" si="3"/>
        <v>81</v>
      </c>
      <c r="BL26" s="116">
        <f t="shared" si="3"/>
        <v>43116.9</v>
      </c>
      <c r="BM26" s="117">
        <f t="shared" ref="BM26:BN26" si="4">SUM(BM20:BM25)</f>
        <v>1918</v>
      </c>
      <c r="BN26" s="116">
        <f t="shared" si="4"/>
        <v>1075655.8</v>
      </c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CA26" s="83"/>
      <c r="CB26" s="83"/>
      <c r="CC26" s="83"/>
      <c r="CD26" s="83"/>
      <c r="CE26" s="83"/>
      <c r="CF26" s="83"/>
      <c r="CG26" s="83"/>
      <c r="CH26" s="83"/>
      <c r="CI26" s="83"/>
      <c r="CJ26" s="83"/>
      <c r="CK26" s="83"/>
      <c r="CL26" s="83"/>
      <c r="CM26" s="83"/>
      <c r="CN26" s="83"/>
      <c r="CO26" s="83"/>
      <c r="CP26" s="83"/>
    </row>
    <row r="27" spans="1:94" x14ac:dyDescent="0.25">
      <c r="C27" s="118"/>
      <c r="D27" s="119"/>
      <c r="E27" s="118"/>
      <c r="F27" s="119"/>
      <c r="G27" s="118"/>
      <c r="H27" s="119"/>
      <c r="I27" s="118"/>
      <c r="J27" s="119"/>
      <c r="K27" s="118"/>
      <c r="L27" s="119"/>
      <c r="M27" s="118"/>
      <c r="N27" s="119"/>
      <c r="O27" s="118"/>
      <c r="P27" s="119"/>
      <c r="Q27" s="118"/>
      <c r="R27" s="119"/>
      <c r="S27" s="118"/>
      <c r="T27" s="119"/>
      <c r="U27" s="118"/>
      <c r="V27" s="119"/>
      <c r="W27" s="118"/>
      <c r="X27" s="119"/>
      <c r="Y27" s="118"/>
      <c r="Z27" s="119"/>
      <c r="AA27" s="118"/>
      <c r="AB27" s="119"/>
      <c r="AC27" s="118"/>
      <c r="AD27" s="119"/>
      <c r="AE27" s="118"/>
      <c r="AF27" s="119"/>
      <c r="AG27" s="118"/>
      <c r="AH27" s="119"/>
      <c r="AI27" s="118"/>
      <c r="AJ27" s="119"/>
      <c r="AK27" s="118"/>
      <c r="AL27" s="119"/>
      <c r="AM27" s="118"/>
      <c r="AN27" s="119"/>
      <c r="AO27" s="118"/>
      <c r="AP27" s="119"/>
      <c r="AQ27" s="118"/>
      <c r="AR27" s="119"/>
      <c r="AS27" s="118"/>
      <c r="AT27" s="119"/>
      <c r="AU27" s="118"/>
      <c r="AV27" s="119"/>
      <c r="AW27" s="118"/>
      <c r="AX27" s="119"/>
      <c r="AY27" s="118"/>
      <c r="AZ27" s="119"/>
      <c r="BA27" s="118"/>
      <c r="BB27" s="119"/>
      <c r="BC27" s="118"/>
      <c r="BD27" s="119"/>
      <c r="BE27" s="118"/>
      <c r="BF27" s="119"/>
      <c r="BG27" s="118"/>
      <c r="BH27" s="119"/>
      <c r="BI27" s="118"/>
      <c r="BJ27" s="119"/>
      <c r="BK27" s="118"/>
      <c r="BL27" s="119"/>
      <c r="BM27" s="120"/>
      <c r="BN27" s="119"/>
      <c r="CA27" s="83"/>
      <c r="CB27" s="83"/>
      <c r="CC27" s="83"/>
      <c r="CD27" s="83"/>
      <c r="CE27" s="83"/>
      <c r="CF27" s="83"/>
      <c r="CG27" s="83"/>
      <c r="CH27" s="83"/>
      <c r="CI27" s="83"/>
      <c r="CJ27" s="83"/>
      <c r="CK27" s="83"/>
      <c r="CL27" s="83"/>
      <c r="CM27" s="83"/>
      <c r="CN27" s="83"/>
      <c r="CO27" s="83"/>
      <c r="CP27" s="83"/>
    </row>
    <row r="28" spans="1:94" x14ac:dyDescent="0.25">
      <c r="A28" s="92" t="s">
        <v>23</v>
      </c>
      <c r="B28" s="93"/>
      <c r="C28" s="121"/>
      <c r="D28" s="122"/>
      <c r="E28" s="121"/>
      <c r="F28" s="122"/>
      <c r="G28" s="121"/>
      <c r="H28" s="122"/>
      <c r="I28" s="121"/>
      <c r="J28" s="122"/>
      <c r="K28" s="121"/>
      <c r="L28" s="122"/>
      <c r="M28" s="121"/>
      <c r="N28" s="122"/>
      <c r="O28" s="121"/>
      <c r="P28" s="122"/>
      <c r="Q28" s="121"/>
      <c r="R28" s="122"/>
      <c r="S28" s="121"/>
      <c r="T28" s="122"/>
      <c r="U28" s="121"/>
      <c r="V28" s="122"/>
      <c r="W28" s="121"/>
      <c r="X28" s="122"/>
      <c r="Y28" s="121"/>
      <c r="Z28" s="122"/>
      <c r="AA28" s="121"/>
      <c r="AB28" s="122"/>
      <c r="AC28" s="121"/>
      <c r="AD28" s="122"/>
      <c r="AE28" s="121"/>
      <c r="AF28" s="122"/>
      <c r="AG28" s="121"/>
      <c r="AH28" s="122"/>
      <c r="AI28" s="121"/>
      <c r="AJ28" s="122"/>
      <c r="AK28" s="121"/>
      <c r="AL28" s="122"/>
      <c r="AM28" s="121"/>
      <c r="AN28" s="122"/>
      <c r="AO28" s="121"/>
      <c r="AP28" s="122"/>
      <c r="AQ28" s="121"/>
      <c r="AR28" s="122"/>
      <c r="AS28" s="121"/>
      <c r="AT28" s="122"/>
      <c r="AU28" s="121"/>
      <c r="AV28" s="122"/>
      <c r="AW28" s="121"/>
      <c r="AX28" s="122"/>
      <c r="AY28" s="121"/>
      <c r="AZ28" s="122"/>
      <c r="BA28" s="121"/>
      <c r="BB28" s="122"/>
      <c r="BC28" s="121"/>
      <c r="BD28" s="122"/>
      <c r="BE28" s="121"/>
      <c r="BF28" s="122"/>
      <c r="BG28" s="121"/>
      <c r="BH28" s="122"/>
      <c r="BI28" s="121"/>
      <c r="BJ28" s="122"/>
      <c r="BK28" s="121"/>
      <c r="BL28" s="122"/>
      <c r="BM28" s="123"/>
      <c r="BN28" s="122"/>
      <c r="CA28" s="83"/>
      <c r="CB28" s="83"/>
      <c r="CC28" s="83"/>
      <c r="CD28" s="83"/>
      <c r="CE28" s="83"/>
      <c r="CF28" s="83"/>
      <c r="CG28" s="83"/>
      <c r="CH28" s="83"/>
      <c r="CI28" s="83"/>
      <c r="CJ28" s="83"/>
      <c r="CK28" s="83"/>
      <c r="CL28" s="83"/>
      <c r="CM28" s="83"/>
      <c r="CN28" s="83"/>
      <c r="CO28" s="83"/>
      <c r="CP28" s="83"/>
    </row>
    <row r="29" spans="1:94" x14ac:dyDescent="0.25">
      <c r="A29" s="79" t="s">
        <v>24</v>
      </c>
      <c r="B29" s="98" t="s">
        <v>9</v>
      </c>
      <c r="C29" s="112">
        <f>EOD_Credit_NP!D24</f>
        <v>0</v>
      </c>
      <c r="D29" s="113">
        <f>EOD_Credit_NP!E24</f>
        <v>0</v>
      </c>
      <c r="E29" s="112">
        <f>EOD_Credit_NP!F24</f>
        <v>1</v>
      </c>
      <c r="F29" s="113">
        <f>EOD_Credit_NP!G24</f>
        <v>67</v>
      </c>
      <c r="G29" s="112">
        <f>EOD_Credit_NP!H24</f>
        <v>0</v>
      </c>
      <c r="H29" s="113">
        <f>EOD_Credit_NP!I24</f>
        <v>0</v>
      </c>
      <c r="I29" s="112">
        <f>EOD_Credit_NP!J24</f>
        <v>0</v>
      </c>
      <c r="J29" s="113">
        <f>EOD_Credit_NP!K24</f>
        <v>0</v>
      </c>
      <c r="K29" s="112">
        <f>EOD_Credit_NP!L24</f>
        <v>1</v>
      </c>
      <c r="L29" s="113">
        <f>EOD_Credit_NP!M24</f>
        <v>58.7</v>
      </c>
      <c r="M29" s="112">
        <f>EOD_Credit_NP!N24</f>
        <v>4</v>
      </c>
      <c r="N29" s="113">
        <f>EOD_Credit_NP!O24</f>
        <v>1598.6</v>
      </c>
      <c r="O29" s="112">
        <f>EOD_Credit_NP!P24</f>
        <v>0</v>
      </c>
      <c r="P29" s="113">
        <f>EOD_Credit_NP!Q24</f>
        <v>0</v>
      </c>
      <c r="Q29" s="112">
        <f>EOD_Credit_NP!R24</f>
        <v>2</v>
      </c>
      <c r="R29" s="113">
        <f>EOD_Credit_NP!S24</f>
        <v>1579.2</v>
      </c>
      <c r="S29" s="112">
        <f>EOD_Credit_NP!T24</f>
        <v>0</v>
      </c>
      <c r="T29" s="113">
        <f>EOD_Credit_NP!U24</f>
        <v>0</v>
      </c>
      <c r="U29" s="112">
        <f>EOD_Credit_NP!V24</f>
        <v>0</v>
      </c>
      <c r="V29" s="113">
        <f>EOD_Credit_NP!W24</f>
        <v>0</v>
      </c>
      <c r="W29" s="112">
        <f>EOD_Credit_NP!X24</f>
        <v>1</v>
      </c>
      <c r="X29" s="113">
        <f>EOD_Credit_NP!Y24</f>
        <v>1000</v>
      </c>
      <c r="Y29" s="112">
        <f>EOD_Credit_NP!Z24</f>
        <v>0</v>
      </c>
      <c r="Z29" s="113">
        <f>EOD_Credit_NP!AA24</f>
        <v>0</v>
      </c>
      <c r="AA29" s="112">
        <f>EOD_Credit_NP!AB24</f>
        <v>2</v>
      </c>
      <c r="AB29" s="113">
        <f>EOD_Credit_NP!AC24</f>
        <v>571.1</v>
      </c>
      <c r="AC29" s="112">
        <f>EOD_Credit_NP!AD24</f>
        <v>0</v>
      </c>
      <c r="AD29" s="113">
        <f>EOD_Credit_NP!AE24</f>
        <v>0</v>
      </c>
      <c r="AE29" s="112">
        <f>EOD_Credit_NP!AF24</f>
        <v>2</v>
      </c>
      <c r="AF29" s="113">
        <f>EOD_Credit_NP!AG24</f>
        <v>647.1</v>
      </c>
      <c r="AG29" s="112">
        <f>EOD_Credit_NP!AH24</f>
        <v>2</v>
      </c>
      <c r="AH29" s="113">
        <f>EOD_Credit_NP!AI24</f>
        <v>1250</v>
      </c>
      <c r="AI29" s="112">
        <f>EOD_Credit_NP!AJ24</f>
        <v>1</v>
      </c>
      <c r="AJ29" s="113">
        <f>EOD_Credit_NP!AK24</f>
        <v>57.1</v>
      </c>
      <c r="AK29" s="112">
        <f>EOD_Credit_NP!AL24</f>
        <v>2</v>
      </c>
      <c r="AL29" s="113">
        <f>EOD_Credit_NP!AM24</f>
        <v>1442.7</v>
      </c>
      <c r="AM29" s="112">
        <f>EOD_Credit_NP!AN24</f>
        <v>0</v>
      </c>
      <c r="AN29" s="113">
        <f>EOD_Credit_NP!AO24</f>
        <v>0</v>
      </c>
      <c r="AO29" s="112">
        <f>EOD_Credit_NP!AP24</f>
        <v>0</v>
      </c>
      <c r="AP29" s="113">
        <f>EOD_Credit_NP!AQ24</f>
        <v>0</v>
      </c>
      <c r="AQ29" s="112">
        <f>EOD_Credit_NP!AR24</f>
        <v>0</v>
      </c>
      <c r="AR29" s="113">
        <f>EOD_Credit_NP!AS24</f>
        <v>0</v>
      </c>
      <c r="AS29" s="112">
        <f>EOD_Credit_NP!AT24</f>
        <v>0</v>
      </c>
      <c r="AT29" s="113">
        <f>EOD_Credit_NP!AU24</f>
        <v>0</v>
      </c>
      <c r="AU29" s="112">
        <f>EOD_Credit_NP!AV24</f>
        <v>0</v>
      </c>
      <c r="AV29" s="113">
        <f>EOD_Credit_NP!AW24</f>
        <v>0</v>
      </c>
      <c r="AW29" s="112">
        <f>EOD_Credit_NP!AX24</f>
        <v>0</v>
      </c>
      <c r="AX29" s="113">
        <f>EOD_Credit_NP!AY24</f>
        <v>0</v>
      </c>
      <c r="AY29" s="112">
        <f>EOD_Credit_NP!AZ24</f>
        <v>0</v>
      </c>
      <c r="AZ29" s="113">
        <f>EOD_Credit_NP!BA24</f>
        <v>0</v>
      </c>
      <c r="BA29" s="112">
        <f>EOD_Credit_NP!BB24</f>
        <v>0</v>
      </c>
      <c r="BB29" s="113">
        <f>EOD_Credit_NP!BC24</f>
        <v>0</v>
      </c>
      <c r="BC29" s="112">
        <f>EOD_Credit_NP!BD24</f>
        <v>1</v>
      </c>
      <c r="BD29" s="113">
        <f>EOD_Credit_NP!BE24</f>
        <v>250</v>
      </c>
      <c r="BE29" s="112">
        <f>EOD_Credit_NP!BF24</f>
        <v>0</v>
      </c>
      <c r="BF29" s="113">
        <f>EOD_Credit_NP!BG24</f>
        <v>0</v>
      </c>
      <c r="BG29" s="112">
        <f>EOD_Credit_NP!BH24</f>
        <v>0</v>
      </c>
      <c r="BH29" s="113">
        <f>EOD_Credit_NP!BI24</f>
        <v>0</v>
      </c>
      <c r="BI29" s="112">
        <f>EOD_Credit_NP!BJ24</f>
        <v>0</v>
      </c>
      <c r="BJ29" s="113">
        <f>EOD_Credit_NP!BK24</f>
        <v>0</v>
      </c>
      <c r="BK29" s="112">
        <f>EOD_Credit_NP!BL24</f>
        <v>0</v>
      </c>
      <c r="BL29" s="113">
        <f>EOD_Credit_NP!BM24</f>
        <v>0</v>
      </c>
      <c r="BM29" s="114" cm="1">
        <f t="array" ref="BM29">SUMPRODUCT((MOD(COLUMN(C29:BL29)-COLUMN(C29),2)=0)*C29:BL29)</f>
        <v>19</v>
      </c>
      <c r="BN29" s="113" cm="1">
        <f t="array" ref="BN29">SUMPRODUCT((MOD(COLUMN(D29:BM29)-COLUMN(D29),2)=0)*D29:BM29)</f>
        <v>8521.5000000000018</v>
      </c>
      <c r="CA29" s="83"/>
      <c r="CB29" s="83"/>
      <c r="CC29" s="83"/>
      <c r="CD29" s="83"/>
      <c r="CE29" s="83"/>
      <c r="CF29" s="83"/>
      <c r="CG29" s="83"/>
      <c r="CH29" s="83"/>
      <c r="CI29" s="83"/>
      <c r="CJ29" s="83"/>
      <c r="CK29" s="83"/>
      <c r="CL29" s="83"/>
      <c r="CM29" s="83"/>
      <c r="CN29" s="83"/>
      <c r="CO29" s="83"/>
      <c r="CP29" s="83"/>
    </row>
    <row r="30" spans="1:94" x14ac:dyDescent="0.25">
      <c r="A30" s="79" t="s">
        <v>25</v>
      </c>
      <c r="B30" s="98" t="s">
        <v>9</v>
      </c>
      <c r="C30" s="112">
        <f>EOD_Credit_NP!D25</f>
        <v>0</v>
      </c>
      <c r="D30" s="113">
        <f>EOD_Credit_NP!E25</f>
        <v>0</v>
      </c>
      <c r="E30" s="112">
        <f>EOD_Credit_NP!F25</f>
        <v>0</v>
      </c>
      <c r="F30" s="113">
        <f>EOD_Credit_NP!G25</f>
        <v>0</v>
      </c>
      <c r="G30" s="112">
        <f>EOD_Credit_NP!H25</f>
        <v>0</v>
      </c>
      <c r="H30" s="113">
        <f>EOD_Credit_NP!I25</f>
        <v>0</v>
      </c>
      <c r="I30" s="112">
        <f>EOD_Credit_NP!J25</f>
        <v>0</v>
      </c>
      <c r="J30" s="113">
        <f>EOD_Credit_NP!K25</f>
        <v>0</v>
      </c>
      <c r="K30" s="112">
        <f>EOD_Credit_NP!L25</f>
        <v>0</v>
      </c>
      <c r="L30" s="113">
        <f>EOD_Credit_NP!M25</f>
        <v>0</v>
      </c>
      <c r="M30" s="112">
        <f>EOD_Credit_NP!N25</f>
        <v>0</v>
      </c>
      <c r="N30" s="113">
        <f>EOD_Credit_NP!O25</f>
        <v>0</v>
      </c>
      <c r="O30" s="112">
        <f>EOD_Credit_NP!P25</f>
        <v>0</v>
      </c>
      <c r="P30" s="113">
        <f>EOD_Credit_NP!Q25</f>
        <v>0</v>
      </c>
      <c r="Q30" s="112">
        <f>EOD_Credit_NP!R25</f>
        <v>0</v>
      </c>
      <c r="R30" s="113">
        <f>EOD_Credit_NP!S25</f>
        <v>0</v>
      </c>
      <c r="S30" s="112">
        <f>EOD_Credit_NP!T25</f>
        <v>1</v>
      </c>
      <c r="T30" s="113">
        <f>EOD_Credit_NP!U25</f>
        <v>500</v>
      </c>
      <c r="U30" s="112">
        <f>EOD_Credit_NP!V25</f>
        <v>1</v>
      </c>
      <c r="V30" s="113">
        <f>EOD_Credit_NP!W25</f>
        <v>500</v>
      </c>
      <c r="W30" s="112">
        <f>EOD_Credit_NP!X25</f>
        <v>0</v>
      </c>
      <c r="X30" s="113">
        <f>EOD_Credit_NP!Y25</f>
        <v>0</v>
      </c>
      <c r="Y30" s="112">
        <f>EOD_Credit_NP!Z25</f>
        <v>0</v>
      </c>
      <c r="Z30" s="113">
        <f>EOD_Credit_NP!AA25</f>
        <v>0</v>
      </c>
      <c r="AA30" s="112">
        <f>EOD_Credit_NP!AB25</f>
        <v>0</v>
      </c>
      <c r="AB30" s="113">
        <f>EOD_Credit_NP!AC25</f>
        <v>0</v>
      </c>
      <c r="AC30" s="112">
        <f>EOD_Credit_NP!AD25</f>
        <v>0</v>
      </c>
      <c r="AD30" s="113">
        <f>EOD_Credit_NP!AE25</f>
        <v>0</v>
      </c>
      <c r="AE30" s="112">
        <f>EOD_Credit_NP!AF25</f>
        <v>0</v>
      </c>
      <c r="AF30" s="113">
        <f>EOD_Credit_NP!AG25</f>
        <v>0</v>
      </c>
      <c r="AG30" s="112">
        <f>EOD_Credit_NP!AH25</f>
        <v>0</v>
      </c>
      <c r="AH30" s="113">
        <f>EOD_Credit_NP!AI25</f>
        <v>0</v>
      </c>
      <c r="AI30" s="112">
        <f>EOD_Credit_NP!AJ25</f>
        <v>0</v>
      </c>
      <c r="AJ30" s="113">
        <f>EOD_Credit_NP!AK25</f>
        <v>0</v>
      </c>
      <c r="AK30" s="112">
        <f>EOD_Credit_NP!AL25</f>
        <v>0</v>
      </c>
      <c r="AL30" s="113">
        <f>EOD_Credit_NP!AM25</f>
        <v>0</v>
      </c>
      <c r="AM30" s="112">
        <f>EOD_Credit_NP!AN25</f>
        <v>0</v>
      </c>
      <c r="AN30" s="113">
        <f>EOD_Credit_NP!AO25</f>
        <v>0</v>
      </c>
      <c r="AO30" s="112">
        <f>EOD_Credit_NP!AP25</f>
        <v>0</v>
      </c>
      <c r="AP30" s="113">
        <f>EOD_Credit_NP!AQ25</f>
        <v>0</v>
      </c>
      <c r="AQ30" s="112">
        <f>EOD_Credit_NP!AR25</f>
        <v>0</v>
      </c>
      <c r="AR30" s="113">
        <f>EOD_Credit_NP!AS25</f>
        <v>0</v>
      </c>
      <c r="AS30" s="112">
        <f>EOD_Credit_NP!AT25</f>
        <v>1</v>
      </c>
      <c r="AT30" s="113">
        <f>EOD_Credit_NP!AU25</f>
        <v>400</v>
      </c>
      <c r="AU30" s="112">
        <f>EOD_Credit_NP!AV25</f>
        <v>0</v>
      </c>
      <c r="AV30" s="113">
        <f>EOD_Credit_NP!AW25</f>
        <v>0</v>
      </c>
      <c r="AW30" s="112">
        <f>EOD_Credit_NP!AX25</f>
        <v>0</v>
      </c>
      <c r="AX30" s="113">
        <f>EOD_Credit_NP!AY25</f>
        <v>0</v>
      </c>
      <c r="AY30" s="112">
        <f>EOD_Credit_NP!AZ25</f>
        <v>0</v>
      </c>
      <c r="AZ30" s="113">
        <f>EOD_Credit_NP!BA25</f>
        <v>0</v>
      </c>
      <c r="BA30" s="112">
        <f>EOD_Credit_NP!BB25</f>
        <v>0</v>
      </c>
      <c r="BB30" s="113">
        <f>EOD_Credit_NP!BC25</f>
        <v>0</v>
      </c>
      <c r="BC30" s="112">
        <f>EOD_Credit_NP!BD25</f>
        <v>0</v>
      </c>
      <c r="BD30" s="113">
        <f>EOD_Credit_NP!BE25</f>
        <v>0</v>
      </c>
      <c r="BE30" s="112">
        <f>EOD_Credit_NP!BF25</f>
        <v>0</v>
      </c>
      <c r="BF30" s="113">
        <f>EOD_Credit_NP!BG25</f>
        <v>0</v>
      </c>
      <c r="BG30" s="112">
        <f>EOD_Credit_NP!BH25</f>
        <v>0</v>
      </c>
      <c r="BH30" s="113">
        <f>EOD_Credit_NP!BI25</f>
        <v>0</v>
      </c>
      <c r="BI30" s="112">
        <f>EOD_Credit_NP!BJ25</f>
        <v>0</v>
      </c>
      <c r="BJ30" s="113">
        <f>EOD_Credit_NP!BK25</f>
        <v>0</v>
      </c>
      <c r="BK30" s="112">
        <f>EOD_Credit_NP!BL25</f>
        <v>0</v>
      </c>
      <c r="BL30" s="113">
        <f>EOD_Credit_NP!BM25</f>
        <v>0</v>
      </c>
      <c r="BM30" s="114" cm="1">
        <f t="array" ref="BM30">SUMPRODUCT((MOD(COLUMN(C30:BL30)-COLUMN(C30),2)=0)*C30:BL30)</f>
        <v>3</v>
      </c>
      <c r="BN30" s="113" cm="1">
        <f t="array" ref="BN30">SUMPRODUCT((MOD(COLUMN(D30:BM30)-COLUMN(D30),2)=0)*D30:BM30)</f>
        <v>1400</v>
      </c>
      <c r="CA30" s="83"/>
      <c r="CB30" s="83"/>
      <c r="CC30" s="83"/>
      <c r="CD30" s="83"/>
      <c r="CE30" s="83"/>
      <c r="CF30" s="83"/>
      <c r="CG30" s="83"/>
      <c r="CH30" s="83"/>
      <c r="CI30" s="83"/>
      <c r="CJ30" s="83"/>
      <c r="CK30" s="83"/>
      <c r="CL30" s="83"/>
      <c r="CM30" s="83"/>
      <c r="CN30" s="83"/>
      <c r="CO30" s="83"/>
      <c r="CP30" s="83"/>
    </row>
    <row r="31" spans="1:94" x14ac:dyDescent="0.25">
      <c r="A31" s="79" t="s">
        <v>23</v>
      </c>
      <c r="B31" s="98" t="s">
        <v>9</v>
      </c>
      <c r="C31" s="112">
        <f>EOD_Credit_NP!D26</f>
        <v>2</v>
      </c>
      <c r="D31" s="113">
        <f>EOD_Credit_NP!E26</f>
        <v>1400</v>
      </c>
      <c r="E31" s="112">
        <f>EOD_Credit_NP!F26</f>
        <v>1</v>
      </c>
      <c r="F31" s="113">
        <f>EOD_Credit_NP!G26</f>
        <v>383.9</v>
      </c>
      <c r="G31" s="112">
        <f>EOD_Credit_NP!H26</f>
        <v>4</v>
      </c>
      <c r="H31" s="113">
        <f>EOD_Credit_NP!I26</f>
        <v>1943.8</v>
      </c>
      <c r="I31" s="112">
        <f>EOD_Credit_NP!J26</f>
        <v>1</v>
      </c>
      <c r="J31" s="113">
        <f>EOD_Credit_NP!K26</f>
        <v>500</v>
      </c>
      <c r="K31" s="112">
        <f>EOD_Credit_NP!L26</f>
        <v>4</v>
      </c>
      <c r="L31" s="113">
        <f>EOD_Credit_NP!M26</f>
        <v>1700</v>
      </c>
      <c r="M31" s="112">
        <f>EOD_Credit_NP!N26</f>
        <v>2</v>
      </c>
      <c r="N31" s="113">
        <f>EOD_Credit_NP!O26</f>
        <v>1224.2</v>
      </c>
      <c r="O31" s="112">
        <f>EOD_Credit_NP!P26</f>
        <v>0</v>
      </c>
      <c r="P31" s="113">
        <f>EOD_Credit_NP!Q26</f>
        <v>0</v>
      </c>
      <c r="Q31" s="112">
        <f>EOD_Credit_NP!R26</f>
        <v>1</v>
      </c>
      <c r="R31" s="113">
        <f>EOD_Credit_NP!S26</f>
        <v>857</v>
      </c>
      <c r="S31" s="112">
        <f>EOD_Credit_NP!T26</f>
        <v>2</v>
      </c>
      <c r="T31" s="113">
        <f>EOD_Credit_NP!U26</f>
        <v>608.70000000000005</v>
      </c>
      <c r="U31" s="112">
        <f>EOD_Credit_NP!V26</f>
        <v>1</v>
      </c>
      <c r="V31" s="113">
        <f>EOD_Credit_NP!W26</f>
        <v>820</v>
      </c>
      <c r="W31" s="112">
        <f>EOD_Credit_NP!X26</f>
        <v>1</v>
      </c>
      <c r="X31" s="113">
        <f>EOD_Credit_NP!Y26</f>
        <v>624.29999999999995</v>
      </c>
      <c r="Y31" s="112">
        <f>EOD_Credit_NP!Z26</f>
        <v>4</v>
      </c>
      <c r="Z31" s="113">
        <f>EOD_Credit_NP!AA26</f>
        <v>2370.4</v>
      </c>
      <c r="AA31" s="112">
        <f>EOD_Credit_NP!AB26</f>
        <v>1</v>
      </c>
      <c r="AB31" s="113">
        <f>EOD_Credit_NP!AC26</f>
        <v>728.8</v>
      </c>
      <c r="AC31" s="112">
        <f>EOD_Credit_NP!AD26</f>
        <v>1</v>
      </c>
      <c r="AD31" s="113">
        <f>EOD_Credit_NP!AE26</f>
        <v>500</v>
      </c>
      <c r="AE31" s="112">
        <f>EOD_Credit_NP!AF26</f>
        <v>2</v>
      </c>
      <c r="AF31" s="113">
        <f>EOD_Credit_NP!AG26</f>
        <v>800</v>
      </c>
      <c r="AG31" s="112">
        <f>EOD_Credit_NP!AH26</f>
        <v>1</v>
      </c>
      <c r="AH31" s="113">
        <f>EOD_Credit_NP!AI26</f>
        <v>400</v>
      </c>
      <c r="AI31" s="112">
        <f>EOD_Credit_NP!AJ26</f>
        <v>2</v>
      </c>
      <c r="AJ31" s="113">
        <f>EOD_Credit_NP!AK26</f>
        <v>1602.9</v>
      </c>
      <c r="AK31" s="112">
        <f>EOD_Credit_NP!AL26</f>
        <v>1</v>
      </c>
      <c r="AL31" s="113">
        <f>EOD_Credit_NP!AM26</f>
        <v>1313.5</v>
      </c>
      <c r="AM31" s="112">
        <f>EOD_Credit_NP!AN26</f>
        <v>3</v>
      </c>
      <c r="AN31" s="113">
        <f>EOD_Credit_NP!AO26</f>
        <v>1500</v>
      </c>
      <c r="AO31" s="112">
        <f>EOD_Credit_NP!AP26</f>
        <v>1</v>
      </c>
      <c r="AP31" s="113">
        <f>EOD_Credit_NP!AQ26</f>
        <v>597.1</v>
      </c>
      <c r="AQ31" s="112">
        <f>EOD_Credit_NP!AR26</f>
        <v>0</v>
      </c>
      <c r="AR31" s="113">
        <f>EOD_Credit_NP!AS26</f>
        <v>0</v>
      </c>
      <c r="AS31" s="112">
        <f>EOD_Credit_NP!AT26</f>
        <v>8</v>
      </c>
      <c r="AT31" s="113">
        <f>EOD_Credit_NP!AU26</f>
        <v>5269.3</v>
      </c>
      <c r="AU31" s="112">
        <f>EOD_Credit_NP!AV26</f>
        <v>1</v>
      </c>
      <c r="AV31" s="113">
        <f>EOD_Credit_NP!AW26</f>
        <v>1000</v>
      </c>
      <c r="AW31" s="112">
        <f>EOD_Credit_NP!AX26</f>
        <v>3</v>
      </c>
      <c r="AX31" s="113">
        <f>EOD_Credit_NP!AY26</f>
        <v>1140.9000000000001</v>
      </c>
      <c r="AY31" s="112">
        <f>EOD_Credit_NP!AZ26</f>
        <v>3</v>
      </c>
      <c r="AZ31" s="113">
        <f>EOD_Credit_NP!BA26</f>
        <v>1963</v>
      </c>
      <c r="BA31" s="112">
        <f>EOD_Credit_NP!BB26</f>
        <v>3</v>
      </c>
      <c r="BB31" s="113">
        <f>EOD_Credit_NP!BC26</f>
        <v>1500</v>
      </c>
      <c r="BC31" s="112">
        <f>EOD_Credit_NP!BD26</f>
        <v>4</v>
      </c>
      <c r="BD31" s="113">
        <f>EOD_Credit_NP!BE26</f>
        <v>2362.8000000000002</v>
      </c>
      <c r="BE31" s="112">
        <f>EOD_Credit_NP!BF26</f>
        <v>1</v>
      </c>
      <c r="BF31" s="113">
        <f>EOD_Credit_NP!BG26</f>
        <v>500</v>
      </c>
      <c r="BG31" s="112">
        <f>EOD_Credit_NP!BH26</f>
        <v>3</v>
      </c>
      <c r="BH31" s="113">
        <f>EOD_Credit_NP!BI26</f>
        <v>2141.1999999999998</v>
      </c>
      <c r="BI31" s="112">
        <f>EOD_Credit_NP!BJ26</f>
        <v>3</v>
      </c>
      <c r="BJ31" s="113">
        <f>EOD_Credit_NP!BK26</f>
        <v>1700</v>
      </c>
      <c r="BK31" s="112">
        <f>EOD_Credit_NP!BL26</f>
        <v>3</v>
      </c>
      <c r="BL31" s="113">
        <f>EOD_Credit_NP!BM26</f>
        <v>1700.6</v>
      </c>
      <c r="BM31" s="114" cm="1">
        <f t="array" ref="BM31">SUMPRODUCT((MOD(COLUMN(C31:BL31)-COLUMN(C31),2)=0)*C31:BL31)</f>
        <v>67</v>
      </c>
      <c r="BN31" s="113" cm="1">
        <f t="array" ref="BN31">SUMPRODUCT((MOD(COLUMN(D31:BM31)-COLUMN(D31),2)=0)*D31:BM31)</f>
        <v>39152.399999999994</v>
      </c>
      <c r="CA31" s="83"/>
      <c r="CB31" s="83"/>
      <c r="CC31" s="83"/>
      <c r="CD31" s="83"/>
      <c r="CE31" s="83"/>
      <c r="CF31" s="83"/>
      <c r="CG31" s="83"/>
      <c r="CH31" s="83"/>
      <c r="CI31" s="83"/>
      <c r="CJ31" s="83"/>
      <c r="CK31" s="83"/>
      <c r="CL31" s="83"/>
      <c r="CM31" s="83"/>
      <c r="CN31" s="83"/>
      <c r="CO31" s="83"/>
      <c r="CP31" s="83"/>
    </row>
    <row r="32" spans="1:94" x14ac:dyDescent="0.25">
      <c r="A32" s="100" t="s">
        <v>26</v>
      </c>
      <c r="B32" s="101"/>
      <c r="C32" s="115">
        <f t="shared" ref="C32:BL32" si="5">SUM(C29:C31)</f>
        <v>2</v>
      </c>
      <c r="D32" s="116">
        <f t="shared" si="5"/>
        <v>1400</v>
      </c>
      <c r="E32" s="115">
        <f t="shared" si="5"/>
        <v>2</v>
      </c>
      <c r="F32" s="116">
        <f t="shared" si="5"/>
        <v>450.9</v>
      </c>
      <c r="G32" s="115">
        <f t="shared" si="5"/>
        <v>4</v>
      </c>
      <c r="H32" s="116">
        <f t="shared" si="5"/>
        <v>1943.8</v>
      </c>
      <c r="I32" s="115">
        <f t="shared" si="5"/>
        <v>1</v>
      </c>
      <c r="J32" s="116">
        <f t="shared" si="5"/>
        <v>500</v>
      </c>
      <c r="K32" s="115">
        <f t="shared" si="5"/>
        <v>5</v>
      </c>
      <c r="L32" s="116">
        <f t="shared" si="5"/>
        <v>1758.7</v>
      </c>
      <c r="M32" s="115">
        <f t="shared" si="5"/>
        <v>6</v>
      </c>
      <c r="N32" s="116">
        <f t="shared" si="5"/>
        <v>2822.8</v>
      </c>
      <c r="O32" s="115">
        <f t="shared" si="5"/>
        <v>0</v>
      </c>
      <c r="P32" s="116">
        <f t="shared" si="5"/>
        <v>0</v>
      </c>
      <c r="Q32" s="115">
        <f t="shared" si="5"/>
        <v>3</v>
      </c>
      <c r="R32" s="116">
        <f t="shared" si="5"/>
        <v>2436.1999999999998</v>
      </c>
      <c r="S32" s="115">
        <f t="shared" si="5"/>
        <v>3</v>
      </c>
      <c r="T32" s="116">
        <f t="shared" si="5"/>
        <v>1108.7</v>
      </c>
      <c r="U32" s="115">
        <f t="shared" si="5"/>
        <v>2</v>
      </c>
      <c r="V32" s="116">
        <f t="shared" si="5"/>
        <v>1320</v>
      </c>
      <c r="W32" s="115">
        <f t="shared" si="5"/>
        <v>2</v>
      </c>
      <c r="X32" s="116">
        <f t="shared" si="5"/>
        <v>1624.3</v>
      </c>
      <c r="Y32" s="115">
        <f t="shared" si="5"/>
        <v>4</v>
      </c>
      <c r="Z32" s="116">
        <f t="shared" si="5"/>
        <v>2370.4</v>
      </c>
      <c r="AA32" s="115">
        <f t="shared" si="5"/>
        <v>3</v>
      </c>
      <c r="AB32" s="116">
        <f t="shared" si="5"/>
        <v>1299.9000000000001</v>
      </c>
      <c r="AC32" s="115">
        <f t="shared" si="5"/>
        <v>1</v>
      </c>
      <c r="AD32" s="116">
        <f t="shared" si="5"/>
        <v>500</v>
      </c>
      <c r="AE32" s="115">
        <f t="shared" si="5"/>
        <v>4</v>
      </c>
      <c r="AF32" s="116">
        <f t="shared" si="5"/>
        <v>1447.1</v>
      </c>
      <c r="AG32" s="115">
        <f t="shared" si="5"/>
        <v>3</v>
      </c>
      <c r="AH32" s="116">
        <f t="shared" si="5"/>
        <v>1650</v>
      </c>
      <c r="AI32" s="115">
        <f t="shared" si="5"/>
        <v>3</v>
      </c>
      <c r="AJ32" s="116">
        <f t="shared" si="5"/>
        <v>1660</v>
      </c>
      <c r="AK32" s="115">
        <f t="shared" si="5"/>
        <v>3</v>
      </c>
      <c r="AL32" s="116">
        <f t="shared" si="5"/>
        <v>2756.2</v>
      </c>
      <c r="AM32" s="115">
        <f t="shared" si="5"/>
        <v>3</v>
      </c>
      <c r="AN32" s="116">
        <f t="shared" si="5"/>
        <v>1500</v>
      </c>
      <c r="AO32" s="115">
        <f t="shared" si="5"/>
        <v>1</v>
      </c>
      <c r="AP32" s="116">
        <f t="shared" si="5"/>
        <v>597.1</v>
      </c>
      <c r="AQ32" s="115">
        <f t="shared" si="5"/>
        <v>0</v>
      </c>
      <c r="AR32" s="116">
        <f t="shared" si="5"/>
        <v>0</v>
      </c>
      <c r="AS32" s="115">
        <f t="shared" si="5"/>
        <v>9</v>
      </c>
      <c r="AT32" s="116">
        <f t="shared" si="5"/>
        <v>5669.3</v>
      </c>
      <c r="AU32" s="115">
        <f t="shared" si="5"/>
        <v>1</v>
      </c>
      <c r="AV32" s="116">
        <f t="shared" si="5"/>
        <v>1000</v>
      </c>
      <c r="AW32" s="115">
        <f t="shared" si="5"/>
        <v>3</v>
      </c>
      <c r="AX32" s="116">
        <f t="shared" si="5"/>
        <v>1140.9000000000001</v>
      </c>
      <c r="AY32" s="115">
        <f t="shared" si="5"/>
        <v>3</v>
      </c>
      <c r="AZ32" s="116">
        <f t="shared" si="5"/>
        <v>1963</v>
      </c>
      <c r="BA32" s="115">
        <f t="shared" si="5"/>
        <v>3</v>
      </c>
      <c r="BB32" s="116">
        <f t="shared" si="5"/>
        <v>1500</v>
      </c>
      <c r="BC32" s="115">
        <f t="shared" si="5"/>
        <v>5</v>
      </c>
      <c r="BD32" s="116">
        <f t="shared" si="5"/>
        <v>2612.8000000000002</v>
      </c>
      <c r="BE32" s="115">
        <f t="shared" si="5"/>
        <v>1</v>
      </c>
      <c r="BF32" s="116">
        <f t="shared" si="5"/>
        <v>500</v>
      </c>
      <c r="BG32" s="115">
        <f t="shared" si="5"/>
        <v>3</v>
      </c>
      <c r="BH32" s="116">
        <f t="shared" si="5"/>
        <v>2141.1999999999998</v>
      </c>
      <c r="BI32" s="115">
        <f t="shared" si="5"/>
        <v>3</v>
      </c>
      <c r="BJ32" s="116">
        <f t="shared" si="5"/>
        <v>1700</v>
      </c>
      <c r="BK32" s="115">
        <f t="shared" si="5"/>
        <v>3</v>
      </c>
      <c r="BL32" s="116">
        <f t="shared" si="5"/>
        <v>1700.6</v>
      </c>
      <c r="BM32" s="117">
        <f t="shared" ref="BM32:BN32" si="6">SUM(BM29:BM31)</f>
        <v>89</v>
      </c>
      <c r="BN32" s="116">
        <f t="shared" si="6"/>
        <v>49073.899999999994</v>
      </c>
      <c r="CA32" s="83"/>
      <c r="CB32" s="83"/>
      <c r="CC32" s="83"/>
      <c r="CD32" s="83"/>
      <c r="CE32" s="83"/>
      <c r="CF32" s="83"/>
      <c r="CG32" s="83"/>
      <c r="CH32" s="83"/>
      <c r="CI32" s="83"/>
      <c r="CJ32" s="83"/>
      <c r="CK32" s="83"/>
      <c r="CL32" s="83"/>
      <c r="CM32" s="83"/>
      <c r="CN32" s="83"/>
      <c r="CO32" s="83"/>
      <c r="CP32" s="83"/>
    </row>
    <row r="33" spans="1:94" x14ac:dyDescent="0.25">
      <c r="A33" s="103"/>
      <c r="C33" s="124"/>
      <c r="D33" s="125"/>
      <c r="E33" s="124"/>
      <c r="F33" s="125"/>
      <c r="G33" s="124"/>
      <c r="H33" s="125"/>
      <c r="I33" s="124"/>
      <c r="J33" s="125"/>
      <c r="K33" s="124"/>
      <c r="L33" s="125"/>
      <c r="M33" s="124"/>
      <c r="N33" s="125"/>
      <c r="O33" s="124"/>
      <c r="P33" s="125"/>
      <c r="Q33" s="124"/>
      <c r="R33" s="125"/>
      <c r="S33" s="124"/>
      <c r="T33" s="125"/>
      <c r="U33" s="124"/>
      <c r="V33" s="125"/>
      <c r="W33" s="124"/>
      <c r="X33" s="125"/>
      <c r="Y33" s="124"/>
      <c r="Z33" s="125"/>
      <c r="AA33" s="124"/>
      <c r="AB33" s="125"/>
      <c r="AC33" s="124"/>
      <c r="AD33" s="125"/>
      <c r="AE33" s="124"/>
      <c r="AF33" s="125"/>
      <c r="AG33" s="124"/>
      <c r="AH33" s="125"/>
      <c r="AI33" s="124"/>
      <c r="AJ33" s="125"/>
      <c r="AK33" s="124"/>
      <c r="AL33" s="125"/>
      <c r="AM33" s="124"/>
      <c r="AN33" s="125"/>
      <c r="AO33" s="124"/>
      <c r="AP33" s="125"/>
      <c r="AQ33" s="124"/>
      <c r="AR33" s="125"/>
      <c r="AS33" s="124"/>
      <c r="AT33" s="125"/>
      <c r="AU33" s="124"/>
      <c r="AV33" s="125"/>
      <c r="AW33" s="124"/>
      <c r="AX33" s="125"/>
      <c r="AY33" s="124"/>
      <c r="AZ33" s="125"/>
      <c r="BA33" s="124"/>
      <c r="BB33" s="125"/>
      <c r="BC33" s="124"/>
      <c r="BD33" s="125"/>
      <c r="BE33" s="124"/>
      <c r="BF33" s="125"/>
      <c r="BG33" s="124"/>
      <c r="BH33" s="125"/>
      <c r="BI33" s="124"/>
      <c r="BJ33" s="125"/>
      <c r="BK33" s="124"/>
      <c r="BL33" s="125"/>
      <c r="BM33" s="126"/>
      <c r="BN33" s="125"/>
      <c r="CA33" s="83"/>
      <c r="CB33" s="83"/>
      <c r="CC33" s="83"/>
      <c r="CD33" s="83"/>
      <c r="CE33" s="83"/>
      <c r="CF33" s="83"/>
      <c r="CG33" s="83"/>
      <c r="CH33" s="83"/>
      <c r="CI33" s="83"/>
      <c r="CJ33" s="83"/>
      <c r="CK33" s="83"/>
      <c r="CL33" s="83"/>
      <c r="CM33" s="83"/>
      <c r="CN33" s="83"/>
      <c r="CO33" s="83"/>
      <c r="CP33" s="83"/>
    </row>
    <row r="34" spans="1:94" x14ac:dyDescent="0.25">
      <c r="A34" s="92" t="s">
        <v>27</v>
      </c>
      <c r="B34" s="93"/>
      <c r="C34" s="121"/>
      <c r="D34" s="122"/>
      <c r="E34" s="121"/>
      <c r="F34" s="122"/>
      <c r="G34" s="121"/>
      <c r="H34" s="122"/>
      <c r="I34" s="121"/>
      <c r="J34" s="122"/>
      <c r="K34" s="121"/>
      <c r="L34" s="122"/>
      <c r="M34" s="121"/>
      <c r="N34" s="122"/>
      <c r="O34" s="121"/>
      <c r="P34" s="122"/>
      <c r="Q34" s="121"/>
      <c r="R34" s="122"/>
      <c r="S34" s="121"/>
      <c r="T34" s="122"/>
      <c r="U34" s="121"/>
      <c r="V34" s="122"/>
      <c r="W34" s="121"/>
      <c r="X34" s="122"/>
      <c r="Y34" s="121"/>
      <c r="Z34" s="122"/>
      <c r="AA34" s="121"/>
      <c r="AB34" s="122"/>
      <c r="AC34" s="121"/>
      <c r="AD34" s="122"/>
      <c r="AE34" s="121"/>
      <c r="AF34" s="122"/>
      <c r="AG34" s="121"/>
      <c r="AH34" s="122"/>
      <c r="AI34" s="121"/>
      <c r="AJ34" s="122"/>
      <c r="AK34" s="121"/>
      <c r="AL34" s="122"/>
      <c r="AM34" s="121"/>
      <c r="AN34" s="122"/>
      <c r="AO34" s="121"/>
      <c r="AP34" s="122"/>
      <c r="AQ34" s="121"/>
      <c r="AR34" s="122"/>
      <c r="AS34" s="121"/>
      <c r="AT34" s="122"/>
      <c r="AU34" s="121"/>
      <c r="AV34" s="122"/>
      <c r="AW34" s="121"/>
      <c r="AX34" s="122"/>
      <c r="AY34" s="121"/>
      <c r="AZ34" s="122"/>
      <c r="BA34" s="121"/>
      <c r="BB34" s="122"/>
      <c r="BC34" s="121"/>
      <c r="BD34" s="122"/>
      <c r="BE34" s="121"/>
      <c r="BF34" s="122"/>
      <c r="BG34" s="121"/>
      <c r="BH34" s="122"/>
      <c r="BI34" s="121"/>
      <c r="BJ34" s="122"/>
      <c r="BK34" s="121"/>
      <c r="BL34" s="122"/>
      <c r="BM34" s="123"/>
      <c r="BN34" s="122"/>
      <c r="CA34" s="83"/>
      <c r="CB34" s="83"/>
      <c r="CC34" s="83"/>
      <c r="CD34" s="83"/>
      <c r="CE34" s="83"/>
      <c r="CF34" s="83"/>
      <c r="CG34" s="83"/>
      <c r="CH34" s="83"/>
      <c r="CI34" s="83"/>
      <c r="CJ34" s="83"/>
      <c r="CK34" s="83"/>
      <c r="CL34" s="83"/>
      <c r="CM34" s="83"/>
      <c r="CN34" s="83"/>
      <c r="CO34" s="83"/>
      <c r="CP34" s="83"/>
    </row>
    <row r="35" spans="1:94" x14ac:dyDescent="0.25">
      <c r="A35" s="79" t="s">
        <v>28</v>
      </c>
      <c r="B35" s="98" t="s">
        <v>29</v>
      </c>
      <c r="C35" s="112">
        <f>EOD_Credit_NP!D19</f>
        <v>25</v>
      </c>
      <c r="D35" s="113">
        <f>EOD_Credit_NP!E19</f>
        <v>4401.6000000000004</v>
      </c>
      <c r="E35" s="112">
        <f>EOD_Credit_NP!F19</f>
        <v>24</v>
      </c>
      <c r="F35" s="113">
        <f>EOD_Credit_NP!G19</f>
        <v>4283.2</v>
      </c>
      <c r="G35" s="112">
        <f>EOD_Credit_NP!H19</f>
        <v>43</v>
      </c>
      <c r="H35" s="113">
        <f>EOD_Credit_NP!I19</f>
        <v>7945.5</v>
      </c>
      <c r="I35" s="112">
        <f>EOD_Credit_NP!J19</f>
        <v>37</v>
      </c>
      <c r="J35" s="113">
        <f>EOD_Credit_NP!K19</f>
        <v>6860.8</v>
      </c>
      <c r="K35" s="112">
        <f>EOD_Credit_NP!L19</f>
        <v>35</v>
      </c>
      <c r="L35" s="113">
        <f>EOD_Credit_NP!M19</f>
        <v>4227.6000000000004</v>
      </c>
      <c r="M35" s="112">
        <f>EOD_Credit_NP!N19</f>
        <v>30</v>
      </c>
      <c r="N35" s="113">
        <f>EOD_Credit_NP!O19</f>
        <v>5154.6000000000004</v>
      </c>
      <c r="O35" s="112">
        <f>EOD_Credit_NP!P19</f>
        <v>43</v>
      </c>
      <c r="P35" s="113">
        <f>EOD_Credit_NP!Q19</f>
        <v>6143.2</v>
      </c>
      <c r="Q35" s="112">
        <f>EOD_Credit_NP!R19</f>
        <v>41</v>
      </c>
      <c r="R35" s="113">
        <f>EOD_Credit_NP!S19</f>
        <v>5036.3</v>
      </c>
      <c r="S35" s="112">
        <f>EOD_Credit_NP!T19</f>
        <v>35</v>
      </c>
      <c r="T35" s="113">
        <f>EOD_Credit_NP!U19</f>
        <v>4540.2</v>
      </c>
      <c r="U35" s="112">
        <f>EOD_Credit_NP!V19</f>
        <v>36</v>
      </c>
      <c r="V35" s="113">
        <f>EOD_Credit_NP!W19</f>
        <v>6985.9</v>
      </c>
      <c r="W35" s="112">
        <f>EOD_Credit_NP!X19</f>
        <v>30</v>
      </c>
      <c r="X35" s="113">
        <f>EOD_Credit_NP!Y19</f>
        <v>5250.5</v>
      </c>
      <c r="Y35" s="112">
        <f>EOD_Credit_NP!Z19</f>
        <v>37</v>
      </c>
      <c r="Z35" s="113">
        <f>EOD_Credit_NP!AA19</f>
        <v>6435.6</v>
      </c>
      <c r="AA35" s="112">
        <f>EOD_Credit_NP!AB19</f>
        <v>22</v>
      </c>
      <c r="AB35" s="113">
        <f>EOD_Credit_NP!AC19</f>
        <v>2701.6</v>
      </c>
      <c r="AC35" s="112">
        <f>EOD_Credit_NP!AD19</f>
        <v>29</v>
      </c>
      <c r="AD35" s="113">
        <f>EOD_Credit_NP!AE19</f>
        <v>3652.1</v>
      </c>
      <c r="AE35" s="112">
        <f>EOD_Credit_NP!AF19</f>
        <v>38</v>
      </c>
      <c r="AF35" s="113">
        <f>EOD_Credit_NP!AG19</f>
        <v>5037.1000000000004</v>
      </c>
      <c r="AG35" s="112">
        <f>EOD_Credit_NP!AH19</f>
        <v>32</v>
      </c>
      <c r="AH35" s="113">
        <f>EOD_Credit_NP!AI19</f>
        <v>4111.2</v>
      </c>
      <c r="AI35" s="112">
        <f>EOD_Credit_NP!AJ19</f>
        <v>42</v>
      </c>
      <c r="AJ35" s="113">
        <f>EOD_Credit_NP!AK19</f>
        <v>8368</v>
      </c>
      <c r="AK35" s="112">
        <f>EOD_Credit_NP!AL19</f>
        <v>28</v>
      </c>
      <c r="AL35" s="113">
        <f>EOD_Credit_NP!AM19</f>
        <v>3784.8</v>
      </c>
      <c r="AM35" s="112">
        <f>EOD_Credit_NP!AN19</f>
        <v>34</v>
      </c>
      <c r="AN35" s="113">
        <f>EOD_Credit_NP!AO19</f>
        <v>4793.5</v>
      </c>
      <c r="AO35" s="112">
        <f>EOD_Credit_NP!AP19</f>
        <v>6</v>
      </c>
      <c r="AP35" s="113">
        <f>EOD_Credit_NP!AQ19</f>
        <v>766.7</v>
      </c>
      <c r="AQ35" s="112">
        <f>EOD_Credit_NP!AR19</f>
        <v>32</v>
      </c>
      <c r="AR35" s="113">
        <f>EOD_Credit_NP!AS19</f>
        <v>4749.2</v>
      </c>
      <c r="AS35" s="112">
        <f>EOD_Credit_NP!AT19</f>
        <v>33</v>
      </c>
      <c r="AT35" s="113">
        <f>EOD_Credit_NP!AU19</f>
        <v>6947.6</v>
      </c>
      <c r="AU35" s="112">
        <f>EOD_Credit_NP!AV19</f>
        <v>32</v>
      </c>
      <c r="AV35" s="113">
        <f>EOD_Credit_NP!AW19</f>
        <v>4101</v>
      </c>
      <c r="AW35" s="112">
        <f>EOD_Credit_NP!AX19</f>
        <v>43</v>
      </c>
      <c r="AX35" s="113">
        <f>EOD_Credit_NP!AY19</f>
        <v>5670.1</v>
      </c>
      <c r="AY35" s="112">
        <f>EOD_Credit_NP!AZ19</f>
        <v>30</v>
      </c>
      <c r="AZ35" s="113">
        <f>EOD_Credit_NP!BA19</f>
        <v>3970.2</v>
      </c>
      <c r="BA35" s="112">
        <f>EOD_Credit_NP!BB19</f>
        <v>25</v>
      </c>
      <c r="BB35" s="113">
        <f>EOD_Credit_NP!BC19</f>
        <v>3744.4</v>
      </c>
      <c r="BC35" s="112">
        <f>EOD_Credit_NP!BD19</f>
        <v>21</v>
      </c>
      <c r="BD35" s="113">
        <f>EOD_Credit_NP!BE19</f>
        <v>2979.4</v>
      </c>
      <c r="BE35" s="112">
        <f>EOD_Credit_NP!BF19</f>
        <v>29</v>
      </c>
      <c r="BF35" s="113">
        <f>EOD_Credit_NP!BG19</f>
        <v>4337.7</v>
      </c>
      <c r="BG35" s="112">
        <f>EOD_Credit_NP!BH19</f>
        <v>35</v>
      </c>
      <c r="BH35" s="113">
        <f>EOD_Credit_NP!BI19</f>
        <v>4267.2</v>
      </c>
      <c r="BI35" s="112">
        <f>EOD_Credit_NP!BJ19</f>
        <v>37</v>
      </c>
      <c r="BJ35" s="113">
        <f>EOD_Credit_NP!BK19</f>
        <v>6091.5</v>
      </c>
      <c r="BK35" s="112">
        <f>EOD_Credit_NP!BL19</f>
        <v>32</v>
      </c>
      <c r="BL35" s="113">
        <f>EOD_Credit_NP!BM19</f>
        <v>4601.3999999999996</v>
      </c>
      <c r="BM35" s="114" cm="1">
        <f t="array" ref="BM35">SUMPRODUCT((MOD(COLUMN(C35:BL35)-COLUMN(C35),2)=0)*C35:BL35)</f>
        <v>996</v>
      </c>
      <c r="BN35" s="113" cm="1">
        <f t="array" ref="BN35">SUMPRODUCT((MOD(COLUMN(D35:BM35)-COLUMN(D35),2)=0)*D35:BM35)</f>
        <v>151939.70000000004</v>
      </c>
      <c r="CA35" s="83"/>
      <c r="CB35" s="83"/>
      <c r="CC35" s="83"/>
      <c r="CD35" s="83"/>
      <c r="CE35" s="83"/>
      <c r="CF35" s="83"/>
      <c r="CG35" s="83"/>
      <c r="CH35" s="83"/>
      <c r="CI35" s="83"/>
      <c r="CJ35" s="83"/>
      <c r="CK35" s="83"/>
      <c r="CL35" s="83"/>
      <c r="CM35" s="83"/>
      <c r="CN35" s="83"/>
      <c r="CO35" s="83"/>
      <c r="CP35" s="83"/>
    </row>
    <row r="36" spans="1:94" x14ac:dyDescent="0.25">
      <c r="A36" s="79" t="s">
        <v>30</v>
      </c>
      <c r="B36" s="98" t="s">
        <v>29</v>
      </c>
      <c r="C36" s="112">
        <f>EOD_Credit_NP!D20</f>
        <v>28</v>
      </c>
      <c r="D36" s="113">
        <f>EOD_Credit_NP!E20</f>
        <v>4888.7</v>
      </c>
      <c r="E36" s="112">
        <f>EOD_Credit_NP!F20</f>
        <v>25</v>
      </c>
      <c r="F36" s="113">
        <f>EOD_Credit_NP!G20</f>
        <v>5227.7</v>
      </c>
      <c r="G36" s="112">
        <f>EOD_Credit_NP!H20</f>
        <v>34</v>
      </c>
      <c r="H36" s="113">
        <f>EOD_Credit_NP!I20</f>
        <v>5841.5</v>
      </c>
      <c r="I36" s="112">
        <f>EOD_Credit_NP!J20</f>
        <v>21</v>
      </c>
      <c r="J36" s="113">
        <f>EOD_Credit_NP!K20</f>
        <v>3406.3</v>
      </c>
      <c r="K36" s="112">
        <f>EOD_Credit_NP!L20</f>
        <v>32</v>
      </c>
      <c r="L36" s="113">
        <f>EOD_Credit_NP!M20</f>
        <v>10672.8</v>
      </c>
      <c r="M36" s="112">
        <f>EOD_Credit_NP!N20</f>
        <v>36</v>
      </c>
      <c r="N36" s="113">
        <f>EOD_Credit_NP!O20</f>
        <v>12340.8</v>
      </c>
      <c r="O36" s="112">
        <f>EOD_Credit_NP!P20</f>
        <v>22</v>
      </c>
      <c r="P36" s="113">
        <f>EOD_Credit_NP!Q20</f>
        <v>3702.8</v>
      </c>
      <c r="Q36" s="112">
        <f>EOD_Credit_NP!R20</f>
        <v>30</v>
      </c>
      <c r="R36" s="113">
        <f>EOD_Credit_NP!S20</f>
        <v>4113.6000000000004</v>
      </c>
      <c r="S36" s="112">
        <f>EOD_Credit_NP!T20</f>
        <v>18</v>
      </c>
      <c r="T36" s="113">
        <f>EOD_Credit_NP!U20</f>
        <v>2144.1999999999998</v>
      </c>
      <c r="U36" s="112">
        <f>EOD_Credit_NP!V20</f>
        <v>20</v>
      </c>
      <c r="V36" s="113">
        <f>EOD_Credit_NP!W20</f>
        <v>2342.1999999999998</v>
      </c>
      <c r="W36" s="112">
        <f>EOD_Credit_NP!X20</f>
        <v>21</v>
      </c>
      <c r="X36" s="113">
        <f>EOD_Credit_NP!Y20</f>
        <v>3124.3</v>
      </c>
      <c r="Y36" s="112">
        <f>EOD_Credit_NP!Z20</f>
        <v>41</v>
      </c>
      <c r="Z36" s="113">
        <f>EOD_Credit_NP!AA20</f>
        <v>17155.400000000001</v>
      </c>
      <c r="AA36" s="112">
        <f>EOD_Credit_NP!AB20</f>
        <v>40</v>
      </c>
      <c r="AB36" s="113">
        <f>EOD_Credit_NP!AC20</f>
        <v>12685.2</v>
      </c>
      <c r="AC36" s="112">
        <f>EOD_Credit_NP!AD20</f>
        <v>31</v>
      </c>
      <c r="AD36" s="113">
        <f>EOD_Credit_NP!AE20</f>
        <v>3743.1</v>
      </c>
      <c r="AE36" s="112">
        <f>EOD_Credit_NP!AF20</f>
        <v>26</v>
      </c>
      <c r="AF36" s="113">
        <f>EOD_Credit_NP!AG20</f>
        <v>2956.1</v>
      </c>
      <c r="AG36" s="112">
        <f>EOD_Credit_NP!AH20</f>
        <v>22</v>
      </c>
      <c r="AH36" s="113">
        <f>EOD_Credit_NP!AI20</f>
        <v>2829.5</v>
      </c>
      <c r="AI36" s="112">
        <f>EOD_Credit_NP!AJ20</f>
        <v>32</v>
      </c>
      <c r="AJ36" s="113">
        <f>EOD_Credit_NP!AK20</f>
        <v>4563</v>
      </c>
      <c r="AK36" s="112">
        <f>EOD_Credit_NP!AL20</f>
        <v>30</v>
      </c>
      <c r="AL36" s="113">
        <f>EOD_Credit_NP!AM20</f>
        <v>3675.1</v>
      </c>
      <c r="AM36" s="112">
        <f>EOD_Credit_NP!AN20</f>
        <v>26</v>
      </c>
      <c r="AN36" s="113">
        <f>EOD_Credit_NP!AO20</f>
        <v>7902.2</v>
      </c>
      <c r="AO36" s="112">
        <f>EOD_Credit_NP!AP20</f>
        <v>8</v>
      </c>
      <c r="AP36" s="113">
        <f>EOD_Credit_NP!AQ20</f>
        <v>1918.2</v>
      </c>
      <c r="AQ36" s="112">
        <f>EOD_Credit_NP!AR20</f>
        <v>31</v>
      </c>
      <c r="AR36" s="113">
        <f>EOD_Credit_NP!AS20</f>
        <v>5408</v>
      </c>
      <c r="AS36" s="112">
        <f>EOD_Credit_NP!AT20</f>
        <v>29</v>
      </c>
      <c r="AT36" s="113">
        <f>EOD_Credit_NP!AU20</f>
        <v>3332.5</v>
      </c>
      <c r="AU36" s="112">
        <f>EOD_Credit_NP!AV20</f>
        <v>23</v>
      </c>
      <c r="AV36" s="113">
        <f>EOD_Credit_NP!AW20</f>
        <v>2810.5</v>
      </c>
      <c r="AW36" s="112">
        <f>EOD_Credit_NP!AX20</f>
        <v>31</v>
      </c>
      <c r="AX36" s="113">
        <f>EOD_Credit_NP!AY20</f>
        <v>4698.6000000000004</v>
      </c>
      <c r="AY36" s="112">
        <f>EOD_Credit_NP!AZ20</f>
        <v>23</v>
      </c>
      <c r="AZ36" s="113">
        <f>EOD_Credit_NP!BA20</f>
        <v>2731.7</v>
      </c>
      <c r="BA36" s="112">
        <f>EOD_Credit_NP!BB20</f>
        <v>44</v>
      </c>
      <c r="BB36" s="113">
        <f>EOD_Credit_NP!BC20</f>
        <v>12308.4</v>
      </c>
      <c r="BC36" s="112">
        <f>EOD_Credit_NP!BD20</f>
        <v>38</v>
      </c>
      <c r="BD36" s="113">
        <f>EOD_Credit_NP!BE20</f>
        <v>12561.8</v>
      </c>
      <c r="BE36" s="112">
        <f>EOD_Credit_NP!BF20</f>
        <v>28</v>
      </c>
      <c r="BF36" s="113">
        <f>EOD_Credit_NP!BG20</f>
        <v>4260.3999999999996</v>
      </c>
      <c r="BG36" s="112">
        <f>EOD_Credit_NP!BH20</f>
        <v>28</v>
      </c>
      <c r="BH36" s="113">
        <f>EOD_Credit_NP!BI20</f>
        <v>3699.8</v>
      </c>
      <c r="BI36" s="112">
        <f>EOD_Credit_NP!BJ20</f>
        <v>28</v>
      </c>
      <c r="BJ36" s="113">
        <f>EOD_Credit_NP!BK20</f>
        <v>3162.6</v>
      </c>
      <c r="BK36" s="112">
        <f>EOD_Credit_NP!BL20</f>
        <v>29</v>
      </c>
      <c r="BL36" s="113">
        <f>EOD_Credit_NP!BM20</f>
        <v>3540.2</v>
      </c>
      <c r="BM36" s="114" cm="1">
        <f t="array" ref="BM36">SUMPRODUCT((MOD(COLUMN(C36:BL36)-COLUMN(C36),2)=0)*C36:BL36)</f>
        <v>875</v>
      </c>
      <c r="BN36" s="113" cm="1">
        <f t="array" ref="BN36">SUMPRODUCT((MOD(COLUMN(D36:BM36)-COLUMN(D36),2)=0)*D36:BM36)</f>
        <v>173747.20000000001</v>
      </c>
      <c r="CA36" s="83"/>
      <c r="CB36" s="83"/>
      <c r="CC36" s="83"/>
      <c r="CD36" s="83"/>
      <c r="CE36" s="83"/>
      <c r="CF36" s="83"/>
      <c r="CG36" s="83"/>
      <c r="CH36" s="83"/>
      <c r="CI36" s="83"/>
      <c r="CJ36" s="83"/>
      <c r="CK36" s="83"/>
      <c r="CL36" s="83"/>
      <c r="CM36" s="83"/>
      <c r="CN36" s="83"/>
      <c r="CO36" s="83"/>
      <c r="CP36" s="83"/>
    </row>
    <row r="37" spans="1:94" x14ac:dyDescent="0.25">
      <c r="A37" s="79" t="s">
        <v>31</v>
      </c>
      <c r="B37" s="98" t="s">
        <v>29</v>
      </c>
      <c r="C37" s="112">
        <f>EOD_Credit_NP!D27</f>
        <v>1</v>
      </c>
      <c r="D37" s="113">
        <f>EOD_Credit_NP!E27</f>
        <v>243.6</v>
      </c>
      <c r="E37" s="112">
        <f>EOD_Credit_NP!F27</f>
        <v>3</v>
      </c>
      <c r="F37" s="113">
        <f>EOD_Credit_NP!G27</f>
        <v>517.79999999999995</v>
      </c>
      <c r="G37" s="112">
        <f>EOD_Credit_NP!H27</f>
        <v>0</v>
      </c>
      <c r="H37" s="113">
        <f>EOD_Credit_NP!I27</f>
        <v>0</v>
      </c>
      <c r="I37" s="112">
        <f>EOD_Credit_NP!J27</f>
        <v>2</v>
      </c>
      <c r="J37" s="113">
        <f>EOD_Credit_NP!K27</f>
        <v>928.4</v>
      </c>
      <c r="K37" s="112">
        <f>EOD_Credit_NP!L27</f>
        <v>3</v>
      </c>
      <c r="L37" s="113">
        <f>EOD_Credit_NP!M27</f>
        <v>739.4</v>
      </c>
      <c r="M37" s="112">
        <f>EOD_Credit_NP!N27</f>
        <v>4</v>
      </c>
      <c r="N37" s="113">
        <f>EOD_Credit_NP!O27</f>
        <v>816.5</v>
      </c>
      <c r="O37" s="112">
        <f>EOD_Credit_NP!P27</f>
        <v>1</v>
      </c>
      <c r="P37" s="113">
        <f>EOD_Credit_NP!Q27</f>
        <v>124</v>
      </c>
      <c r="Q37" s="112">
        <f>EOD_Credit_NP!R27</f>
        <v>0</v>
      </c>
      <c r="R37" s="113">
        <f>EOD_Credit_NP!S27</f>
        <v>0</v>
      </c>
      <c r="S37" s="112">
        <f>EOD_Credit_NP!T27</f>
        <v>2</v>
      </c>
      <c r="T37" s="113">
        <f>EOD_Credit_NP!U27</f>
        <v>819.8</v>
      </c>
      <c r="U37" s="112">
        <f>EOD_Credit_NP!V27</f>
        <v>3</v>
      </c>
      <c r="V37" s="113">
        <f>EOD_Credit_NP!W27</f>
        <v>1679.1</v>
      </c>
      <c r="W37" s="112">
        <f>EOD_Credit_NP!X27</f>
        <v>1</v>
      </c>
      <c r="X37" s="113">
        <f>EOD_Credit_NP!Y27</f>
        <v>128.30000000000001</v>
      </c>
      <c r="Y37" s="112">
        <f>EOD_Credit_NP!Z27</f>
        <v>1</v>
      </c>
      <c r="Z37" s="113">
        <f>EOD_Credit_NP!AA27</f>
        <v>142.5</v>
      </c>
      <c r="AA37" s="112">
        <f>EOD_Credit_NP!AB27</f>
        <v>1</v>
      </c>
      <c r="AB37" s="113">
        <f>EOD_Credit_NP!AC27</f>
        <v>500</v>
      </c>
      <c r="AC37" s="112">
        <f>EOD_Credit_NP!AD27</f>
        <v>0</v>
      </c>
      <c r="AD37" s="113">
        <f>EOD_Credit_NP!AE27</f>
        <v>0</v>
      </c>
      <c r="AE37" s="112">
        <f>EOD_Credit_NP!AF27</f>
        <v>3</v>
      </c>
      <c r="AF37" s="113">
        <f>EOD_Credit_NP!AG27</f>
        <v>2468.4</v>
      </c>
      <c r="AG37" s="112">
        <f>EOD_Credit_NP!AH27</f>
        <v>0</v>
      </c>
      <c r="AH37" s="113">
        <f>EOD_Credit_NP!AI27</f>
        <v>0</v>
      </c>
      <c r="AI37" s="112">
        <f>EOD_Credit_NP!AJ27</f>
        <v>1</v>
      </c>
      <c r="AJ37" s="113">
        <f>EOD_Credit_NP!AK27</f>
        <v>63.3</v>
      </c>
      <c r="AK37" s="112">
        <f>EOD_Credit_NP!AL27</f>
        <v>3</v>
      </c>
      <c r="AL37" s="113">
        <f>EOD_Credit_NP!AM27</f>
        <v>335</v>
      </c>
      <c r="AM37" s="112">
        <f>EOD_Credit_NP!AN27</f>
        <v>2</v>
      </c>
      <c r="AN37" s="113">
        <f>EOD_Credit_NP!AO27</f>
        <v>205</v>
      </c>
      <c r="AO37" s="112">
        <f>EOD_Credit_NP!AP27</f>
        <v>1</v>
      </c>
      <c r="AP37" s="113">
        <f>EOD_Credit_NP!AQ27</f>
        <v>177.1</v>
      </c>
      <c r="AQ37" s="112">
        <f>EOD_Credit_NP!AR27</f>
        <v>1</v>
      </c>
      <c r="AR37" s="113">
        <f>EOD_Credit_NP!AS27</f>
        <v>64.2</v>
      </c>
      <c r="AS37" s="112">
        <f>EOD_Credit_NP!AT27</f>
        <v>6</v>
      </c>
      <c r="AT37" s="113">
        <f>EOD_Credit_NP!AU27</f>
        <v>918.7</v>
      </c>
      <c r="AU37" s="112">
        <f>EOD_Credit_NP!AV27</f>
        <v>0</v>
      </c>
      <c r="AV37" s="113">
        <f>EOD_Credit_NP!AW27</f>
        <v>0</v>
      </c>
      <c r="AW37" s="112">
        <f>EOD_Credit_NP!AX27</f>
        <v>2</v>
      </c>
      <c r="AX37" s="113">
        <f>EOD_Credit_NP!AY27</f>
        <v>334.7</v>
      </c>
      <c r="AY37" s="112">
        <f>EOD_Credit_NP!AZ27</f>
        <v>2</v>
      </c>
      <c r="AZ37" s="113">
        <f>EOD_Credit_NP!BA27</f>
        <v>1571</v>
      </c>
      <c r="BA37" s="112">
        <f>EOD_Credit_NP!BB27</f>
        <v>3</v>
      </c>
      <c r="BB37" s="113">
        <f>EOD_Credit_NP!BC27</f>
        <v>721.9</v>
      </c>
      <c r="BC37" s="112">
        <f>EOD_Credit_NP!BD27</f>
        <v>1</v>
      </c>
      <c r="BD37" s="113">
        <f>EOD_Credit_NP!BE27</f>
        <v>716.2</v>
      </c>
      <c r="BE37" s="112">
        <f>EOD_Credit_NP!BF27</f>
        <v>2</v>
      </c>
      <c r="BF37" s="113">
        <f>EOD_Credit_NP!BG27</f>
        <v>570.6</v>
      </c>
      <c r="BG37" s="112">
        <f>EOD_Credit_NP!BH27</f>
        <v>1</v>
      </c>
      <c r="BH37" s="113">
        <f>EOD_Credit_NP!BI27</f>
        <v>1098.5999999999999</v>
      </c>
      <c r="BI37" s="112">
        <f>EOD_Credit_NP!BJ27</f>
        <v>2</v>
      </c>
      <c r="BJ37" s="113">
        <f>EOD_Credit_NP!BK27</f>
        <v>210.4</v>
      </c>
      <c r="BK37" s="112">
        <f>EOD_Credit_NP!BL27</f>
        <v>2</v>
      </c>
      <c r="BL37" s="113">
        <f>EOD_Credit_NP!BM27</f>
        <v>243.2</v>
      </c>
      <c r="BM37" s="114" cm="1">
        <f t="array" ref="BM37">SUMPRODUCT((MOD(COLUMN(C37:BL37)-COLUMN(C37),2)=0)*C37:BL37)</f>
        <v>54</v>
      </c>
      <c r="BN37" s="113" cm="1">
        <f t="array" ref="BN37">SUMPRODUCT((MOD(COLUMN(D37:BM37)-COLUMN(D37),2)=0)*D37:BM37)</f>
        <v>16337.700000000004</v>
      </c>
      <c r="CA37" s="83"/>
      <c r="CB37" s="83"/>
      <c r="CC37" s="83"/>
      <c r="CD37" s="83"/>
      <c r="CE37" s="83"/>
      <c r="CF37" s="83"/>
      <c r="CG37" s="83"/>
      <c r="CH37" s="83"/>
      <c r="CI37" s="83"/>
      <c r="CJ37" s="83"/>
      <c r="CK37" s="83"/>
      <c r="CL37" s="83"/>
      <c r="CM37" s="83"/>
      <c r="CN37" s="83"/>
      <c r="CO37" s="83"/>
      <c r="CP37" s="83"/>
    </row>
    <row r="38" spans="1:94" x14ac:dyDescent="0.25">
      <c r="A38" s="79" t="s">
        <v>32</v>
      </c>
      <c r="B38" s="98" t="s">
        <v>29</v>
      </c>
      <c r="C38" s="112">
        <f>EOD_Credit_NP!D33</f>
        <v>0</v>
      </c>
      <c r="D38" s="113">
        <f>EOD_Credit_NP!E33</f>
        <v>0</v>
      </c>
      <c r="E38" s="112">
        <f>EOD_Credit_NP!F33</f>
        <v>0</v>
      </c>
      <c r="F38" s="113">
        <f>EOD_Credit_NP!G33</f>
        <v>0</v>
      </c>
      <c r="G38" s="112">
        <f>EOD_Credit_NP!H33</f>
        <v>0</v>
      </c>
      <c r="H38" s="113">
        <f>EOD_Credit_NP!I33</f>
        <v>0</v>
      </c>
      <c r="I38" s="112">
        <f>EOD_Credit_NP!J33</f>
        <v>0</v>
      </c>
      <c r="J38" s="113">
        <f>EOD_Credit_NP!K33</f>
        <v>0</v>
      </c>
      <c r="K38" s="112">
        <f>EOD_Credit_NP!L33</f>
        <v>0</v>
      </c>
      <c r="L38" s="113">
        <f>EOD_Credit_NP!M33</f>
        <v>0</v>
      </c>
      <c r="M38" s="112">
        <f>EOD_Credit_NP!N33</f>
        <v>0</v>
      </c>
      <c r="N38" s="113">
        <f>EOD_Credit_NP!O33</f>
        <v>0</v>
      </c>
      <c r="O38" s="112">
        <f>EOD_Credit_NP!P33</f>
        <v>0</v>
      </c>
      <c r="P38" s="113">
        <f>EOD_Credit_NP!Q33</f>
        <v>0</v>
      </c>
      <c r="Q38" s="112">
        <f>EOD_Credit_NP!R33</f>
        <v>0</v>
      </c>
      <c r="R38" s="113">
        <f>EOD_Credit_NP!S33</f>
        <v>0</v>
      </c>
      <c r="S38" s="112">
        <f>EOD_Credit_NP!T33</f>
        <v>0</v>
      </c>
      <c r="T38" s="113">
        <f>EOD_Credit_NP!U33</f>
        <v>0</v>
      </c>
      <c r="U38" s="112">
        <f>EOD_Credit_NP!V33</f>
        <v>0</v>
      </c>
      <c r="V38" s="113">
        <f>EOD_Credit_NP!W33</f>
        <v>0</v>
      </c>
      <c r="W38" s="112">
        <f>EOD_Credit_NP!X33</f>
        <v>0</v>
      </c>
      <c r="X38" s="113">
        <f>EOD_Credit_NP!Y33</f>
        <v>0</v>
      </c>
      <c r="Y38" s="112">
        <f>EOD_Credit_NP!Z33</f>
        <v>0</v>
      </c>
      <c r="Z38" s="113">
        <f>EOD_Credit_NP!AA33</f>
        <v>0</v>
      </c>
      <c r="AA38" s="112">
        <f>EOD_Credit_NP!AB33</f>
        <v>0</v>
      </c>
      <c r="AB38" s="113">
        <f>EOD_Credit_NP!AC33</f>
        <v>0</v>
      </c>
      <c r="AC38" s="112">
        <f>EOD_Credit_NP!AD33</f>
        <v>0</v>
      </c>
      <c r="AD38" s="113">
        <f>EOD_Credit_NP!AE33</f>
        <v>0</v>
      </c>
      <c r="AE38" s="112">
        <f>EOD_Credit_NP!AF33</f>
        <v>0</v>
      </c>
      <c r="AF38" s="113">
        <f>EOD_Credit_NP!AG33</f>
        <v>0</v>
      </c>
      <c r="AG38" s="112">
        <f>EOD_Credit_NP!AH33</f>
        <v>0</v>
      </c>
      <c r="AH38" s="113">
        <f>EOD_Credit_NP!AI33</f>
        <v>0</v>
      </c>
      <c r="AI38" s="112">
        <f>EOD_Credit_NP!AJ33</f>
        <v>0</v>
      </c>
      <c r="AJ38" s="113">
        <f>EOD_Credit_NP!AK33</f>
        <v>0</v>
      </c>
      <c r="AK38" s="112">
        <f>EOD_Credit_NP!AL33</f>
        <v>0</v>
      </c>
      <c r="AL38" s="113">
        <f>EOD_Credit_NP!AM33</f>
        <v>0</v>
      </c>
      <c r="AM38" s="112">
        <f>EOD_Credit_NP!AN33</f>
        <v>0</v>
      </c>
      <c r="AN38" s="113">
        <f>EOD_Credit_NP!AO33</f>
        <v>0</v>
      </c>
      <c r="AO38" s="112">
        <f>EOD_Credit_NP!AP33</f>
        <v>0</v>
      </c>
      <c r="AP38" s="113">
        <f>EOD_Credit_NP!AQ33</f>
        <v>0</v>
      </c>
      <c r="AQ38" s="112">
        <f>EOD_Credit_NP!AR33</f>
        <v>0</v>
      </c>
      <c r="AR38" s="113">
        <f>EOD_Credit_NP!AS33</f>
        <v>0</v>
      </c>
      <c r="AS38" s="112">
        <f>EOD_Credit_NP!AT33</f>
        <v>0</v>
      </c>
      <c r="AT38" s="113">
        <f>EOD_Credit_NP!AU33</f>
        <v>0</v>
      </c>
      <c r="AU38" s="112">
        <f>EOD_Credit_NP!AV33</f>
        <v>0</v>
      </c>
      <c r="AV38" s="113">
        <f>EOD_Credit_NP!AW33</f>
        <v>0</v>
      </c>
      <c r="AW38" s="112">
        <f>EOD_Credit_NP!AX33</f>
        <v>0</v>
      </c>
      <c r="AX38" s="113">
        <f>EOD_Credit_NP!AY33</f>
        <v>0</v>
      </c>
      <c r="AY38" s="112">
        <f>EOD_Credit_NP!AZ33</f>
        <v>0</v>
      </c>
      <c r="AZ38" s="113">
        <f>EOD_Credit_NP!BA33</f>
        <v>0</v>
      </c>
      <c r="BA38" s="112">
        <f>EOD_Credit_NP!BB33</f>
        <v>0</v>
      </c>
      <c r="BB38" s="113">
        <f>EOD_Credit_NP!BC33</f>
        <v>0</v>
      </c>
      <c r="BC38" s="112">
        <f>EOD_Credit_NP!BD33</f>
        <v>0</v>
      </c>
      <c r="BD38" s="113">
        <f>EOD_Credit_NP!BE33</f>
        <v>0</v>
      </c>
      <c r="BE38" s="112">
        <f>EOD_Credit_NP!BF33</f>
        <v>0</v>
      </c>
      <c r="BF38" s="113">
        <f>EOD_Credit_NP!BG33</f>
        <v>0</v>
      </c>
      <c r="BG38" s="112">
        <f>EOD_Credit_NP!BH33</f>
        <v>0</v>
      </c>
      <c r="BH38" s="113">
        <f>EOD_Credit_NP!BI33</f>
        <v>0</v>
      </c>
      <c r="BI38" s="112">
        <f>EOD_Credit_NP!BJ33</f>
        <v>0</v>
      </c>
      <c r="BJ38" s="113">
        <f>EOD_Credit_NP!BK33</f>
        <v>0</v>
      </c>
      <c r="BK38" s="112">
        <f>EOD_Credit_NP!BL33</f>
        <v>0</v>
      </c>
      <c r="BL38" s="113">
        <f>EOD_Credit_NP!BM33</f>
        <v>0</v>
      </c>
      <c r="BM38" s="114" cm="1">
        <f t="array" ref="BM38">SUMPRODUCT((MOD(COLUMN(C38:BL38)-COLUMN(C38),2)=0)*C38:BL38)</f>
        <v>0</v>
      </c>
      <c r="BN38" s="113" cm="1">
        <f t="array" ref="BN38">SUMPRODUCT((MOD(COLUMN(D38:BM38)-COLUMN(D38),2)=0)*D38:BM38)</f>
        <v>0</v>
      </c>
      <c r="CA38" s="83"/>
      <c r="CB38" s="83"/>
      <c r="CC38" s="83"/>
      <c r="CD38" s="83"/>
      <c r="CE38" s="83"/>
      <c r="CF38" s="83"/>
      <c r="CG38" s="83"/>
      <c r="CH38" s="83"/>
      <c r="CI38" s="83"/>
      <c r="CJ38" s="83"/>
      <c r="CK38" s="83"/>
      <c r="CL38" s="83"/>
      <c r="CM38" s="83"/>
      <c r="CN38" s="83"/>
      <c r="CO38" s="83"/>
      <c r="CP38" s="83"/>
    </row>
    <row r="39" spans="1:94" x14ac:dyDescent="0.25">
      <c r="A39" s="100" t="s">
        <v>33</v>
      </c>
      <c r="B39" s="101"/>
      <c r="C39" s="115">
        <f t="shared" ref="C39:BL39" si="7">SUM(C35:C38)</f>
        <v>54</v>
      </c>
      <c r="D39" s="116">
        <f t="shared" si="7"/>
        <v>9533.9</v>
      </c>
      <c r="E39" s="115">
        <f t="shared" si="7"/>
        <v>52</v>
      </c>
      <c r="F39" s="116">
        <f t="shared" si="7"/>
        <v>10028.699999999999</v>
      </c>
      <c r="G39" s="115">
        <f t="shared" si="7"/>
        <v>77</v>
      </c>
      <c r="H39" s="116">
        <f t="shared" si="7"/>
        <v>13787</v>
      </c>
      <c r="I39" s="115">
        <f t="shared" si="7"/>
        <v>60</v>
      </c>
      <c r="J39" s="116">
        <f t="shared" si="7"/>
        <v>11195.5</v>
      </c>
      <c r="K39" s="115">
        <f t="shared" si="7"/>
        <v>70</v>
      </c>
      <c r="L39" s="116">
        <f t="shared" si="7"/>
        <v>15639.8</v>
      </c>
      <c r="M39" s="115">
        <f t="shared" si="7"/>
        <v>70</v>
      </c>
      <c r="N39" s="116">
        <f t="shared" si="7"/>
        <v>18311.900000000001</v>
      </c>
      <c r="O39" s="115">
        <f t="shared" si="7"/>
        <v>66</v>
      </c>
      <c r="P39" s="116">
        <f t="shared" si="7"/>
        <v>9970</v>
      </c>
      <c r="Q39" s="115">
        <f t="shared" si="7"/>
        <v>71</v>
      </c>
      <c r="R39" s="116">
        <f t="shared" si="7"/>
        <v>9149.9000000000015</v>
      </c>
      <c r="S39" s="115">
        <f t="shared" si="7"/>
        <v>55</v>
      </c>
      <c r="T39" s="116">
        <f t="shared" si="7"/>
        <v>7504.2</v>
      </c>
      <c r="U39" s="115">
        <f t="shared" si="7"/>
        <v>59</v>
      </c>
      <c r="V39" s="116">
        <f t="shared" si="7"/>
        <v>11007.199999999999</v>
      </c>
      <c r="W39" s="115">
        <f t="shared" si="7"/>
        <v>52</v>
      </c>
      <c r="X39" s="116">
        <f t="shared" si="7"/>
        <v>8503.0999999999985</v>
      </c>
      <c r="Y39" s="115">
        <f t="shared" si="7"/>
        <v>79</v>
      </c>
      <c r="Z39" s="116">
        <f t="shared" si="7"/>
        <v>23733.5</v>
      </c>
      <c r="AA39" s="115">
        <f t="shared" si="7"/>
        <v>63</v>
      </c>
      <c r="AB39" s="116">
        <f t="shared" si="7"/>
        <v>15886.800000000001</v>
      </c>
      <c r="AC39" s="115">
        <f t="shared" si="7"/>
        <v>60</v>
      </c>
      <c r="AD39" s="116">
        <f t="shared" si="7"/>
        <v>7395.2</v>
      </c>
      <c r="AE39" s="115">
        <f t="shared" si="7"/>
        <v>67</v>
      </c>
      <c r="AF39" s="116">
        <f t="shared" si="7"/>
        <v>10461.6</v>
      </c>
      <c r="AG39" s="115">
        <f t="shared" si="7"/>
        <v>54</v>
      </c>
      <c r="AH39" s="116">
        <f t="shared" si="7"/>
        <v>6940.7</v>
      </c>
      <c r="AI39" s="115">
        <f t="shared" si="7"/>
        <v>75</v>
      </c>
      <c r="AJ39" s="116">
        <f t="shared" si="7"/>
        <v>12994.3</v>
      </c>
      <c r="AK39" s="115">
        <f t="shared" si="7"/>
        <v>61</v>
      </c>
      <c r="AL39" s="116">
        <f t="shared" si="7"/>
        <v>7794.9</v>
      </c>
      <c r="AM39" s="115">
        <f t="shared" si="7"/>
        <v>62</v>
      </c>
      <c r="AN39" s="116">
        <f t="shared" si="7"/>
        <v>12900.7</v>
      </c>
      <c r="AO39" s="115">
        <f t="shared" si="7"/>
        <v>15</v>
      </c>
      <c r="AP39" s="116">
        <f t="shared" si="7"/>
        <v>2862</v>
      </c>
      <c r="AQ39" s="115">
        <f t="shared" si="7"/>
        <v>64</v>
      </c>
      <c r="AR39" s="116">
        <f t="shared" si="7"/>
        <v>10221.400000000001</v>
      </c>
      <c r="AS39" s="115">
        <f t="shared" si="7"/>
        <v>68</v>
      </c>
      <c r="AT39" s="116">
        <f t="shared" si="7"/>
        <v>11198.800000000001</v>
      </c>
      <c r="AU39" s="115">
        <f t="shared" si="7"/>
        <v>55</v>
      </c>
      <c r="AV39" s="116">
        <f t="shared" si="7"/>
        <v>6911.5</v>
      </c>
      <c r="AW39" s="115">
        <f t="shared" si="7"/>
        <v>76</v>
      </c>
      <c r="AX39" s="116">
        <f t="shared" si="7"/>
        <v>10703.400000000001</v>
      </c>
      <c r="AY39" s="115">
        <f t="shared" si="7"/>
        <v>55</v>
      </c>
      <c r="AZ39" s="116">
        <f t="shared" si="7"/>
        <v>8272.9</v>
      </c>
      <c r="BA39" s="115">
        <f t="shared" si="7"/>
        <v>72</v>
      </c>
      <c r="BB39" s="116">
        <f t="shared" si="7"/>
        <v>16774.7</v>
      </c>
      <c r="BC39" s="115">
        <f t="shared" si="7"/>
        <v>60</v>
      </c>
      <c r="BD39" s="116">
        <f t="shared" si="7"/>
        <v>16257.4</v>
      </c>
      <c r="BE39" s="115">
        <f t="shared" si="7"/>
        <v>59</v>
      </c>
      <c r="BF39" s="116">
        <f t="shared" si="7"/>
        <v>9168.6999999999989</v>
      </c>
      <c r="BG39" s="115">
        <f t="shared" si="7"/>
        <v>64</v>
      </c>
      <c r="BH39" s="116">
        <f t="shared" si="7"/>
        <v>9065.6</v>
      </c>
      <c r="BI39" s="115">
        <f t="shared" si="7"/>
        <v>67</v>
      </c>
      <c r="BJ39" s="116">
        <f t="shared" si="7"/>
        <v>9464.5</v>
      </c>
      <c r="BK39" s="115">
        <f t="shared" si="7"/>
        <v>63</v>
      </c>
      <c r="BL39" s="116">
        <f t="shared" si="7"/>
        <v>8384.7999999999993</v>
      </c>
      <c r="BM39" s="117">
        <f t="shared" ref="BM39:BN39" si="8">SUM(BM35:BM38)</f>
        <v>1925</v>
      </c>
      <c r="BN39" s="116">
        <f t="shared" si="8"/>
        <v>342024.60000000003</v>
      </c>
      <c r="BO39" s="102"/>
      <c r="BP39" s="102"/>
      <c r="BQ39" s="102"/>
      <c r="BR39" s="102"/>
      <c r="BS39" s="102"/>
      <c r="BT39" s="102"/>
      <c r="BU39" s="102"/>
      <c r="BV39" s="102"/>
      <c r="BW39" s="102"/>
      <c r="BX39" s="102"/>
      <c r="CA39" s="83"/>
      <c r="CB39" s="83"/>
      <c r="CC39" s="83"/>
      <c r="CD39" s="83"/>
      <c r="CE39" s="83"/>
      <c r="CF39" s="83"/>
      <c r="CG39" s="83"/>
      <c r="CH39" s="83"/>
      <c r="CI39" s="83"/>
      <c r="CJ39" s="83"/>
      <c r="CK39" s="83"/>
      <c r="CL39" s="83"/>
      <c r="CM39" s="83"/>
      <c r="CN39" s="83"/>
      <c r="CO39" s="83"/>
      <c r="CP39" s="83"/>
    </row>
    <row r="40" spans="1:94" x14ac:dyDescent="0.25">
      <c r="C40" s="118"/>
      <c r="D40" s="119"/>
      <c r="E40" s="118"/>
      <c r="F40" s="119"/>
      <c r="G40" s="118"/>
      <c r="H40" s="119"/>
      <c r="I40" s="118"/>
      <c r="J40" s="119"/>
      <c r="K40" s="118"/>
      <c r="L40" s="119"/>
      <c r="M40" s="118"/>
      <c r="N40" s="119"/>
      <c r="O40" s="118"/>
      <c r="P40" s="119"/>
      <c r="Q40" s="118"/>
      <c r="R40" s="119"/>
      <c r="S40" s="118"/>
      <c r="T40" s="119"/>
      <c r="U40" s="118"/>
      <c r="V40" s="119"/>
      <c r="W40" s="118"/>
      <c r="X40" s="119"/>
      <c r="Y40" s="118"/>
      <c r="Z40" s="119"/>
      <c r="AA40" s="118"/>
      <c r="AB40" s="119"/>
      <c r="AC40" s="118"/>
      <c r="AD40" s="119"/>
      <c r="AE40" s="118"/>
      <c r="AF40" s="119"/>
      <c r="AG40" s="118"/>
      <c r="AH40" s="119"/>
      <c r="AI40" s="118"/>
      <c r="AJ40" s="119"/>
      <c r="AK40" s="118"/>
      <c r="AL40" s="119"/>
      <c r="AM40" s="118"/>
      <c r="AN40" s="119"/>
      <c r="AO40" s="118"/>
      <c r="AP40" s="119"/>
      <c r="AQ40" s="118"/>
      <c r="AR40" s="119"/>
      <c r="AS40" s="118"/>
      <c r="AT40" s="119"/>
      <c r="AU40" s="118"/>
      <c r="AV40" s="119"/>
      <c r="AW40" s="118"/>
      <c r="AX40" s="119"/>
      <c r="AY40" s="118"/>
      <c r="AZ40" s="119"/>
      <c r="BA40" s="118"/>
      <c r="BB40" s="119"/>
      <c r="BC40" s="118"/>
      <c r="BD40" s="119"/>
      <c r="BE40" s="118"/>
      <c r="BF40" s="119"/>
      <c r="BG40" s="118"/>
      <c r="BH40" s="119"/>
      <c r="BI40" s="118"/>
      <c r="BJ40" s="119"/>
      <c r="BK40" s="118"/>
      <c r="BL40" s="119"/>
      <c r="BM40" s="120"/>
      <c r="BN40" s="119"/>
      <c r="CA40" s="83"/>
      <c r="CB40" s="83"/>
      <c r="CC40" s="83"/>
      <c r="CD40" s="83"/>
      <c r="CE40" s="83"/>
      <c r="CF40" s="83"/>
      <c r="CG40" s="83"/>
      <c r="CH40" s="83"/>
      <c r="CI40" s="83"/>
      <c r="CJ40" s="83"/>
      <c r="CK40" s="83"/>
      <c r="CL40" s="83"/>
      <c r="CM40" s="83"/>
      <c r="CN40" s="83"/>
      <c r="CO40" s="83"/>
      <c r="CP40" s="83"/>
    </row>
    <row r="41" spans="1:94" x14ac:dyDescent="0.25">
      <c r="A41" s="92" t="s">
        <v>34</v>
      </c>
      <c r="B41" s="93"/>
      <c r="C41" s="121"/>
      <c r="D41" s="122"/>
      <c r="E41" s="121"/>
      <c r="F41" s="122"/>
      <c r="G41" s="121"/>
      <c r="H41" s="122"/>
      <c r="I41" s="121"/>
      <c r="J41" s="122"/>
      <c r="K41" s="121"/>
      <c r="L41" s="122"/>
      <c r="M41" s="121"/>
      <c r="N41" s="122"/>
      <c r="O41" s="121"/>
      <c r="P41" s="122"/>
      <c r="Q41" s="121"/>
      <c r="R41" s="122"/>
      <c r="S41" s="121"/>
      <c r="T41" s="122"/>
      <c r="U41" s="121"/>
      <c r="V41" s="122"/>
      <c r="W41" s="121"/>
      <c r="X41" s="122"/>
      <c r="Y41" s="121"/>
      <c r="Z41" s="122"/>
      <c r="AA41" s="121"/>
      <c r="AB41" s="122"/>
      <c r="AC41" s="121"/>
      <c r="AD41" s="122"/>
      <c r="AE41" s="121"/>
      <c r="AF41" s="122"/>
      <c r="AG41" s="121"/>
      <c r="AH41" s="122"/>
      <c r="AI41" s="121"/>
      <c r="AJ41" s="122"/>
      <c r="AK41" s="121"/>
      <c r="AL41" s="122"/>
      <c r="AM41" s="121"/>
      <c r="AN41" s="122"/>
      <c r="AO41" s="121"/>
      <c r="AP41" s="122"/>
      <c r="AQ41" s="121"/>
      <c r="AR41" s="122"/>
      <c r="AS41" s="121"/>
      <c r="AT41" s="122"/>
      <c r="AU41" s="121"/>
      <c r="AV41" s="122"/>
      <c r="AW41" s="121"/>
      <c r="AX41" s="122"/>
      <c r="AY41" s="121"/>
      <c r="AZ41" s="122"/>
      <c r="BA41" s="121"/>
      <c r="BB41" s="122"/>
      <c r="BC41" s="121"/>
      <c r="BD41" s="122"/>
      <c r="BE41" s="121"/>
      <c r="BF41" s="122"/>
      <c r="BG41" s="121"/>
      <c r="BH41" s="122"/>
      <c r="BI41" s="121"/>
      <c r="BJ41" s="122"/>
      <c r="BK41" s="121"/>
      <c r="BL41" s="122"/>
      <c r="BM41" s="123"/>
      <c r="BN41" s="122"/>
      <c r="CA41" s="83"/>
      <c r="CB41" s="83"/>
      <c r="CC41" s="83"/>
      <c r="CD41" s="83"/>
      <c r="CE41" s="83"/>
      <c r="CF41" s="83"/>
      <c r="CG41" s="83"/>
      <c r="CH41" s="83"/>
      <c r="CI41" s="83"/>
      <c r="CJ41" s="83"/>
      <c r="CK41" s="83"/>
      <c r="CL41" s="83"/>
      <c r="CM41" s="83"/>
      <c r="CN41" s="83"/>
      <c r="CO41" s="83"/>
      <c r="CP41" s="83"/>
    </row>
    <row r="42" spans="1:94" x14ac:dyDescent="0.25">
      <c r="A42" s="79" t="s">
        <v>35</v>
      </c>
      <c r="B42" s="98" t="s">
        <v>9</v>
      </c>
      <c r="C42" s="112">
        <f>EOD_Credit_NP!D32</f>
        <v>0</v>
      </c>
      <c r="D42" s="113">
        <f>EOD_Credit_NP!E32</f>
        <v>0</v>
      </c>
      <c r="E42" s="112">
        <f>EOD_Credit_NP!F32</f>
        <v>0</v>
      </c>
      <c r="F42" s="113">
        <f>EOD_Credit_NP!G32</f>
        <v>0</v>
      </c>
      <c r="G42" s="112">
        <f>EOD_Credit_NP!H32</f>
        <v>0</v>
      </c>
      <c r="H42" s="113">
        <f>EOD_Credit_NP!I32</f>
        <v>0</v>
      </c>
      <c r="I42" s="112">
        <f>EOD_Credit_NP!J32</f>
        <v>0</v>
      </c>
      <c r="J42" s="113">
        <f>EOD_Credit_NP!K32</f>
        <v>0</v>
      </c>
      <c r="K42" s="112">
        <f>EOD_Credit_NP!L32</f>
        <v>1</v>
      </c>
      <c r="L42" s="113">
        <f>EOD_Credit_NP!M32</f>
        <v>400</v>
      </c>
      <c r="M42" s="112">
        <f>EOD_Credit_NP!N32</f>
        <v>0</v>
      </c>
      <c r="N42" s="113">
        <f>EOD_Credit_NP!O32</f>
        <v>0</v>
      </c>
      <c r="O42" s="112">
        <f>EOD_Credit_NP!P32</f>
        <v>0</v>
      </c>
      <c r="P42" s="113">
        <f>EOD_Credit_NP!Q32</f>
        <v>0</v>
      </c>
      <c r="Q42" s="112">
        <f>EOD_Credit_NP!R32</f>
        <v>1</v>
      </c>
      <c r="R42" s="113">
        <f>EOD_Credit_NP!S32</f>
        <v>1247.4000000000001</v>
      </c>
      <c r="S42" s="112">
        <f>EOD_Credit_NP!T32</f>
        <v>0</v>
      </c>
      <c r="T42" s="113">
        <f>EOD_Credit_NP!U32</f>
        <v>0</v>
      </c>
      <c r="U42" s="112">
        <f>EOD_Credit_NP!V32</f>
        <v>0</v>
      </c>
      <c r="V42" s="113">
        <f>EOD_Credit_NP!W32</f>
        <v>0</v>
      </c>
      <c r="W42" s="112">
        <f>EOD_Credit_NP!X32</f>
        <v>0</v>
      </c>
      <c r="X42" s="113">
        <f>EOD_Credit_NP!Y32</f>
        <v>0</v>
      </c>
      <c r="Y42" s="112">
        <f>EOD_Credit_NP!Z32</f>
        <v>0</v>
      </c>
      <c r="Z42" s="113">
        <f>EOD_Credit_NP!AA32</f>
        <v>0</v>
      </c>
      <c r="AA42" s="112">
        <f>EOD_Credit_NP!AB32</f>
        <v>0</v>
      </c>
      <c r="AB42" s="113">
        <f>EOD_Credit_NP!AC32</f>
        <v>0</v>
      </c>
      <c r="AC42" s="112">
        <f>EOD_Credit_NP!AD32</f>
        <v>0</v>
      </c>
      <c r="AD42" s="113">
        <f>EOD_Credit_NP!AE32</f>
        <v>0</v>
      </c>
      <c r="AE42" s="112">
        <f>EOD_Credit_NP!AF32</f>
        <v>1</v>
      </c>
      <c r="AF42" s="113">
        <f>EOD_Credit_NP!AG32</f>
        <v>400</v>
      </c>
      <c r="AG42" s="112">
        <f>EOD_Credit_NP!AH32</f>
        <v>0</v>
      </c>
      <c r="AH42" s="113">
        <f>EOD_Credit_NP!AI32</f>
        <v>0</v>
      </c>
      <c r="AI42" s="112">
        <f>EOD_Credit_NP!AJ32</f>
        <v>1</v>
      </c>
      <c r="AJ42" s="113">
        <f>EOD_Credit_NP!AK32</f>
        <v>1089.5</v>
      </c>
      <c r="AK42" s="112">
        <f>EOD_Credit_NP!AL32</f>
        <v>0</v>
      </c>
      <c r="AL42" s="113">
        <f>EOD_Credit_NP!AM32</f>
        <v>0</v>
      </c>
      <c r="AM42" s="112">
        <f>EOD_Credit_NP!AN32</f>
        <v>0</v>
      </c>
      <c r="AN42" s="113">
        <f>EOD_Credit_NP!AO32</f>
        <v>0</v>
      </c>
      <c r="AO42" s="112">
        <f>EOD_Credit_NP!AP32</f>
        <v>0</v>
      </c>
      <c r="AP42" s="113">
        <f>EOD_Credit_NP!AQ32</f>
        <v>0</v>
      </c>
      <c r="AQ42" s="112">
        <f>EOD_Credit_NP!AR32</f>
        <v>0</v>
      </c>
      <c r="AR42" s="113">
        <f>EOD_Credit_NP!AS32</f>
        <v>0</v>
      </c>
      <c r="AS42" s="112">
        <f>EOD_Credit_NP!AT32</f>
        <v>0</v>
      </c>
      <c r="AT42" s="113">
        <f>EOD_Credit_NP!AU32</f>
        <v>0</v>
      </c>
      <c r="AU42" s="112">
        <f>EOD_Credit_NP!AV32</f>
        <v>0</v>
      </c>
      <c r="AV42" s="113">
        <f>EOD_Credit_NP!AW32</f>
        <v>0</v>
      </c>
      <c r="AW42" s="112">
        <f>EOD_Credit_NP!AX32</f>
        <v>0</v>
      </c>
      <c r="AX42" s="113">
        <f>EOD_Credit_NP!AY32</f>
        <v>0</v>
      </c>
      <c r="AY42" s="112">
        <f>EOD_Credit_NP!AZ32</f>
        <v>0</v>
      </c>
      <c r="AZ42" s="113">
        <f>EOD_Credit_NP!BA32</f>
        <v>0</v>
      </c>
      <c r="BA42" s="112">
        <f>EOD_Credit_NP!BB32</f>
        <v>0</v>
      </c>
      <c r="BB42" s="113">
        <f>EOD_Credit_NP!BC32</f>
        <v>0</v>
      </c>
      <c r="BC42" s="112">
        <f>EOD_Credit_NP!BD32</f>
        <v>0</v>
      </c>
      <c r="BD42" s="113">
        <f>EOD_Credit_NP!BE32</f>
        <v>0</v>
      </c>
      <c r="BE42" s="112">
        <f>EOD_Credit_NP!BF32</f>
        <v>0</v>
      </c>
      <c r="BF42" s="113">
        <f>EOD_Credit_NP!BG32</f>
        <v>0</v>
      </c>
      <c r="BG42" s="112">
        <f>EOD_Credit_NP!BH32</f>
        <v>1</v>
      </c>
      <c r="BH42" s="113">
        <f>EOD_Credit_NP!BI32</f>
        <v>1358.8</v>
      </c>
      <c r="BI42" s="112">
        <f>EOD_Credit_NP!BJ32</f>
        <v>0</v>
      </c>
      <c r="BJ42" s="113">
        <f>EOD_Credit_NP!BK32</f>
        <v>0</v>
      </c>
      <c r="BK42" s="112">
        <f>EOD_Credit_NP!BL32</f>
        <v>0</v>
      </c>
      <c r="BL42" s="113">
        <f>EOD_Credit_NP!BM32</f>
        <v>0</v>
      </c>
      <c r="BM42" s="114" cm="1">
        <f t="array" ref="BM42">SUMPRODUCT((MOD(COLUMN(C42:BL42)-COLUMN(C42),2)=0)*C42:BL42)</f>
        <v>5</v>
      </c>
      <c r="BN42" s="113" cm="1">
        <f t="array" ref="BN42">SUMPRODUCT((MOD(COLUMN(D42:BM42)-COLUMN(D42),2)=0)*D42:BM42)</f>
        <v>4495.7</v>
      </c>
      <c r="CA42" s="83"/>
      <c r="CB42" s="83"/>
      <c r="CC42" s="83"/>
      <c r="CD42" s="83"/>
      <c r="CE42" s="83"/>
      <c r="CF42" s="83"/>
      <c r="CG42" s="83"/>
      <c r="CH42" s="83"/>
      <c r="CI42" s="83"/>
      <c r="CJ42" s="83"/>
      <c r="CK42" s="83"/>
      <c r="CL42" s="83"/>
      <c r="CM42" s="83"/>
      <c r="CN42" s="83"/>
      <c r="CO42" s="83"/>
      <c r="CP42" s="83"/>
    </row>
    <row r="43" spans="1:94" x14ac:dyDescent="0.25">
      <c r="A43" s="79" t="s">
        <v>34</v>
      </c>
      <c r="B43" s="98" t="s">
        <v>9</v>
      </c>
      <c r="C43" s="112">
        <f>EOD_Credit_NP!D31</f>
        <v>8</v>
      </c>
      <c r="D43" s="113">
        <f>EOD_Credit_NP!E31</f>
        <v>5243.2</v>
      </c>
      <c r="E43" s="112">
        <f>EOD_Credit_NP!F31</f>
        <v>10</v>
      </c>
      <c r="F43" s="113">
        <f>EOD_Credit_NP!G31</f>
        <v>4802.7</v>
      </c>
      <c r="G43" s="112">
        <f>EOD_Credit_NP!H31</f>
        <v>5</v>
      </c>
      <c r="H43" s="113">
        <f>EOD_Credit_NP!I31</f>
        <v>2208.9</v>
      </c>
      <c r="I43" s="112">
        <f>EOD_Credit_NP!J31</f>
        <v>15</v>
      </c>
      <c r="J43" s="113">
        <f>EOD_Credit_NP!K31</f>
        <v>11065.2</v>
      </c>
      <c r="K43" s="112">
        <f>EOD_Credit_NP!L31</f>
        <v>7</v>
      </c>
      <c r="L43" s="113">
        <f>EOD_Credit_NP!M31</f>
        <v>4182.3999999999996</v>
      </c>
      <c r="M43" s="112">
        <f>EOD_Credit_NP!N31</f>
        <v>7</v>
      </c>
      <c r="N43" s="113">
        <f>EOD_Credit_NP!O31</f>
        <v>3947</v>
      </c>
      <c r="O43" s="112">
        <f>EOD_Credit_NP!P31</f>
        <v>7</v>
      </c>
      <c r="P43" s="113">
        <f>EOD_Credit_NP!Q31</f>
        <v>3239.8</v>
      </c>
      <c r="Q43" s="112">
        <f>EOD_Credit_NP!R31</f>
        <v>14</v>
      </c>
      <c r="R43" s="113">
        <f>EOD_Credit_NP!S31</f>
        <v>11871.4</v>
      </c>
      <c r="S43" s="112">
        <f>EOD_Credit_NP!T31</f>
        <v>4</v>
      </c>
      <c r="T43" s="113">
        <f>EOD_Credit_NP!U31</f>
        <v>2128.4</v>
      </c>
      <c r="U43" s="112">
        <f>EOD_Credit_NP!V31</f>
        <v>9</v>
      </c>
      <c r="V43" s="113">
        <f>EOD_Credit_NP!W31</f>
        <v>6465.5</v>
      </c>
      <c r="W43" s="112">
        <f>EOD_Credit_NP!X31</f>
        <v>6</v>
      </c>
      <c r="X43" s="113">
        <f>EOD_Credit_NP!Y31</f>
        <v>4144.3</v>
      </c>
      <c r="Y43" s="112">
        <f>EOD_Credit_NP!Z31</f>
        <v>7</v>
      </c>
      <c r="Z43" s="113">
        <f>EOD_Credit_NP!AA31</f>
        <v>5321.6</v>
      </c>
      <c r="AA43" s="112">
        <f>EOD_Credit_NP!AB31</f>
        <v>7</v>
      </c>
      <c r="AB43" s="113">
        <f>EOD_Credit_NP!AC31</f>
        <v>5512.4</v>
      </c>
      <c r="AC43" s="112">
        <f>EOD_Credit_NP!AD31</f>
        <v>5</v>
      </c>
      <c r="AD43" s="113">
        <f>EOD_Credit_NP!AE31</f>
        <v>2657</v>
      </c>
      <c r="AE43" s="112">
        <f>EOD_Credit_NP!AF31</f>
        <v>16</v>
      </c>
      <c r="AF43" s="113">
        <f>EOD_Credit_NP!AG31</f>
        <v>12141</v>
      </c>
      <c r="AG43" s="112">
        <f>EOD_Credit_NP!AH31</f>
        <v>2</v>
      </c>
      <c r="AH43" s="113">
        <f>EOD_Credit_NP!AI31</f>
        <v>1000</v>
      </c>
      <c r="AI43" s="112">
        <f>EOD_Credit_NP!AJ31</f>
        <v>13</v>
      </c>
      <c r="AJ43" s="113">
        <f>EOD_Credit_NP!AK31</f>
        <v>7587.5</v>
      </c>
      <c r="AK43" s="112">
        <f>EOD_Credit_NP!AL31</f>
        <v>8</v>
      </c>
      <c r="AL43" s="113">
        <f>EOD_Credit_NP!AM31</f>
        <v>4577</v>
      </c>
      <c r="AM43" s="112">
        <f>EOD_Credit_NP!AN31</f>
        <v>14</v>
      </c>
      <c r="AN43" s="113">
        <f>EOD_Credit_NP!AO31</f>
        <v>9202.7000000000007</v>
      </c>
      <c r="AO43" s="112">
        <f>EOD_Credit_NP!AP31</f>
        <v>0</v>
      </c>
      <c r="AP43" s="113">
        <f>EOD_Credit_NP!AQ31</f>
        <v>0</v>
      </c>
      <c r="AQ43" s="112">
        <f>EOD_Credit_NP!AR31</f>
        <v>5</v>
      </c>
      <c r="AR43" s="113">
        <f>EOD_Credit_NP!AS31</f>
        <v>3100</v>
      </c>
      <c r="AS43" s="112">
        <f>EOD_Credit_NP!AT31</f>
        <v>3</v>
      </c>
      <c r="AT43" s="113">
        <f>EOD_Credit_NP!AU31</f>
        <v>2218.4</v>
      </c>
      <c r="AU43" s="112">
        <f>EOD_Credit_NP!AV31</f>
        <v>8</v>
      </c>
      <c r="AV43" s="113">
        <f>EOD_Credit_NP!AW31</f>
        <v>4477.8999999999996</v>
      </c>
      <c r="AW43" s="112">
        <f>EOD_Credit_NP!AX31</f>
        <v>6</v>
      </c>
      <c r="AX43" s="113">
        <f>EOD_Credit_NP!AY31</f>
        <v>3004.9</v>
      </c>
      <c r="AY43" s="112">
        <f>EOD_Credit_NP!AZ31</f>
        <v>11</v>
      </c>
      <c r="AZ43" s="113">
        <f>EOD_Credit_NP!BA31</f>
        <v>6871.8</v>
      </c>
      <c r="BA43" s="112">
        <f>EOD_Credit_NP!BB31</f>
        <v>8</v>
      </c>
      <c r="BB43" s="113">
        <f>EOD_Credit_NP!BC31</f>
        <v>4481.3</v>
      </c>
      <c r="BC43" s="112">
        <f>EOD_Credit_NP!BD31</f>
        <v>5</v>
      </c>
      <c r="BD43" s="113">
        <f>EOD_Credit_NP!BE31</f>
        <v>2342.4</v>
      </c>
      <c r="BE43" s="112">
        <f>EOD_Credit_NP!BF31</f>
        <v>4</v>
      </c>
      <c r="BF43" s="113">
        <f>EOD_Credit_NP!BG31</f>
        <v>2661.2</v>
      </c>
      <c r="BG43" s="112">
        <f>EOD_Credit_NP!BH31</f>
        <v>8</v>
      </c>
      <c r="BH43" s="113">
        <f>EOD_Credit_NP!BI31</f>
        <v>5947.1</v>
      </c>
      <c r="BI43" s="112">
        <f>EOD_Credit_NP!BJ31</f>
        <v>4</v>
      </c>
      <c r="BJ43" s="113">
        <f>EOD_Credit_NP!BK31</f>
        <v>1588.9</v>
      </c>
      <c r="BK43" s="112">
        <f>EOD_Credit_NP!BL31</f>
        <v>13</v>
      </c>
      <c r="BL43" s="113">
        <f>EOD_Credit_NP!BM31</f>
        <v>7072.8</v>
      </c>
      <c r="BM43" s="114" cm="1">
        <f t="array" ref="BM43">SUMPRODUCT((MOD(COLUMN(C43:BL43)-COLUMN(C43),2)=0)*C43:BL43)</f>
        <v>239</v>
      </c>
      <c r="BN43" s="113" cm="1">
        <f t="array" ref="BN43">SUMPRODUCT((MOD(COLUMN(D43:BM43)-COLUMN(D43),2)=0)*D43:BM43)</f>
        <v>151064.69999999998</v>
      </c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</row>
    <row r="44" spans="1:94" x14ac:dyDescent="0.25">
      <c r="A44" s="100" t="s">
        <v>36</v>
      </c>
      <c r="B44" s="101"/>
      <c r="C44" s="115">
        <f t="shared" ref="C44:BL44" si="9">SUM(C42:C43)</f>
        <v>8</v>
      </c>
      <c r="D44" s="116">
        <f t="shared" si="9"/>
        <v>5243.2</v>
      </c>
      <c r="E44" s="115">
        <f t="shared" si="9"/>
        <v>10</v>
      </c>
      <c r="F44" s="116">
        <f t="shared" si="9"/>
        <v>4802.7</v>
      </c>
      <c r="G44" s="115">
        <f t="shared" si="9"/>
        <v>5</v>
      </c>
      <c r="H44" s="116">
        <f t="shared" si="9"/>
        <v>2208.9</v>
      </c>
      <c r="I44" s="115">
        <f t="shared" si="9"/>
        <v>15</v>
      </c>
      <c r="J44" s="116">
        <f t="shared" si="9"/>
        <v>11065.2</v>
      </c>
      <c r="K44" s="115">
        <f t="shared" si="9"/>
        <v>8</v>
      </c>
      <c r="L44" s="116">
        <f t="shared" si="9"/>
        <v>4582.3999999999996</v>
      </c>
      <c r="M44" s="115">
        <f t="shared" si="9"/>
        <v>7</v>
      </c>
      <c r="N44" s="116">
        <f t="shared" si="9"/>
        <v>3947</v>
      </c>
      <c r="O44" s="115">
        <f t="shared" si="9"/>
        <v>7</v>
      </c>
      <c r="P44" s="116">
        <f t="shared" si="9"/>
        <v>3239.8</v>
      </c>
      <c r="Q44" s="115">
        <f t="shared" si="9"/>
        <v>15</v>
      </c>
      <c r="R44" s="116">
        <f t="shared" si="9"/>
        <v>13118.8</v>
      </c>
      <c r="S44" s="115">
        <f t="shared" si="9"/>
        <v>4</v>
      </c>
      <c r="T44" s="116">
        <f t="shared" si="9"/>
        <v>2128.4</v>
      </c>
      <c r="U44" s="115">
        <f t="shared" si="9"/>
        <v>9</v>
      </c>
      <c r="V44" s="116">
        <f t="shared" si="9"/>
        <v>6465.5</v>
      </c>
      <c r="W44" s="115">
        <f t="shared" si="9"/>
        <v>6</v>
      </c>
      <c r="X44" s="116">
        <f t="shared" si="9"/>
        <v>4144.3</v>
      </c>
      <c r="Y44" s="115">
        <f t="shared" si="9"/>
        <v>7</v>
      </c>
      <c r="Z44" s="116">
        <f t="shared" si="9"/>
        <v>5321.6</v>
      </c>
      <c r="AA44" s="115">
        <f t="shared" si="9"/>
        <v>7</v>
      </c>
      <c r="AB44" s="116">
        <f t="shared" si="9"/>
        <v>5512.4</v>
      </c>
      <c r="AC44" s="115">
        <f t="shared" si="9"/>
        <v>5</v>
      </c>
      <c r="AD44" s="116">
        <f t="shared" si="9"/>
        <v>2657</v>
      </c>
      <c r="AE44" s="115">
        <f t="shared" si="9"/>
        <v>17</v>
      </c>
      <c r="AF44" s="116">
        <f t="shared" si="9"/>
        <v>12541</v>
      </c>
      <c r="AG44" s="115">
        <f t="shared" si="9"/>
        <v>2</v>
      </c>
      <c r="AH44" s="116">
        <f t="shared" si="9"/>
        <v>1000</v>
      </c>
      <c r="AI44" s="115">
        <f t="shared" si="9"/>
        <v>14</v>
      </c>
      <c r="AJ44" s="116">
        <f t="shared" si="9"/>
        <v>8677</v>
      </c>
      <c r="AK44" s="115">
        <f t="shared" si="9"/>
        <v>8</v>
      </c>
      <c r="AL44" s="116">
        <f t="shared" si="9"/>
        <v>4577</v>
      </c>
      <c r="AM44" s="115">
        <f t="shared" si="9"/>
        <v>14</v>
      </c>
      <c r="AN44" s="116">
        <f t="shared" si="9"/>
        <v>9202.7000000000007</v>
      </c>
      <c r="AO44" s="115">
        <f t="shared" si="9"/>
        <v>0</v>
      </c>
      <c r="AP44" s="116">
        <f t="shared" si="9"/>
        <v>0</v>
      </c>
      <c r="AQ44" s="115">
        <f t="shared" si="9"/>
        <v>5</v>
      </c>
      <c r="AR44" s="116">
        <f t="shared" si="9"/>
        <v>3100</v>
      </c>
      <c r="AS44" s="115">
        <f t="shared" si="9"/>
        <v>3</v>
      </c>
      <c r="AT44" s="116">
        <f t="shared" si="9"/>
        <v>2218.4</v>
      </c>
      <c r="AU44" s="115">
        <f t="shared" si="9"/>
        <v>8</v>
      </c>
      <c r="AV44" s="116">
        <f t="shared" si="9"/>
        <v>4477.8999999999996</v>
      </c>
      <c r="AW44" s="115">
        <f t="shared" si="9"/>
        <v>6</v>
      </c>
      <c r="AX44" s="116">
        <f t="shared" si="9"/>
        <v>3004.9</v>
      </c>
      <c r="AY44" s="115">
        <f t="shared" si="9"/>
        <v>11</v>
      </c>
      <c r="AZ44" s="116">
        <f t="shared" si="9"/>
        <v>6871.8</v>
      </c>
      <c r="BA44" s="115">
        <f t="shared" si="9"/>
        <v>8</v>
      </c>
      <c r="BB44" s="116">
        <f t="shared" si="9"/>
        <v>4481.3</v>
      </c>
      <c r="BC44" s="115">
        <f t="shared" si="9"/>
        <v>5</v>
      </c>
      <c r="BD44" s="116">
        <f t="shared" si="9"/>
        <v>2342.4</v>
      </c>
      <c r="BE44" s="115">
        <f t="shared" si="9"/>
        <v>4</v>
      </c>
      <c r="BF44" s="116">
        <f t="shared" si="9"/>
        <v>2661.2</v>
      </c>
      <c r="BG44" s="115">
        <f t="shared" si="9"/>
        <v>9</v>
      </c>
      <c r="BH44" s="116">
        <f t="shared" si="9"/>
        <v>7305.9000000000005</v>
      </c>
      <c r="BI44" s="115">
        <f t="shared" si="9"/>
        <v>4</v>
      </c>
      <c r="BJ44" s="116">
        <f t="shared" si="9"/>
        <v>1588.9</v>
      </c>
      <c r="BK44" s="115">
        <f t="shared" si="9"/>
        <v>13</v>
      </c>
      <c r="BL44" s="116">
        <f t="shared" si="9"/>
        <v>7072.8</v>
      </c>
      <c r="BM44" s="117">
        <f t="shared" ref="BM44:BN44" si="10">SUM(BM42:BM43)</f>
        <v>244</v>
      </c>
      <c r="BN44" s="116">
        <f t="shared" si="10"/>
        <v>155560.4</v>
      </c>
      <c r="BO44" s="102"/>
      <c r="BP44" s="102"/>
      <c r="BQ44" s="102"/>
      <c r="BR44" s="102"/>
      <c r="BS44" s="102"/>
      <c r="BT44" s="102"/>
      <c r="BU44" s="102"/>
      <c r="BV44" s="102"/>
      <c r="BW44" s="102"/>
      <c r="BX44" s="102"/>
      <c r="CA44" s="83"/>
      <c r="CB44" s="83"/>
      <c r="CC44" s="83"/>
      <c r="CD44" s="83"/>
      <c r="CE44" s="83"/>
      <c r="CF44" s="83"/>
      <c r="CG44" s="83"/>
      <c r="CH44" s="83"/>
      <c r="CI44" s="83"/>
      <c r="CJ44" s="83"/>
      <c r="CK44" s="83"/>
      <c r="CL44" s="83"/>
      <c r="CM44" s="83"/>
      <c r="CN44" s="83"/>
      <c r="CO44" s="83"/>
      <c r="CP44" s="83"/>
    </row>
    <row r="45" spans="1:94" x14ac:dyDescent="0.25">
      <c r="C45" s="118"/>
      <c r="D45" s="119"/>
      <c r="E45" s="118"/>
      <c r="F45" s="119"/>
      <c r="G45" s="118"/>
      <c r="H45" s="119"/>
      <c r="I45" s="118"/>
      <c r="J45" s="119"/>
      <c r="K45" s="118"/>
      <c r="L45" s="119"/>
      <c r="M45" s="118"/>
      <c r="N45" s="119"/>
      <c r="O45" s="118"/>
      <c r="P45" s="119"/>
      <c r="Q45" s="118"/>
      <c r="R45" s="119"/>
      <c r="S45" s="118"/>
      <c r="T45" s="119"/>
      <c r="U45" s="118"/>
      <c r="V45" s="119"/>
      <c r="W45" s="118"/>
      <c r="X45" s="119"/>
      <c r="Y45" s="118"/>
      <c r="Z45" s="119"/>
      <c r="AA45" s="118"/>
      <c r="AB45" s="119"/>
      <c r="AC45" s="118"/>
      <c r="AD45" s="119"/>
      <c r="AE45" s="118"/>
      <c r="AF45" s="119"/>
      <c r="AG45" s="118"/>
      <c r="AH45" s="119"/>
      <c r="AI45" s="118"/>
      <c r="AJ45" s="119"/>
      <c r="AK45" s="118"/>
      <c r="AL45" s="119"/>
      <c r="AM45" s="118"/>
      <c r="AN45" s="119"/>
      <c r="AO45" s="118"/>
      <c r="AP45" s="119"/>
      <c r="AQ45" s="118"/>
      <c r="AR45" s="119"/>
      <c r="AS45" s="118"/>
      <c r="AT45" s="119"/>
      <c r="AU45" s="118"/>
      <c r="AV45" s="119"/>
      <c r="AW45" s="118"/>
      <c r="AX45" s="119"/>
      <c r="AY45" s="118"/>
      <c r="AZ45" s="119"/>
      <c r="BA45" s="118"/>
      <c r="BB45" s="119"/>
      <c r="BC45" s="118"/>
      <c r="BD45" s="119"/>
      <c r="BE45" s="118"/>
      <c r="BF45" s="119"/>
      <c r="BG45" s="118"/>
      <c r="BH45" s="119"/>
      <c r="BI45" s="118"/>
      <c r="BJ45" s="119"/>
      <c r="BK45" s="118"/>
      <c r="BL45" s="119"/>
      <c r="BM45" s="120"/>
      <c r="BN45" s="119"/>
      <c r="CA45" s="83"/>
      <c r="CB45" s="83"/>
      <c r="CC45" s="83"/>
      <c r="CD45" s="83"/>
      <c r="CE45" s="83"/>
      <c r="CF45" s="83"/>
      <c r="CG45" s="83"/>
      <c r="CH45" s="83"/>
      <c r="CI45" s="83"/>
      <c r="CJ45" s="83"/>
      <c r="CK45" s="83"/>
      <c r="CL45" s="83"/>
      <c r="CM45" s="83"/>
      <c r="CN45" s="83"/>
      <c r="CO45" s="83"/>
      <c r="CP45" s="83"/>
    </row>
    <row r="46" spans="1:94" x14ac:dyDescent="0.25">
      <c r="A46" s="92" t="s">
        <v>37</v>
      </c>
      <c r="B46" s="93"/>
      <c r="C46" s="121"/>
      <c r="D46" s="122"/>
      <c r="E46" s="121"/>
      <c r="F46" s="122"/>
      <c r="G46" s="121"/>
      <c r="H46" s="122"/>
      <c r="I46" s="121"/>
      <c r="J46" s="122"/>
      <c r="K46" s="121"/>
      <c r="L46" s="122"/>
      <c r="M46" s="121"/>
      <c r="N46" s="122"/>
      <c r="O46" s="121"/>
      <c r="P46" s="122"/>
      <c r="Q46" s="121"/>
      <c r="R46" s="122"/>
      <c r="S46" s="121"/>
      <c r="T46" s="122"/>
      <c r="U46" s="121"/>
      <c r="V46" s="122"/>
      <c r="W46" s="121"/>
      <c r="X46" s="122"/>
      <c r="Y46" s="121"/>
      <c r="Z46" s="122"/>
      <c r="AA46" s="121"/>
      <c r="AB46" s="122"/>
      <c r="AC46" s="121"/>
      <c r="AD46" s="122"/>
      <c r="AE46" s="121"/>
      <c r="AF46" s="122"/>
      <c r="AG46" s="121"/>
      <c r="AH46" s="122"/>
      <c r="AI46" s="121"/>
      <c r="AJ46" s="122"/>
      <c r="AK46" s="121"/>
      <c r="AL46" s="122"/>
      <c r="AM46" s="121"/>
      <c r="AN46" s="122"/>
      <c r="AO46" s="121"/>
      <c r="AP46" s="122"/>
      <c r="AQ46" s="121"/>
      <c r="AR46" s="122"/>
      <c r="AS46" s="121"/>
      <c r="AT46" s="122"/>
      <c r="AU46" s="121"/>
      <c r="AV46" s="122"/>
      <c r="AW46" s="121"/>
      <c r="AX46" s="122"/>
      <c r="AY46" s="121"/>
      <c r="AZ46" s="122"/>
      <c r="BA46" s="121"/>
      <c r="BB46" s="122"/>
      <c r="BC46" s="121"/>
      <c r="BD46" s="122"/>
      <c r="BE46" s="121"/>
      <c r="BF46" s="122"/>
      <c r="BG46" s="121"/>
      <c r="BH46" s="122"/>
      <c r="BI46" s="121"/>
      <c r="BJ46" s="122"/>
      <c r="BK46" s="121"/>
      <c r="BL46" s="122"/>
      <c r="BM46" s="123"/>
      <c r="BN46" s="122"/>
      <c r="CA46" s="83"/>
      <c r="CB46" s="83"/>
      <c r="CC46" s="83"/>
      <c r="CD46" s="83"/>
      <c r="CE46" s="83"/>
      <c r="CF46" s="83"/>
      <c r="CG46" s="83"/>
      <c r="CH46" s="83"/>
      <c r="CI46" s="83"/>
      <c r="CJ46" s="83"/>
      <c r="CK46" s="83"/>
      <c r="CL46" s="83"/>
      <c r="CM46" s="83"/>
      <c r="CN46" s="83"/>
      <c r="CO46" s="83"/>
      <c r="CP46" s="83"/>
    </row>
    <row r="47" spans="1:94" x14ac:dyDescent="0.25">
      <c r="A47" s="79" t="s">
        <v>38</v>
      </c>
      <c r="B47" s="98" t="s">
        <v>9</v>
      </c>
      <c r="C47" s="112">
        <f>EOD_Credit_NP!D37</f>
        <v>6</v>
      </c>
      <c r="D47" s="113">
        <f>EOD_Credit_NP!E37</f>
        <v>1122.5</v>
      </c>
      <c r="E47" s="112">
        <f>EOD_Credit_NP!F37</f>
        <v>16</v>
      </c>
      <c r="F47" s="113">
        <f>EOD_Credit_NP!G37</f>
        <v>2106.5</v>
      </c>
      <c r="G47" s="112">
        <f>EOD_Credit_NP!H37</f>
        <v>14</v>
      </c>
      <c r="H47" s="113">
        <f>EOD_Credit_NP!I37</f>
        <v>1849.7</v>
      </c>
      <c r="I47" s="112">
        <f>EOD_Credit_NP!J37</f>
        <v>16</v>
      </c>
      <c r="J47" s="113">
        <f>EOD_Credit_NP!K37</f>
        <v>2340.3000000000002</v>
      </c>
      <c r="K47" s="112">
        <f>EOD_Credit_NP!L37</f>
        <v>18</v>
      </c>
      <c r="L47" s="113">
        <f>EOD_Credit_NP!M37</f>
        <v>2808.2</v>
      </c>
      <c r="M47" s="112">
        <f>EOD_Credit_NP!N37</f>
        <v>17</v>
      </c>
      <c r="N47" s="113">
        <f>EOD_Credit_NP!O37</f>
        <v>3588.3</v>
      </c>
      <c r="O47" s="112">
        <f>EOD_Credit_NP!P37</f>
        <v>20</v>
      </c>
      <c r="P47" s="113">
        <f>EOD_Credit_NP!Q37</f>
        <v>2986.4</v>
      </c>
      <c r="Q47" s="112">
        <f>EOD_Credit_NP!R37</f>
        <v>15</v>
      </c>
      <c r="R47" s="113">
        <f>EOD_Credit_NP!S37</f>
        <v>1266.5</v>
      </c>
      <c r="S47" s="112">
        <f>EOD_Credit_NP!T37</f>
        <v>15</v>
      </c>
      <c r="T47" s="113">
        <f>EOD_Credit_NP!U37</f>
        <v>2749.8</v>
      </c>
      <c r="U47" s="112">
        <f>EOD_Credit_NP!V37</f>
        <v>14</v>
      </c>
      <c r="V47" s="113">
        <f>EOD_Credit_NP!W37</f>
        <v>2639.5</v>
      </c>
      <c r="W47" s="112">
        <f>EOD_Credit_NP!X37</f>
        <v>20</v>
      </c>
      <c r="X47" s="113">
        <f>EOD_Credit_NP!Y37</f>
        <v>2412.4</v>
      </c>
      <c r="Y47" s="112">
        <f>EOD_Credit_NP!Z37</f>
        <v>14</v>
      </c>
      <c r="Z47" s="113">
        <f>EOD_Credit_NP!AA37</f>
        <v>1776.3</v>
      </c>
      <c r="AA47" s="112">
        <f>EOD_Credit_NP!AB37</f>
        <v>12</v>
      </c>
      <c r="AB47" s="113">
        <f>EOD_Credit_NP!AC37</f>
        <v>2241.4</v>
      </c>
      <c r="AC47" s="112">
        <f>EOD_Credit_NP!AD37</f>
        <v>21</v>
      </c>
      <c r="AD47" s="113">
        <f>EOD_Credit_NP!AE37</f>
        <v>2611.8000000000002</v>
      </c>
      <c r="AE47" s="112">
        <f>EOD_Credit_NP!AF37</f>
        <v>14</v>
      </c>
      <c r="AF47" s="113">
        <f>EOD_Credit_NP!AG37</f>
        <v>2499.8000000000002</v>
      </c>
      <c r="AG47" s="112">
        <f>EOD_Credit_NP!AH37</f>
        <v>11</v>
      </c>
      <c r="AH47" s="113">
        <f>EOD_Credit_NP!AI37</f>
        <v>1648.9</v>
      </c>
      <c r="AI47" s="112">
        <f>EOD_Credit_NP!AJ37</f>
        <v>18</v>
      </c>
      <c r="AJ47" s="113">
        <f>EOD_Credit_NP!AK37</f>
        <v>2049.1</v>
      </c>
      <c r="AK47" s="112">
        <f>EOD_Credit_NP!AL37</f>
        <v>13</v>
      </c>
      <c r="AL47" s="113">
        <f>EOD_Credit_NP!AM37</f>
        <v>1219</v>
      </c>
      <c r="AM47" s="112">
        <f>EOD_Credit_NP!AN37</f>
        <v>7</v>
      </c>
      <c r="AN47" s="113">
        <f>EOD_Credit_NP!AO37</f>
        <v>617.79999999999995</v>
      </c>
      <c r="AO47" s="112">
        <f>EOD_Credit_NP!AP37</f>
        <v>7</v>
      </c>
      <c r="AP47" s="113">
        <f>EOD_Credit_NP!AQ37</f>
        <v>701.3</v>
      </c>
      <c r="AQ47" s="112">
        <f>EOD_Credit_NP!AR37</f>
        <v>20</v>
      </c>
      <c r="AR47" s="113">
        <f>EOD_Credit_NP!AS37</f>
        <v>3291.7</v>
      </c>
      <c r="AS47" s="112">
        <f>EOD_Credit_NP!AT37</f>
        <v>18</v>
      </c>
      <c r="AT47" s="113">
        <f>EOD_Credit_NP!AU37</f>
        <v>3822.8</v>
      </c>
      <c r="AU47" s="112">
        <f>EOD_Credit_NP!AV37</f>
        <v>11</v>
      </c>
      <c r="AV47" s="113">
        <f>EOD_Credit_NP!AW37</f>
        <v>981.1</v>
      </c>
      <c r="AW47" s="112">
        <f>EOD_Credit_NP!AX37</f>
        <v>18</v>
      </c>
      <c r="AX47" s="113">
        <f>EOD_Credit_NP!AY37</f>
        <v>2585.1999999999998</v>
      </c>
      <c r="AY47" s="112">
        <f>EOD_Credit_NP!AZ37</f>
        <v>13</v>
      </c>
      <c r="AZ47" s="113">
        <f>EOD_Credit_NP!BA37</f>
        <v>1666.2</v>
      </c>
      <c r="BA47" s="112">
        <f>EOD_Credit_NP!BB37</f>
        <v>19</v>
      </c>
      <c r="BB47" s="113">
        <f>EOD_Credit_NP!BC37</f>
        <v>1977.2</v>
      </c>
      <c r="BC47" s="112">
        <f>EOD_Credit_NP!BD37</f>
        <v>12</v>
      </c>
      <c r="BD47" s="113">
        <f>EOD_Credit_NP!BE37</f>
        <v>749.5</v>
      </c>
      <c r="BE47" s="112">
        <f>EOD_Credit_NP!BF37</f>
        <v>29</v>
      </c>
      <c r="BF47" s="113">
        <f>EOD_Credit_NP!BG37</f>
        <v>3157.9</v>
      </c>
      <c r="BG47" s="112">
        <f>EOD_Credit_NP!BH37</f>
        <v>13</v>
      </c>
      <c r="BH47" s="113">
        <f>EOD_Credit_NP!BI37</f>
        <v>1792.4</v>
      </c>
      <c r="BI47" s="112">
        <f>EOD_Credit_NP!BJ37</f>
        <v>21</v>
      </c>
      <c r="BJ47" s="113">
        <f>EOD_Credit_NP!BK37</f>
        <v>3226.6</v>
      </c>
      <c r="BK47" s="112">
        <f>EOD_Credit_NP!BL37</f>
        <v>20</v>
      </c>
      <c r="BL47" s="113">
        <f>EOD_Credit_NP!BM37</f>
        <v>3130.4</v>
      </c>
      <c r="BM47" s="114" cm="1">
        <f t="array" ref="BM47">SUMPRODUCT((MOD(COLUMN(C47:BL47)-COLUMN(C47),2)=0)*C47:BL47)</f>
        <v>482</v>
      </c>
      <c r="BN47" s="113" cm="1">
        <f t="array" ref="BN47">SUMPRODUCT((MOD(COLUMN(D47:BM47)-COLUMN(D47),2)=0)*D47:BM47)</f>
        <v>67616.5</v>
      </c>
      <c r="CA47" s="83"/>
      <c r="CB47" s="83"/>
      <c r="CC47" s="83"/>
      <c r="CD47" s="83"/>
      <c r="CE47" s="83"/>
      <c r="CF47" s="83"/>
      <c r="CG47" s="83"/>
      <c r="CH47" s="83"/>
      <c r="CI47" s="83"/>
      <c r="CJ47" s="83"/>
      <c r="CK47" s="83"/>
      <c r="CL47" s="83"/>
      <c r="CM47" s="83"/>
      <c r="CN47" s="83"/>
      <c r="CO47" s="83"/>
      <c r="CP47" s="83"/>
    </row>
    <row r="48" spans="1:94" x14ac:dyDescent="0.25">
      <c r="A48" s="79" t="s">
        <v>39</v>
      </c>
      <c r="B48" s="98" t="s">
        <v>9</v>
      </c>
      <c r="C48" s="112">
        <f>EOD_Credit_NP!D38</f>
        <v>1</v>
      </c>
      <c r="D48" s="113">
        <f>EOD_Credit_NP!E38</f>
        <v>940.4</v>
      </c>
      <c r="E48" s="112">
        <f>EOD_Credit_NP!F38</f>
        <v>2</v>
      </c>
      <c r="F48" s="113">
        <f>EOD_Credit_NP!G38</f>
        <v>508</v>
      </c>
      <c r="G48" s="112">
        <f>EOD_Credit_NP!H38</f>
        <v>0</v>
      </c>
      <c r="H48" s="113">
        <f>EOD_Credit_NP!I38</f>
        <v>0</v>
      </c>
      <c r="I48" s="112">
        <f>EOD_Credit_NP!J38</f>
        <v>0</v>
      </c>
      <c r="J48" s="113">
        <f>EOD_Credit_NP!K38</f>
        <v>0</v>
      </c>
      <c r="K48" s="112">
        <f>EOD_Credit_NP!L38</f>
        <v>2</v>
      </c>
      <c r="L48" s="113">
        <f>EOD_Credit_NP!M38</f>
        <v>1000</v>
      </c>
      <c r="M48" s="112">
        <f>EOD_Credit_NP!N38</f>
        <v>0</v>
      </c>
      <c r="N48" s="113">
        <f>EOD_Credit_NP!O38</f>
        <v>0</v>
      </c>
      <c r="O48" s="112">
        <f>EOD_Credit_NP!P38</f>
        <v>1</v>
      </c>
      <c r="P48" s="113">
        <f>EOD_Credit_NP!Q38</f>
        <v>13</v>
      </c>
      <c r="Q48" s="112">
        <f>EOD_Credit_NP!R38</f>
        <v>1</v>
      </c>
      <c r="R48" s="113">
        <f>EOD_Credit_NP!S38</f>
        <v>58</v>
      </c>
      <c r="S48" s="112">
        <f>EOD_Credit_NP!T38</f>
        <v>0</v>
      </c>
      <c r="T48" s="113">
        <f>EOD_Credit_NP!U38</f>
        <v>0</v>
      </c>
      <c r="U48" s="112">
        <f>EOD_Credit_NP!V38</f>
        <v>1</v>
      </c>
      <c r="V48" s="113">
        <f>EOD_Credit_NP!W38</f>
        <v>105</v>
      </c>
      <c r="W48" s="112">
        <f>EOD_Credit_NP!X38</f>
        <v>2</v>
      </c>
      <c r="X48" s="113">
        <f>EOD_Credit_NP!Y38</f>
        <v>193</v>
      </c>
      <c r="Y48" s="112">
        <f>EOD_Credit_NP!Z38</f>
        <v>3</v>
      </c>
      <c r="Z48" s="113">
        <f>EOD_Credit_NP!AA38</f>
        <v>813.3</v>
      </c>
      <c r="AA48" s="112">
        <f>EOD_Credit_NP!AB38</f>
        <v>1</v>
      </c>
      <c r="AB48" s="113">
        <f>EOD_Credit_NP!AC38</f>
        <v>43</v>
      </c>
      <c r="AC48" s="112">
        <f>EOD_Credit_NP!AD38</f>
        <v>2</v>
      </c>
      <c r="AD48" s="113">
        <f>EOD_Credit_NP!AE38</f>
        <v>1032.0999999999999</v>
      </c>
      <c r="AE48" s="112">
        <f>EOD_Credit_NP!AF38</f>
        <v>4</v>
      </c>
      <c r="AF48" s="113">
        <f>EOD_Credit_NP!AG38</f>
        <v>542</v>
      </c>
      <c r="AG48" s="112">
        <f>EOD_Credit_NP!AH38</f>
        <v>0</v>
      </c>
      <c r="AH48" s="113">
        <f>EOD_Credit_NP!AI38</f>
        <v>0</v>
      </c>
      <c r="AI48" s="112">
        <f>EOD_Credit_NP!AJ38</f>
        <v>0</v>
      </c>
      <c r="AJ48" s="113">
        <f>EOD_Credit_NP!AK38</f>
        <v>0</v>
      </c>
      <c r="AK48" s="112">
        <f>EOD_Credit_NP!AL38</f>
        <v>2</v>
      </c>
      <c r="AL48" s="113">
        <f>EOD_Credit_NP!AM38</f>
        <v>1577.2</v>
      </c>
      <c r="AM48" s="112">
        <f>EOD_Credit_NP!AN38</f>
        <v>2</v>
      </c>
      <c r="AN48" s="113">
        <f>EOD_Credit_NP!AO38</f>
        <v>15</v>
      </c>
      <c r="AO48" s="112">
        <f>EOD_Credit_NP!AP38</f>
        <v>0</v>
      </c>
      <c r="AP48" s="113">
        <f>EOD_Credit_NP!AQ38</f>
        <v>0</v>
      </c>
      <c r="AQ48" s="112">
        <f>EOD_Credit_NP!AR38</f>
        <v>1</v>
      </c>
      <c r="AR48" s="113">
        <f>EOD_Credit_NP!AS38</f>
        <v>13</v>
      </c>
      <c r="AS48" s="112">
        <f>EOD_Credit_NP!AT38</f>
        <v>1</v>
      </c>
      <c r="AT48" s="113">
        <f>EOD_Credit_NP!AU38</f>
        <v>310</v>
      </c>
      <c r="AU48" s="112">
        <f>EOD_Credit_NP!AV38</f>
        <v>2</v>
      </c>
      <c r="AV48" s="113">
        <f>EOD_Credit_NP!AW38</f>
        <v>176.2</v>
      </c>
      <c r="AW48" s="112">
        <f>EOD_Credit_NP!AX38</f>
        <v>0</v>
      </c>
      <c r="AX48" s="113">
        <f>EOD_Credit_NP!AY38</f>
        <v>0</v>
      </c>
      <c r="AY48" s="112">
        <f>EOD_Credit_NP!AZ38</f>
        <v>2</v>
      </c>
      <c r="AZ48" s="113">
        <f>EOD_Credit_NP!BA38</f>
        <v>587.70000000000005</v>
      </c>
      <c r="BA48" s="112">
        <f>EOD_Credit_NP!BB38</f>
        <v>0</v>
      </c>
      <c r="BB48" s="113">
        <f>EOD_Credit_NP!BC38</f>
        <v>0</v>
      </c>
      <c r="BC48" s="112">
        <f>EOD_Credit_NP!BD38</f>
        <v>1</v>
      </c>
      <c r="BD48" s="113">
        <f>EOD_Credit_NP!BE38</f>
        <v>149.6</v>
      </c>
      <c r="BE48" s="112">
        <f>EOD_Credit_NP!BF38</f>
        <v>1</v>
      </c>
      <c r="BF48" s="113">
        <f>EOD_Credit_NP!BG38</f>
        <v>40</v>
      </c>
      <c r="BG48" s="112">
        <f>EOD_Credit_NP!BH38</f>
        <v>0</v>
      </c>
      <c r="BH48" s="113">
        <f>EOD_Credit_NP!BI38</f>
        <v>0</v>
      </c>
      <c r="BI48" s="112">
        <f>EOD_Credit_NP!BJ38</f>
        <v>2</v>
      </c>
      <c r="BJ48" s="113">
        <f>EOD_Credit_NP!BK38</f>
        <v>131.30000000000001</v>
      </c>
      <c r="BK48" s="112">
        <f>EOD_Credit_NP!BL38</f>
        <v>4</v>
      </c>
      <c r="BL48" s="113">
        <f>EOD_Credit_NP!BM38</f>
        <v>440</v>
      </c>
      <c r="BM48" s="114" cm="1">
        <f t="array" ref="BM48">SUMPRODUCT((MOD(COLUMN(C48:BL48)-COLUMN(C48),2)=0)*C48:BL48)</f>
        <v>38</v>
      </c>
      <c r="BN48" s="113" cm="1">
        <f t="array" ref="BN48">SUMPRODUCT((MOD(COLUMN(D48:BM48)-COLUMN(D48),2)=0)*D48:BM48)</f>
        <v>8687.7999999999993</v>
      </c>
      <c r="CA48" s="83"/>
      <c r="CB48" s="83"/>
      <c r="CC48" s="83"/>
      <c r="CD48" s="83"/>
      <c r="CE48" s="83"/>
      <c r="CF48" s="83"/>
      <c r="CG48" s="83"/>
      <c r="CH48" s="83"/>
      <c r="CI48" s="83"/>
      <c r="CJ48" s="83"/>
      <c r="CK48" s="83"/>
      <c r="CL48" s="83"/>
      <c r="CM48" s="83"/>
      <c r="CN48" s="83"/>
      <c r="CO48" s="83"/>
      <c r="CP48" s="83"/>
    </row>
    <row r="49" spans="1:94" x14ac:dyDescent="0.25">
      <c r="A49" s="100" t="s">
        <v>40</v>
      </c>
      <c r="B49" s="104"/>
      <c r="C49" s="115">
        <f t="shared" ref="C49:BL49" si="11">SUM(C47:C48)</f>
        <v>7</v>
      </c>
      <c r="D49" s="116">
        <f t="shared" si="11"/>
        <v>2062.9</v>
      </c>
      <c r="E49" s="115">
        <f t="shared" si="11"/>
        <v>18</v>
      </c>
      <c r="F49" s="116">
        <f t="shared" si="11"/>
        <v>2614.5</v>
      </c>
      <c r="G49" s="115">
        <f t="shared" si="11"/>
        <v>14</v>
      </c>
      <c r="H49" s="116">
        <f t="shared" si="11"/>
        <v>1849.7</v>
      </c>
      <c r="I49" s="115">
        <f t="shared" si="11"/>
        <v>16</v>
      </c>
      <c r="J49" s="116">
        <f t="shared" si="11"/>
        <v>2340.3000000000002</v>
      </c>
      <c r="K49" s="115">
        <f t="shared" si="11"/>
        <v>20</v>
      </c>
      <c r="L49" s="116">
        <f t="shared" si="11"/>
        <v>3808.2</v>
      </c>
      <c r="M49" s="115">
        <f t="shared" si="11"/>
        <v>17</v>
      </c>
      <c r="N49" s="116">
        <f t="shared" si="11"/>
        <v>3588.3</v>
      </c>
      <c r="O49" s="115">
        <f t="shared" si="11"/>
        <v>21</v>
      </c>
      <c r="P49" s="116">
        <f t="shared" si="11"/>
        <v>2999.4</v>
      </c>
      <c r="Q49" s="115">
        <f t="shared" si="11"/>
        <v>16</v>
      </c>
      <c r="R49" s="116">
        <f t="shared" si="11"/>
        <v>1324.5</v>
      </c>
      <c r="S49" s="115">
        <f t="shared" si="11"/>
        <v>15</v>
      </c>
      <c r="T49" s="116">
        <f t="shared" si="11"/>
        <v>2749.8</v>
      </c>
      <c r="U49" s="115">
        <f t="shared" si="11"/>
        <v>15</v>
      </c>
      <c r="V49" s="116">
        <f t="shared" si="11"/>
        <v>2744.5</v>
      </c>
      <c r="W49" s="115">
        <f t="shared" si="11"/>
        <v>22</v>
      </c>
      <c r="X49" s="116">
        <f t="shared" si="11"/>
        <v>2605.4</v>
      </c>
      <c r="Y49" s="115">
        <f t="shared" si="11"/>
        <v>17</v>
      </c>
      <c r="Z49" s="116">
        <f t="shared" si="11"/>
        <v>2589.6</v>
      </c>
      <c r="AA49" s="115">
        <f t="shared" si="11"/>
        <v>13</v>
      </c>
      <c r="AB49" s="116">
        <f t="shared" si="11"/>
        <v>2284.4</v>
      </c>
      <c r="AC49" s="115">
        <f t="shared" si="11"/>
        <v>23</v>
      </c>
      <c r="AD49" s="116">
        <f t="shared" si="11"/>
        <v>3643.9</v>
      </c>
      <c r="AE49" s="115">
        <f t="shared" si="11"/>
        <v>18</v>
      </c>
      <c r="AF49" s="116">
        <f t="shared" si="11"/>
        <v>3041.8</v>
      </c>
      <c r="AG49" s="115">
        <f t="shared" si="11"/>
        <v>11</v>
      </c>
      <c r="AH49" s="116">
        <f t="shared" si="11"/>
        <v>1648.9</v>
      </c>
      <c r="AI49" s="115">
        <f t="shared" si="11"/>
        <v>18</v>
      </c>
      <c r="AJ49" s="116">
        <f t="shared" si="11"/>
        <v>2049.1</v>
      </c>
      <c r="AK49" s="115">
        <f t="shared" si="11"/>
        <v>15</v>
      </c>
      <c r="AL49" s="116">
        <f t="shared" si="11"/>
        <v>2796.2</v>
      </c>
      <c r="AM49" s="115">
        <f t="shared" si="11"/>
        <v>9</v>
      </c>
      <c r="AN49" s="116">
        <f t="shared" si="11"/>
        <v>632.79999999999995</v>
      </c>
      <c r="AO49" s="115">
        <f t="shared" si="11"/>
        <v>7</v>
      </c>
      <c r="AP49" s="116">
        <f t="shared" si="11"/>
        <v>701.3</v>
      </c>
      <c r="AQ49" s="115">
        <f t="shared" si="11"/>
        <v>21</v>
      </c>
      <c r="AR49" s="116">
        <f t="shared" si="11"/>
        <v>3304.7</v>
      </c>
      <c r="AS49" s="115">
        <f t="shared" si="11"/>
        <v>19</v>
      </c>
      <c r="AT49" s="116">
        <f t="shared" si="11"/>
        <v>4132.8</v>
      </c>
      <c r="AU49" s="115">
        <f t="shared" si="11"/>
        <v>13</v>
      </c>
      <c r="AV49" s="116">
        <f t="shared" si="11"/>
        <v>1157.3</v>
      </c>
      <c r="AW49" s="115">
        <f t="shared" si="11"/>
        <v>18</v>
      </c>
      <c r="AX49" s="116">
        <f t="shared" si="11"/>
        <v>2585.1999999999998</v>
      </c>
      <c r="AY49" s="115">
        <f t="shared" si="11"/>
        <v>15</v>
      </c>
      <c r="AZ49" s="116">
        <f t="shared" si="11"/>
        <v>2253.9</v>
      </c>
      <c r="BA49" s="115">
        <f t="shared" si="11"/>
        <v>19</v>
      </c>
      <c r="BB49" s="116">
        <f t="shared" si="11"/>
        <v>1977.2</v>
      </c>
      <c r="BC49" s="115">
        <f t="shared" si="11"/>
        <v>13</v>
      </c>
      <c r="BD49" s="116">
        <f t="shared" si="11"/>
        <v>899.1</v>
      </c>
      <c r="BE49" s="115">
        <f t="shared" si="11"/>
        <v>30</v>
      </c>
      <c r="BF49" s="116">
        <f t="shared" si="11"/>
        <v>3197.9</v>
      </c>
      <c r="BG49" s="115">
        <f t="shared" si="11"/>
        <v>13</v>
      </c>
      <c r="BH49" s="116">
        <f t="shared" si="11"/>
        <v>1792.4</v>
      </c>
      <c r="BI49" s="115">
        <f t="shared" si="11"/>
        <v>23</v>
      </c>
      <c r="BJ49" s="116">
        <f t="shared" si="11"/>
        <v>3357.9</v>
      </c>
      <c r="BK49" s="115">
        <f t="shared" si="11"/>
        <v>24</v>
      </c>
      <c r="BL49" s="116">
        <f t="shared" si="11"/>
        <v>3570.4</v>
      </c>
      <c r="BM49" s="117">
        <f t="shared" ref="BM49:BN49" si="12">SUM(BM47:BM48)</f>
        <v>520</v>
      </c>
      <c r="BN49" s="116">
        <f t="shared" si="12"/>
        <v>76304.3</v>
      </c>
      <c r="CA49" s="83"/>
      <c r="CB49" s="83"/>
      <c r="CC49" s="83"/>
      <c r="CD49" s="83"/>
      <c r="CE49" s="83"/>
      <c r="CF49" s="83"/>
      <c r="CG49" s="83"/>
      <c r="CH49" s="83"/>
      <c r="CI49" s="83"/>
      <c r="CJ49" s="83"/>
      <c r="CK49" s="83"/>
      <c r="CL49" s="83"/>
      <c r="CM49" s="83"/>
      <c r="CN49" s="83"/>
      <c r="CO49" s="83"/>
      <c r="CP49" s="83"/>
    </row>
    <row r="50" spans="1:94" x14ac:dyDescent="0.25">
      <c r="C50" s="118"/>
      <c r="D50" s="119"/>
      <c r="E50" s="118"/>
      <c r="F50" s="119"/>
      <c r="G50" s="118"/>
      <c r="H50" s="119"/>
      <c r="I50" s="118"/>
      <c r="J50" s="119"/>
      <c r="K50" s="118"/>
      <c r="L50" s="119"/>
      <c r="M50" s="118"/>
      <c r="N50" s="119"/>
      <c r="O50" s="118"/>
      <c r="P50" s="119"/>
      <c r="Q50" s="118"/>
      <c r="R50" s="119"/>
      <c r="S50" s="118"/>
      <c r="T50" s="119"/>
      <c r="U50" s="118"/>
      <c r="V50" s="119"/>
      <c r="W50" s="118"/>
      <c r="X50" s="119"/>
      <c r="Y50" s="118"/>
      <c r="Z50" s="119"/>
      <c r="AA50" s="118"/>
      <c r="AB50" s="119"/>
      <c r="AC50" s="118"/>
      <c r="AD50" s="119"/>
      <c r="AE50" s="118"/>
      <c r="AF50" s="119"/>
      <c r="AG50" s="118"/>
      <c r="AH50" s="119"/>
      <c r="AI50" s="118"/>
      <c r="AJ50" s="119"/>
      <c r="AK50" s="118"/>
      <c r="AL50" s="119"/>
      <c r="AM50" s="118"/>
      <c r="AN50" s="119"/>
      <c r="AO50" s="118"/>
      <c r="AP50" s="119"/>
      <c r="AQ50" s="118"/>
      <c r="AR50" s="119"/>
      <c r="AS50" s="118"/>
      <c r="AT50" s="119"/>
      <c r="AU50" s="118"/>
      <c r="AV50" s="119"/>
      <c r="AW50" s="118"/>
      <c r="AX50" s="119"/>
      <c r="AY50" s="118"/>
      <c r="AZ50" s="119"/>
      <c r="BA50" s="118"/>
      <c r="BB50" s="119"/>
      <c r="BC50" s="118"/>
      <c r="BD50" s="119"/>
      <c r="BE50" s="118"/>
      <c r="BF50" s="119"/>
      <c r="BG50" s="118"/>
      <c r="BH50" s="119"/>
      <c r="BI50" s="118"/>
      <c r="BJ50" s="119"/>
      <c r="BK50" s="118"/>
      <c r="BL50" s="119"/>
      <c r="BM50" s="120"/>
      <c r="BN50" s="119"/>
      <c r="CA50" s="83"/>
      <c r="CB50" s="83"/>
      <c r="CC50" s="83"/>
      <c r="CD50" s="83"/>
      <c r="CE50" s="83"/>
      <c r="CF50" s="83"/>
      <c r="CG50" s="83"/>
      <c r="CH50" s="83"/>
      <c r="CI50" s="83"/>
      <c r="CJ50" s="83"/>
      <c r="CK50" s="83"/>
      <c r="CL50" s="83"/>
      <c r="CM50" s="83"/>
      <c r="CN50" s="83"/>
      <c r="CO50" s="83"/>
      <c r="CP50" s="83"/>
    </row>
    <row r="51" spans="1:94" x14ac:dyDescent="0.25">
      <c r="A51" s="92" t="s">
        <v>41</v>
      </c>
      <c r="B51" s="93"/>
      <c r="C51" s="121"/>
      <c r="D51" s="122"/>
      <c r="E51" s="121"/>
      <c r="F51" s="122"/>
      <c r="G51" s="121"/>
      <c r="H51" s="122"/>
      <c r="I51" s="121"/>
      <c r="J51" s="122"/>
      <c r="K51" s="121"/>
      <c r="L51" s="122"/>
      <c r="M51" s="121"/>
      <c r="N51" s="122"/>
      <c r="O51" s="121"/>
      <c r="P51" s="122"/>
      <c r="Q51" s="121"/>
      <c r="R51" s="122"/>
      <c r="S51" s="121"/>
      <c r="T51" s="122"/>
      <c r="U51" s="121"/>
      <c r="V51" s="122"/>
      <c r="W51" s="121"/>
      <c r="X51" s="122"/>
      <c r="Y51" s="121"/>
      <c r="Z51" s="122"/>
      <c r="AA51" s="121"/>
      <c r="AB51" s="122"/>
      <c r="AC51" s="121"/>
      <c r="AD51" s="122"/>
      <c r="AE51" s="121"/>
      <c r="AF51" s="122"/>
      <c r="AG51" s="121"/>
      <c r="AH51" s="122"/>
      <c r="AI51" s="121"/>
      <c r="AJ51" s="122"/>
      <c r="AK51" s="121"/>
      <c r="AL51" s="122"/>
      <c r="AM51" s="121"/>
      <c r="AN51" s="122"/>
      <c r="AO51" s="121"/>
      <c r="AP51" s="122"/>
      <c r="AQ51" s="121"/>
      <c r="AR51" s="122"/>
      <c r="AS51" s="121"/>
      <c r="AT51" s="122"/>
      <c r="AU51" s="121"/>
      <c r="AV51" s="122"/>
      <c r="AW51" s="121"/>
      <c r="AX51" s="122"/>
      <c r="AY51" s="121"/>
      <c r="AZ51" s="122"/>
      <c r="BA51" s="121"/>
      <c r="BB51" s="122"/>
      <c r="BC51" s="121"/>
      <c r="BD51" s="122"/>
      <c r="BE51" s="121"/>
      <c r="BF51" s="122"/>
      <c r="BG51" s="121"/>
      <c r="BH51" s="122"/>
      <c r="BI51" s="121"/>
      <c r="BJ51" s="122"/>
      <c r="BK51" s="121"/>
      <c r="BL51" s="122"/>
      <c r="BM51" s="123"/>
      <c r="BN51" s="122"/>
      <c r="CA51" s="83"/>
      <c r="CB51" s="83"/>
      <c r="CC51" s="83"/>
      <c r="CD51" s="83"/>
      <c r="CE51" s="83"/>
      <c r="CF51" s="83"/>
      <c r="CG51" s="83"/>
      <c r="CH51" s="83"/>
      <c r="CI51" s="83"/>
      <c r="CJ51" s="83"/>
      <c r="CK51" s="83"/>
      <c r="CL51" s="83"/>
      <c r="CM51" s="83"/>
      <c r="CN51" s="83"/>
      <c r="CO51" s="83"/>
      <c r="CP51" s="83"/>
    </row>
    <row r="52" spans="1:94" x14ac:dyDescent="0.25">
      <c r="A52" s="103" t="s">
        <v>42</v>
      </c>
      <c r="B52" s="98" t="s">
        <v>9</v>
      </c>
      <c r="C52" s="112">
        <f>EOD_Credit_NP!D36</f>
        <v>1</v>
      </c>
      <c r="D52" s="113">
        <f>EOD_Credit_NP!E36</f>
        <v>360.4</v>
      </c>
      <c r="E52" s="112">
        <f>EOD_Credit_NP!F36</f>
        <v>0</v>
      </c>
      <c r="F52" s="113">
        <f>EOD_Credit_NP!G36</f>
        <v>0</v>
      </c>
      <c r="G52" s="112">
        <f>EOD_Credit_NP!H36</f>
        <v>0</v>
      </c>
      <c r="H52" s="113">
        <f>EOD_Credit_NP!I36</f>
        <v>0</v>
      </c>
      <c r="I52" s="112">
        <f>EOD_Credit_NP!J36</f>
        <v>0</v>
      </c>
      <c r="J52" s="113">
        <f>EOD_Credit_NP!K36</f>
        <v>0</v>
      </c>
      <c r="K52" s="112">
        <f>EOD_Credit_NP!L36</f>
        <v>0</v>
      </c>
      <c r="L52" s="113">
        <f>EOD_Credit_NP!M36</f>
        <v>0</v>
      </c>
      <c r="M52" s="112">
        <f>EOD_Credit_NP!N36</f>
        <v>1</v>
      </c>
      <c r="N52" s="113">
        <f>EOD_Credit_NP!O36</f>
        <v>699.4</v>
      </c>
      <c r="O52" s="112">
        <f>EOD_Credit_NP!P36</f>
        <v>1</v>
      </c>
      <c r="P52" s="113">
        <f>EOD_Credit_NP!Q36</f>
        <v>1000</v>
      </c>
      <c r="Q52" s="112">
        <f>EOD_Credit_NP!R36</f>
        <v>0</v>
      </c>
      <c r="R52" s="113">
        <f>EOD_Credit_NP!S36</f>
        <v>0</v>
      </c>
      <c r="S52" s="112">
        <f>EOD_Credit_NP!T36</f>
        <v>1</v>
      </c>
      <c r="T52" s="113">
        <f>EOD_Credit_NP!U36</f>
        <v>359.7</v>
      </c>
      <c r="U52" s="112">
        <f>EOD_Credit_NP!V36</f>
        <v>1</v>
      </c>
      <c r="V52" s="113">
        <f>EOD_Credit_NP!W36</f>
        <v>1300</v>
      </c>
      <c r="W52" s="112">
        <f>EOD_Credit_NP!X36</f>
        <v>2</v>
      </c>
      <c r="X52" s="113">
        <f>EOD_Credit_NP!Y36</f>
        <v>1289.5</v>
      </c>
      <c r="Y52" s="112">
        <f>EOD_Credit_NP!Z36</f>
        <v>0</v>
      </c>
      <c r="Z52" s="113">
        <f>EOD_Credit_NP!AA36</f>
        <v>0</v>
      </c>
      <c r="AA52" s="112">
        <f>EOD_Credit_NP!AB36</f>
        <v>0</v>
      </c>
      <c r="AB52" s="113">
        <f>EOD_Credit_NP!AC36</f>
        <v>0</v>
      </c>
      <c r="AC52" s="112">
        <f>EOD_Credit_NP!AD36</f>
        <v>1</v>
      </c>
      <c r="AD52" s="113">
        <f>EOD_Credit_NP!AE36</f>
        <v>1000</v>
      </c>
      <c r="AE52" s="112">
        <f>EOD_Credit_NP!AF36</f>
        <v>1</v>
      </c>
      <c r="AF52" s="113">
        <f>EOD_Credit_NP!AG36</f>
        <v>750</v>
      </c>
      <c r="AG52" s="112">
        <f>EOD_Credit_NP!AH36</f>
        <v>0</v>
      </c>
      <c r="AH52" s="113">
        <f>EOD_Credit_NP!AI36</f>
        <v>0</v>
      </c>
      <c r="AI52" s="112">
        <f>EOD_Credit_NP!AJ36</f>
        <v>1</v>
      </c>
      <c r="AJ52" s="113">
        <f>EOD_Credit_NP!AK36</f>
        <v>569.70000000000005</v>
      </c>
      <c r="AK52" s="112">
        <f>EOD_Credit_NP!AL36</f>
        <v>0</v>
      </c>
      <c r="AL52" s="113">
        <f>EOD_Credit_NP!AM36</f>
        <v>0</v>
      </c>
      <c r="AM52" s="112">
        <f>EOD_Credit_NP!AN36</f>
        <v>0</v>
      </c>
      <c r="AN52" s="113">
        <f>EOD_Credit_NP!AO36</f>
        <v>0</v>
      </c>
      <c r="AO52" s="112">
        <f>EOD_Credit_NP!AP36</f>
        <v>0</v>
      </c>
      <c r="AP52" s="113">
        <f>EOD_Credit_NP!AQ36</f>
        <v>0</v>
      </c>
      <c r="AQ52" s="112">
        <f>EOD_Credit_NP!AR36</f>
        <v>0</v>
      </c>
      <c r="AR52" s="113">
        <f>EOD_Credit_NP!AS36</f>
        <v>0</v>
      </c>
      <c r="AS52" s="112">
        <f>EOD_Credit_NP!AT36</f>
        <v>0</v>
      </c>
      <c r="AT52" s="113">
        <f>EOD_Credit_NP!AU36</f>
        <v>0</v>
      </c>
      <c r="AU52" s="112">
        <f>EOD_Credit_NP!AV36</f>
        <v>1</v>
      </c>
      <c r="AV52" s="113">
        <f>EOD_Credit_NP!AW36</f>
        <v>695.9</v>
      </c>
      <c r="AW52" s="112">
        <f>EOD_Credit_NP!AX36</f>
        <v>0</v>
      </c>
      <c r="AX52" s="113">
        <f>EOD_Credit_NP!AY36</f>
        <v>0</v>
      </c>
      <c r="AY52" s="112">
        <f>EOD_Credit_NP!AZ36</f>
        <v>0</v>
      </c>
      <c r="AZ52" s="113">
        <f>EOD_Credit_NP!BA36</f>
        <v>0</v>
      </c>
      <c r="BA52" s="112">
        <f>EOD_Credit_NP!BB36</f>
        <v>0</v>
      </c>
      <c r="BB52" s="113">
        <f>EOD_Credit_NP!BC36</f>
        <v>0</v>
      </c>
      <c r="BC52" s="112">
        <f>EOD_Credit_NP!BD36</f>
        <v>1</v>
      </c>
      <c r="BD52" s="113">
        <f>EOD_Credit_NP!BE36</f>
        <v>543.20000000000005</v>
      </c>
      <c r="BE52" s="112">
        <f>EOD_Credit_NP!BF36</f>
        <v>1</v>
      </c>
      <c r="BF52" s="113">
        <f>EOD_Credit_NP!BG36</f>
        <v>800</v>
      </c>
      <c r="BG52" s="112">
        <f>EOD_Credit_NP!BH36</f>
        <v>0</v>
      </c>
      <c r="BH52" s="113">
        <f>EOD_Credit_NP!BI36</f>
        <v>0</v>
      </c>
      <c r="BI52" s="112">
        <f>EOD_Credit_NP!BJ36</f>
        <v>0</v>
      </c>
      <c r="BJ52" s="113">
        <f>EOD_Credit_NP!BK36</f>
        <v>0</v>
      </c>
      <c r="BK52" s="112">
        <f>EOD_Credit_NP!BL36</f>
        <v>2</v>
      </c>
      <c r="BL52" s="113">
        <f>EOD_Credit_NP!BM36</f>
        <v>1286.5</v>
      </c>
      <c r="BM52" s="114" cm="1">
        <f t="array" ref="BM52">SUMPRODUCT((MOD(COLUMN(C52:BL52)-COLUMN(C52),2)=0)*C52:BL52)</f>
        <v>15</v>
      </c>
      <c r="BN52" s="113" cm="1">
        <f t="array" ref="BN52">SUMPRODUCT((MOD(COLUMN(D52:BM52)-COLUMN(D52),2)=0)*D52:BM52)</f>
        <v>10654.3</v>
      </c>
      <c r="CA52" s="83"/>
      <c r="CB52" s="83"/>
      <c r="CC52" s="83"/>
      <c r="CD52" s="83"/>
      <c r="CE52" s="83"/>
      <c r="CF52" s="83"/>
      <c r="CG52" s="83"/>
      <c r="CH52" s="83"/>
      <c r="CI52" s="83"/>
      <c r="CJ52" s="83"/>
      <c r="CK52" s="83"/>
      <c r="CL52" s="83"/>
      <c r="CM52" s="83"/>
      <c r="CN52" s="83"/>
      <c r="CO52" s="83"/>
      <c r="CP52" s="83"/>
    </row>
    <row r="53" spans="1:94" x14ac:dyDescent="0.25">
      <c r="A53" s="103" t="s">
        <v>43</v>
      </c>
      <c r="B53" s="98" t="s">
        <v>9</v>
      </c>
      <c r="C53" s="112">
        <f>EOD_Credit_NP!D39</f>
        <v>0</v>
      </c>
      <c r="D53" s="113">
        <f>EOD_Credit_NP!E39</f>
        <v>0</v>
      </c>
      <c r="E53" s="112">
        <f>EOD_Credit_NP!F39</f>
        <v>0</v>
      </c>
      <c r="F53" s="113">
        <f>EOD_Credit_NP!G39</f>
        <v>0</v>
      </c>
      <c r="G53" s="112">
        <f>EOD_Credit_NP!H39</f>
        <v>0</v>
      </c>
      <c r="H53" s="113">
        <f>EOD_Credit_NP!I39</f>
        <v>0</v>
      </c>
      <c r="I53" s="112">
        <f>EOD_Credit_NP!J39</f>
        <v>0</v>
      </c>
      <c r="J53" s="113">
        <f>EOD_Credit_NP!K39</f>
        <v>0</v>
      </c>
      <c r="K53" s="112">
        <f>EOD_Credit_NP!L39</f>
        <v>0</v>
      </c>
      <c r="L53" s="113">
        <f>EOD_Credit_NP!M39</f>
        <v>0</v>
      </c>
      <c r="M53" s="112">
        <f>EOD_Credit_NP!N39</f>
        <v>0</v>
      </c>
      <c r="N53" s="113">
        <f>EOD_Credit_NP!O39</f>
        <v>0</v>
      </c>
      <c r="O53" s="112">
        <f>EOD_Credit_NP!P39</f>
        <v>0</v>
      </c>
      <c r="P53" s="113">
        <f>EOD_Credit_NP!Q39</f>
        <v>0</v>
      </c>
      <c r="Q53" s="112">
        <f>EOD_Credit_NP!R39</f>
        <v>0</v>
      </c>
      <c r="R53" s="113">
        <f>EOD_Credit_NP!S39</f>
        <v>0</v>
      </c>
      <c r="S53" s="112">
        <f>EOD_Credit_NP!T39</f>
        <v>0</v>
      </c>
      <c r="T53" s="113">
        <f>EOD_Credit_NP!U39</f>
        <v>0</v>
      </c>
      <c r="U53" s="112">
        <f>EOD_Credit_NP!V39</f>
        <v>0</v>
      </c>
      <c r="V53" s="113">
        <f>EOD_Credit_NP!W39</f>
        <v>0</v>
      </c>
      <c r="W53" s="112">
        <f>EOD_Credit_NP!X39</f>
        <v>0</v>
      </c>
      <c r="X53" s="113">
        <f>EOD_Credit_NP!Y39</f>
        <v>0</v>
      </c>
      <c r="Y53" s="112">
        <f>EOD_Credit_NP!Z39</f>
        <v>0</v>
      </c>
      <c r="Z53" s="113">
        <f>EOD_Credit_NP!AA39</f>
        <v>0</v>
      </c>
      <c r="AA53" s="112">
        <f>EOD_Credit_NP!AB39</f>
        <v>0</v>
      </c>
      <c r="AB53" s="113">
        <f>EOD_Credit_NP!AC39</f>
        <v>0</v>
      </c>
      <c r="AC53" s="112">
        <f>EOD_Credit_NP!AD39</f>
        <v>0</v>
      </c>
      <c r="AD53" s="113">
        <f>EOD_Credit_NP!AE39</f>
        <v>0</v>
      </c>
      <c r="AE53" s="112">
        <f>EOD_Credit_NP!AF39</f>
        <v>0</v>
      </c>
      <c r="AF53" s="113">
        <f>EOD_Credit_NP!AG39</f>
        <v>0</v>
      </c>
      <c r="AG53" s="112">
        <f>EOD_Credit_NP!AH39</f>
        <v>0</v>
      </c>
      <c r="AH53" s="113">
        <f>EOD_Credit_NP!AI39</f>
        <v>0</v>
      </c>
      <c r="AI53" s="112">
        <f>EOD_Credit_NP!AJ39</f>
        <v>0</v>
      </c>
      <c r="AJ53" s="113">
        <f>EOD_Credit_NP!AK39</f>
        <v>0</v>
      </c>
      <c r="AK53" s="112">
        <f>EOD_Credit_NP!AL39</f>
        <v>0</v>
      </c>
      <c r="AL53" s="113">
        <f>EOD_Credit_NP!AM39</f>
        <v>0</v>
      </c>
      <c r="AM53" s="112">
        <f>EOD_Credit_NP!AN39</f>
        <v>0</v>
      </c>
      <c r="AN53" s="113">
        <f>EOD_Credit_NP!AO39</f>
        <v>0</v>
      </c>
      <c r="AO53" s="112">
        <f>EOD_Credit_NP!AP39</f>
        <v>0</v>
      </c>
      <c r="AP53" s="113">
        <f>EOD_Credit_NP!AQ39</f>
        <v>0</v>
      </c>
      <c r="AQ53" s="112">
        <f>EOD_Credit_NP!AR39</f>
        <v>0</v>
      </c>
      <c r="AR53" s="113">
        <f>EOD_Credit_NP!AS39</f>
        <v>0</v>
      </c>
      <c r="AS53" s="112">
        <f>EOD_Credit_NP!AT39</f>
        <v>0</v>
      </c>
      <c r="AT53" s="113">
        <f>EOD_Credit_NP!AU39</f>
        <v>0</v>
      </c>
      <c r="AU53" s="112">
        <f>EOD_Credit_NP!AV39</f>
        <v>0</v>
      </c>
      <c r="AV53" s="113">
        <f>EOD_Credit_NP!AW39</f>
        <v>0</v>
      </c>
      <c r="AW53" s="112">
        <f>EOD_Credit_NP!AX39</f>
        <v>0</v>
      </c>
      <c r="AX53" s="113">
        <f>EOD_Credit_NP!AY39</f>
        <v>0</v>
      </c>
      <c r="AY53" s="112">
        <f>EOD_Credit_NP!AZ39</f>
        <v>0</v>
      </c>
      <c r="AZ53" s="113">
        <f>EOD_Credit_NP!BA39</f>
        <v>0</v>
      </c>
      <c r="BA53" s="112">
        <f>EOD_Credit_NP!BB39</f>
        <v>0</v>
      </c>
      <c r="BB53" s="113">
        <f>EOD_Credit_NP!BC39</f>
        <v>0</v>
      </c>
      <c r="BC53" s="112">
        <f>EOD_Credit_NP!BD39</f>
        <v>0</v>
      </c>
      <c r="BD53" s="113">
        <f>EOD_Credit_NP!BE39</f>
        <v>0</v>
      </c>
      <c r="BE53" s="112">
        <f>EOD_Credit_NP!BF39</f>
        <v>0</v>
      </c>
      <c r="BF53" s="113">
        <f>EOD_Credit_NP!BG39</f>
        <v>0</v>
      </c>
      <c r="BG53" s="112">
        <f>EOD_Credit_NP!BH39</f>
        <v>0</v>
      </c>
      <c r="BH53" s="113">
        <f>EOD_Credit_NP!BI39</f>
        <v>0</v>
      </c>
      <c r="BI53" s="112">
        <f>EOD_Credit_NP!BJ39</f>
        <v>0</v>
      </c>
      <c r="BJ53" s="113">
        <f>EOD_Credit_NP!BK39</f>
        <v>0</v>
      </c>
      <c r="BK53" s="112">
        <f>EOD_Credit_NP!BL39</f>
        <v>0</v>
      </c>
      <c r="BL53" s="113">
        <f>EOD_Credit_NP!BM39</f>
        <v>0</v>
      </c>
      <c r="BM53" s="114" cm="1">
        <f t="array" ref="BM53">SUMPRODUCT((MOD(COLUMN(C53:BL53)-COLUMN(C53),2)=0)*C53:BL53)</f>
        <v>0</v>
      </c>
      <c r="BN53" s="113" cm="1">
        <f t="array" ref="BN53">SUMPRODUCT((MOD(COLUMN(D53:BM53)-COLUMN(D53),2)=0)*D53:BM53)</f>
        <v>0</v>
      </c>
      <c r="CA53" s="83"/>
      <c r="CB53" s="83"/>
      <c r="CC53" s="83"/>
      <c r="CD53" s="83"/>
      <c r="CE53" s="83"/>
      <c r="CF53" s="83"/>
      <c r="CG53" s="83"/>
      <c r="CH53" s="83"/>
      <c r="CI53" s="83"/>
      <c r="CJ53" s="83"/>
      <c r="CK53" s="83"/>
      <c r="CL53" s="83"/>
      <c r="CM53" s="83"/>
      <c r="CN53" s="83"/>
      <c r="CO53" s="83"/>
      <c r="CP53" s="83"/>
    </row>
    <row r="54" spans="1:94" x14ac:dyDescent="0.25">
      <c r="A54" s="103" t="s">
        <v>44</v>
      </c>
      <c r="B54" s="98" t="s">
        <v>9</v>
      </c>
      <c r="C54" s="112">
        <f>EOD_Credit_NP!D40</f>
        <v>4</v>
      </c>
      <c r="D54" s="113">
        <f>EOD_Credit_NP!E40</f>
        <v>2753.7</v>
      </c>
      <c r="E54" s="112">
        <f>EOD_Credit_NP!F40</f>
        <v>1</v>
      </c>
      <c r="F54" s="113">
        <f>EOD_Credit_NP!G40</f>
        <v>300</v>
      </c>
      <c r="G54" s="112">
        <f>EOD_Credit_NP!H40</f>
        <v>1</v>
      </c>
      <c r="H54" s="113">
        <f>EOD_Credit_NP!I40</f>
        <v>200</v>
      </c>
      <c r="I54" s="112">
        <f>EOD_Credit_NP!J40</f>
        <v>5</v>
      </c>
      <c r="J54" s="113">
        <f>EOD_Credit_NP!K40</f>
        <v>2056.9</v>
      </c>
      <c r="K54" s="112">
        <f>EOD_Credit_NP!L40</f>
        <v>2</v>
      </c>
      <c r="L54" s="113">
        <f>EOD_Credit_NP!M40</f>
        <v>596.70000000000005</v>
      </c>
      <c r="M54" s="112">
        <f>EOD_Credit_NP!N40</f>
        <v>1</v>
      </c>
      <c r="N54" s="113">
        <f>EOD_Credit_NP!O40</f>
        <v>500</v>
      </c>
      <c r="O54" s="112">
        <f>EOD_Credit_NP!P40</f>
        <v>1</v>
      </c>
      <c r="P54" s="113">
        <f>EOD_Credit_NP!Q40</f>
        <v>500</v>
      </c>
      <c r="Q54" s="112">
        <f>EOD_Credit_NP!R40</f>
        <v>2</v>
      </c>
      <c r="R54" s="113">
        <f>EOD_Credit_NP!S40</f>
        <v>292.2</v>
      </c>
      <c r="S54" s="112">
        <f>EOD_Credit_NP!T40</f>
        <v>4</v>
      </c>
      <c r="T54" s="113">
        <f>EOD_Credit_NP!U40</f>
        <v>5285.8</v>
      </c>
      <c r="U54" s="112">
        <f>EOD_Credit_NP!V40</f>
        <v>2</v>
      </c>
      <c r="V54" s="113">
        <f>EOD_Credit_NP!W40</f>
        <v>1700</v>
      </c>
      <c r="W54" s="112">
        <f>EOD_Credit_NP!X40</f>
        <v>3</v>
      </c>
      <c r="X54" s="113">
        <f>EOD_Credit_NP!Y40</f>
        <v>890.9</v>
      </c>
      <c r="Y54" s="112">
        <f>EOD_Credit_NP!Z40</f>
        <v>1</v>
      </c>
      <c r="Z54" s="113">
        <f>EOD_Credit_NP!AA40</f>
        <v>465.5</v>
      </c>
      <c r="AA54" s="112">
        <f>EOD_Credit_NP!AB40</f>
        <v>1</v>
      </c>
      <c r="AB54" s="113">
        <f>EOD_Credit_NP!AC40</f>
        <v>200</v>
      </c>
      <c r="AC54" s="112">
        <f>EOD_Credit_NP!AD40</f>
        <v>4</v>
      </c>
      <c r="AD54" s="113">
        <f>EOD_Credit_NP!AE40</f>
        <v>1790.7</v>
      </c>
      <c r="AE54" s="112">
        <f>EOD_Credit_NP!AF40</f>
        <v>3</v>
      </c>
      <c r="AF54" s="113">
        <f>EOD_Credit_NP!AG40</f>
        <v>796.5</v>
      </c>
      <c r="AG54" s="112">
        <f>EOD_Credit_NP!AH40</f>
        <v>1</v>
      </c>
      <c r="AH54" s="113">
        <f>EOD_Credit_NP!AI40</f>
        <v>500</v>
      </c>
      <c r="AI54" s="112">
        <f>EOD_Credit_NP!AJ40</f>
        <v>4</v>
      </c>
      <c r="AJ54" s="113">
        <f>EOD_Credit_NP!AK40</f>
        <v>1350.5</v>
      </c>
      <c r="AK54" s="112">
        <f>EOD_Credit_NP!AL40</f>
        <v>4</v>
      </c>
      <c r="AL54" s="113">
        <f>EOD_Credit_NP!AM40</f>
        <v>887.8</v>
      </c>
      <c r="AM54" s="112">
        <f>EOD_Credit_NP!AN40</f>
        <v>4</v>
      </c>
      <c r="AN54" s="113">
        <f>EOD_Credit_NP!AO40</f>
        <v>1728</v>
      </c>
      <c r="AO54" s="112">
        <f>EOD_Credit_NP!AP40</f>
        <v>0</v>
      </c>
      <c r="AP54" s="113">
        <f>EOD_Credit_NP!AQ40</f>
        <v>0</v>
      </c>
      <c r="AQ54" s="112">
        <f>EOD_Credit_NP!AR40</f>
        <v>0</v>
      </c>
      <c r="AR54" s="113">
        <f>EOD_Credit_NP!AS40</f>
        <v>0</v>
      </c>
      <c r="AS54" s="112">
        <f>EOD_Credit_NP!AT40</f>
        <v>0</v>
      </c>
      <c r="AT54" s="113">
        <f>EOD_Credit_NP!AU40</f>
        <v>0</v>
      </c>
      <c r="AU54" s="112">
        <f>EOD_Credit_NP!AV40</f>
        <v>3</v>
      </c>
      <c r="AV54" s="113">
        <f>EOD_Credit_NP!AW40</f>
        <v>1878.7</v>
      </c>
      <c r="AW54" s="112">
        <f>EOD_Credit_NP!AX40</f>
        <v>1</v>
      </c>
      <c r="AX54" s="113">
        <f>EOD_Credit_NP!AY40</f>
        <v>500</v>
      </c>
      <c r="AY54" s="112">
        <f>EOD_Credit_NP!AZ40</f>
        <v>3</v>
      </c>
      <c r="AZ54" s="113">
        <f>EOD_Credit_NP!BA40</f>
        <v>562.5</v>
      </c>
      <c r="BA54" s="112">
        <f>EOD_Credit_NP!BB40</f>
        <v>2</v>
      </c>
      <c r="BB54" s="113">
        <f>EOD_Credit_NP!BC40</f>
        <v>578.5</v>
      </c>
      <c r="BC54" s="112">
        <f>EOD_Credit_NP!BD40</f>
        <v>1</v>
      </c>
      <c r="BD54" s="113">
        <f>EOD_Credit_NP!BE40</f>
        <v>216.7</v>
      </c>
      <c r="BE54" s="112">
        <f>EOD_Credit_NP!BF40</f>
        <v>4</v>
      </c>
      <c r="BF54" s="113">
        <f>EOD_Credit_NP!BG40</f>
        <v>2372.1999999999998</v>
      </c>
      <c r="BG54" s="112">
        <f>EOD_Credit_NP!BH40</f>
        <v>2</v>
      </c>
      <c r="BH54" s="113">
        <f>EOD_Credit_NP!BI40</f>
        <v>656.2</v>
      </c>
      <c r="BI54" s="112">
        <f>EOD_Credit_NP!BJ40</f>
        <v>2</v>
      </c>
      <c r="BJ54" s="113">
        <f>EOD_Credit_NP!BK40</f>
        <v>1000</v>
      </c>
      <c r="BK54" s="112">
        <f>EOD_Credit_NP!BL40</f>
        <v>4</v>
      </c>
      <c r="BL54" s="113">
        <f>EOD_Credit_NP!BM40</f>
        <v>2044.7</v>
      </c>
      <c r="BM54" s="114" cm="1">
        <f t="array" ref="BM54">SUMPRODUCT((MOD(COLUMN(C54:BL54)-COLUMN(C54),2)=0)*C54:BL54)</f>
        <v>70</v>
      </c>
      <c r="BN54" s="113" cm="1">
        <f t="array" ref="BN54">SUMPRODUCT((MOD(COLUMN(D54:BM54)-COLUMN(D54),2)=0)*D54:BM54)</f>
        <v>32604.7</v>
      </c>
      <c r="CA54" s="83"/>
      <c r="CB54" s="83"/>
      <c r="CC54" s="83"/>
      <c r="CD54" s="83"/>
      <c r="CE54" s="83"/>
      <c r="CF54" s="83"/>
      <c r="CG54" s="83"/>
      <c r="CH54" s="83"/>
      <c r="CI54" s="83"/>
      <c r="CJ54" s="83"/>
      <c r="CK54" s="83"/>
      <c r="CL54" s="83"/>
      <c r="CM54" s="83"/>
      <c r="CN54" s="83"/>
      <c r="CO54" s="83"/>
      <c r="CP54" s="83"/>
    </row>
    <row r="55" spans="1:94" x14ac:dyDescent="0.25">
      <c r="A55" s="100" t="s">
        <v>45</v>
      </c>
      <c r="B55" s="104"/>
      <c r="C55" s="127">
        <f>SUM(C52:C54)</f>
        <v>5</v>
      </c>
      <c r="D55" s="127">
        <f>SUM(D52:D54)</f>
        <v>3114.1</v>
      </c>
      <c r="E55" s="127">
        <f t="shared" ref="E55:BL55" si="13">SUM(E52:E54)</f>
        <v>1</v>
      </c>
      <c r="F55" s="127">
        <f t="shared" si="13"/>
        <v>300</v>
      </c>
      <c r="G55" s="127">
        <f t="shared" si="13"/>
        <v>1</v>
      </c>
      <c r="H55" s="127">
        <f t="shared" si="13"/>
        <v>200</v>
      </c>
      <c r="I55" s="127">
        <f t="shared" si="13"/>
        <v>5</v>
      </c>
      <c r="J55" s="127">
        <f t="shared" si="13"/>
        <v>2056.9</v>
      </c>
      <c r="K55" s="127">
        <f t="shared" si="13"/>
        <v>2</v>
      </c>
      <c r="L55" s="127">
        <f t="shared" si="13"/>
        <v>596.70000000000005</v>
      </c>
      <c r="M55" s="127">
        <f t="shared" si="13"/>
        <v>2</v>
      </c>
      <c r="N55" s="127">
        <f t="shared" si="13"/>
        <v>1199.4000000000001</v>
      </c>
      <c r="O55" s="127">
        <f t="shared" si="13"/>
        <v>2</v>
      </c>
      <c r="P55" s="127">
        <f t="shared" si="13"/>
        <v>1500</v>
      </c>
      <c r="Q55" s="127">
        <f t="shared" si="13"/>
        <v>2</v>
      </c>
      <c r="R55" s="127">
        <f t="shared" si="13"/>
        <v>292.2</v>
      </c>
      <c r="S55" s="127">
        <f t="shared" si="13"/>
        <v>5</v>
      </c>
      <c r="T55" s="127">
        <f t="shared" si="13"/>
        <v>5645.5</v>
      </c>
      <c r="U55" s="127">
        <f t="shared" si="13"/>
        <v>3</v>
      </c>
      <c r="V55" s="127">
        <f t="shared" si="13"/>
        <v>3000</v>
      </c>
      <c r="W55" s="127">
        <f t="shared" si="13"/>
        <v>5</v>
      </c>
      <c r="X55" s="127">
        <f t="shared" si="13"/>
        <v>2180.4</v>
      </c>
      <c r="Y55" s="127">
        <f t="shared" si="13"/>
        <v>1</v>
      </c>
      <c r="Z55" s="127">
        <f t="shared" si="13"/>
        <v>465.5</v>
      </c>
      <c r="AA55" s="127">
        <f t="shared" si="13"/>
        <v>1</v>
      </c>
      <c r="AB55" s="127">
        <f t="shared" si="13"/>
        <v>200</v>
      </c>
      <c r="AC55" s="127">
        <f t="shared" si="13"/>
        <v>5</v>
      </c>
      <c r="AD55" s="127">
        <f t="shared" si="13"/>
        <v>2790.7</v>
      </c>
      <c r="AE55" s="127">
        <f t="shared" si="13"/>
        <v>4</v>
      </c>
      <c r="AF55" s="127">
        <f t="shared" si="13"/>
        <v>1546.5</v>
      </c>
      <c r="AG55" s="127">
        <f t="shared" si="13"/>
        <v>1</v>
      </c>
      <c r="AH55" s="127">
        <f t="shared" si="13"/>
        <v>500</v>
      </c>
      <c r="AI55" s="127">
        <f t="shared" si="13"/>
        <v>5</v>
      </c>
      <c r="AJ55" s="127">
        <f t="shared" si="13"/>
        <v>1920.2</v>
      </c>
      <c r="AK55" s="127">
        <f t="shared" si="13"/>
        <v>4</v>
      </c>
      <c r="AL55" s="127">
        <f t="shared" si="13"/>
        <v>887.8</v>
      </c>
      <c r="AM55" s="127">
        <f t="shared" si="13"/>
        <v>4</v>
      </c>
      <c r="AN55" s="127">
        <f t="shared" si="13"/>
        <v>1728</v>
      </c>
      <c r="AO55" s="127">
        <f t="shared" si="13"/>
        <v>0</v>
      </c>
      <c r="AP55" s="127">
        <f t="shared" si="13"/>
        <v>0</v>
      </c>
      <c r="AQ55" s="127">
        <f t="shared" si="13"/>
        <v>0</v>
      </c>
      <c r="AR55" s="127">
        <f t="shared" si="13"/>
        <v>0</v>
      </c>
      <c r="AS55" s="127">
        <f t="shared" si="13"/>
        <v>0</v>
      </c>
      <c r="AT55" s="127">
        <f t="shared" si="13"/>
        <v>0</v>
      </c>
      <c r="AU55" s="127">
        <f t="shared" si="13"/>
        <v>4</v>
      </c>
      <c r="AV55" s="127">
        <f t="shared" si="13"/>
        <v>2574.6</v>
      </c>
      <c r="AW55" s="127">
        <f t="shared" si="13"/>
        <v>1</v>
      </c>
      <c r="AX55" s="127">
        <f t="shared" si="13"/>
        <v>500</v>
      </c>
      <c r="AY55" s="127">
        <f t="shared" si="13"/>
        <v>3</v>
      </c>
      <c r="AZ55" s="127">
        <f t="shared" si="13"/>
        <v>562.5</v>
      </c>
      <c r="BA55" s="127">
        <f t="shared" si="13"/>
        <v>2</v>
      </c>
      <c r="BB55" s="127">
        <f t="shared" si="13"/>
        <v>578.5</v>
      </c>
      <c r="BC55" s="127">
        <f t="shared" si="13"/>
        <v>2</v>
      </c>
      <c r="BD55" s="127">
        <f t="shared" si="13"/>
        <v>759.90000000000009</v>
      </c>
      <c r="BE55" s="127">
        <f t="shared" si="13"/>
        <v>5</v>
      </c>
      <c r="BF55" s="127">
        <f t="shared" si="13"/>
        <v>3172.2</v>
      </c>
      <c r="BG55" s="127">
        <f t="shared" si="13"/>
        <v>2</v>
      </c>
      <c r="BH55" s="127">
        <f t="shared" si="13"/>
        <v>656.2</v>
      </c>
      <c r="BI55" s="127">
        <f t="shared" si="13"/>
        <v>2</v>
      </c>
      <c r="BJ55" s="127">
        <f t="shared" si="13"/>
        <v>1000</v>
      </c>
      <c r="BK55" s="127">
        <f t="shared" si="13"/>
        <v>6</v>
      </c>
      <c r="BL55" s="127">
        <f t="shared" si="13"/>
        <v>3331.2</v>
      </c>
      <c r="BM55" s="128">
        <f t="shared" ref="BM55:BN55" si="14">SUM(BM52:BM54)</f>
        <v>85</v>
      </c>
      <c r="BN55" s="127">
        <f t="shared" si="14"/>
        <v>43259</v>
      </c>
      <c r="CA55" s="83"/>
      <c r="CB55" s="83"/>
      <c r="CC55" s="83"/>
      <c r="CD55" s="83"/>
      <c r="CE55" s="83"/>
      <c r="CF55" s="83"/>
      <c r="CG55" s="83"/>
      <c r="CH55" s="83"/>
      <c r="CI55" s="83"/>
      <c r="CJ55" s="83"/>
      <c r="CK55" s="83"/>
      <c r="CL55" s="83"/>
      <c r="CM55" s="83"/>
      <c r="CN55" s="83"/>
      <c r="CO55" s="83"/>
      <c r="CP55" s="83"/>
    </row>
    <row r="56" spans="1:94" ht="13.5" thickBot="1" x14ac:dyDescent="0.3">
      <c r="A56" s="105"/>
      <c r="B56" s="106"/>
      <c r="C56" s="129"/>
      <c r="D56" s="130"/>
      <c r="E56" s="129"/>
      <c r="F56" s="130"/>
      <c r="G56" s="129"/>
      <c r="H56" s="130"/>
      <c r="I56" s="129"/>
      <c r="J56" s="130"/>
      <c r="K56" s="129"/>
      <c r="L56" s="130"/>
      <c r="M56" s="129"/>
      <c r="N56" s="130"/>
      <c r="O56" s="129"/>
      <c r="P56" s="130"/>
      <c r="Q56" s="129"/>
      <c r="R56" s="130"/>
      <c r="S56" s="129"/>
      <c r="T56" s="130"/>
      <c r="U56" s="129"/>
      <c r="V56" s="130"/>
      <c r="W56" s="129"/>
      <c r="X56" s="130"/>
      <c r="Y56" s="129"/>
      <c r="Z56" s="130"/>
      <c r="AA56" s="129"/>
      <c r="AB56" s="130"/>
      <c r="AC56" s="129"/>
      <c r="AD56" s="130"/>
      <c r="AE56" s="129"/>
      <c r="AF56" s="130"/>
      <c r="AG56" s="129"/>
      <c r="AH56" s="130"/>
      <c r="AI56" s="129"/>
      <c r="AJ56" s="130"/>
      <c r="AK56" s="129"/>
      <c r="AL56" s="130"/>
      <c r="AM56" s="129"/>
      <c r="AN56" s="130"/>
      <c r="AO56" s="129"/>
      <c r="AP56" s="130"/>
      <c r="AQ56" s="129"/>
      <c r="AR56" s="130"/>
      <c r="AS56" s="129"/>
      <c r="AT56" s="130"/>
      <c r="AU56" s="129"/>
      <c r="AV56" s="130"/>
      <c r="AW56" s="129"/>
      <c r="AX56" s="130"/>
      <c r="AY56" s="129"/>
      <c r="AZ56" s="130"/>
      <c r="BA56" s="129"/>
      <c r="BB56" s="130"/>
      <c r="BC56" s="129"/>
      <c r="BD56" s="130"/>
      <c r="BE56" s="129"/>
      <c r="BF56" s="130"/>
      <c r="BG56" s="129"/>
      <c r="BH56" s="130"/>
      <c r="BI56" s="129"/>
      <c r="BJ56" s="130"/>
      <c r="BK56" s="129"/>
      <c r="BL56" s="130"/>
      <c r="BM56" s="131"/>
      <c r="BN56" s="130"/>
      <c r="CA56" s="83"/>
      <c r="CB56" s="83"/>
      <c r="CC56" s="83"/>
      <c r="CD56" s="83"/>
      <c r="CE56" s="83"/>
      <c r="CF56" s="83"/>
      <c r="CG56" s="83"/>
      <c r="CH56" s="83"/>
      <c r="CI56" s="83"/>
      <c r="CJ56" s="83"/>
      <c r="CK56" s="83"/>
      <c r="CL56" s="83"/>
      <c r="CM56" s="83"/>
      <c r="CN56" s="83"/>
      <c r="CO56" s="83"/>
      <c r="CP56" s="83"/>
    </row>
    <row r="57" spans="1:94" x14ac:dyDescent="0.25">
      <c r="A57" s="103" t="s">
        <v>46</v>
      </c>
      <c r="C57" s="124">
        <f t="shared" ref="C57:BL57" si="15">SUM(C55,C49,C44,C39,C32,C26,C17)</f>
        <v>202</v>
      </c>
      <c r="D57" s="125">
        <f t="shared" si="15"/>
        <v>98649.5</v>
      </c>
      <c r="E57" s="124">
        <f t="shared" si="15"/>
        <v>180</v>
      </c>
      <c r="F57" s="125">
        <f t="shared" si="15"/>
        <v>71895</v>
      </c>
      <c r="G57" s="124">
        <f t="shared" si="15"/>
        <v>264</v>
      </c>
      <c r="H57" s="125">
        <f t="shared" si="15"/>
        <v>105198.29999999999</v>
      </c>
      <c r="I57" s="124">
        <f t="shared" si="15"/>
        <v>243</v>
      </c>
      <c r="J57" s="125">
        <f t="shared" si="15"/>
        <v>121001.40000000001</v>
      </c>
      <c r="K57" s="124">
        <f t="shared" si="15"/>
        <v>253</v>
      </c>
      <c r="L57" s="125">
        <f t="shared" si="15"/>
        <v>108318.6</v>
      </c>
      <c r="M57" s="124">
        <f t="shared" si="15"/>
        <v>242</v>
      </c>
      <c r="N57" s="125">
        <f t="shared" si="15"/>
        <v>113399.8</v>
      </c>
      <c r="O57" s="124">
        <f t="shared" si="15"/>
        <v>195</v>
      </c>
      <c r="P57" s="125">
        <f t="shared" si="15"/>
        <v>67705.2</v>
      </c>
      <c r="Q57" s="124">
        <f t="shared" si="15"/>
        <v>246</v>
      </c>
      <c r="R57" s="125">
        <f t="shared" si="15"/>
        <v>116930.1</v>
      </c>
      <c r="S57" s="124">
        <f t="shared" si="15"/>
        <v>183</v>
      </c>
      <c r="T57" s="125">
        <f t="shared" si="15"/>
        <v>75884.399999999994</v>
      </c>
      <c r="U57" s="124">
        <f t="shared" si="15"/>
        <v>240</v>
      </c>
      <c r="V57" s="125">
        <f t="shared" si="15"/>
        <v>105113.59999999999</v>
      </c>
      <c r="W57" s="124">
        <f t="shared" si="15"/>
        <v>231</v>
      </c>
      <c r="X57" s="125">
        <f t="shared" si="15"/>
        <v>114907.2</v>
      </c>
      <c r="Y57" s="124">
        <f t="shared" si="15"/>
        <v>260</v>
      </c>
      <c r="Z57" s="125">
        <f t="shared" si="15"/>
        <v>118700.8</v>
      </c>
      <c r="AA57" s="124">
        <f t="shared" si="15"/>
        <v>211</v>
      </c>
      <c r="AB57" s="125">
        <f t="shared" si="15"/>
        <v>97499.5</v>
      </c>
      <c r="AC57" s="124">
        <f t="shared" si="15"/>
        <v>176</v>
      </c>
      <c r="AD57" s="125">
        <f t="shared" si="15"/>
        <v>58991.799999999996</v>
      </c>
      <c r="AE57" s="124">
        <f t="shared" si="15"/>
        <v>240</v>
      </c>
      <c r="AF57" s="125">
        <f t="shared" si="15"/>
        <v>110502.09999999999</v>
      </c>
      <c r="AG57" s="124">
        <f t="shared" si="15"/>
        <v>182</v>
      </c>
      <c r="AH57" s="125">
        <f t="shared" si="15"/>
        <v>73518.899999999994</v>
      </c>
      <c r="AI57" s="124">
        <f t="shared" si="15"/>
        <v>296</v>
      </c>
      <c r="AJ57" s="125">
        <f t="shared" si="15"/>
        <v>125217.19999999998</v>
      </c>
      <c r="AK57" s="124">
        <f t="shared" si="15"/>
        <v>238</v>
      </c>
      <c r="AL57" s="125">
        <f t="shared" si="15"/>
        <v>116022.6</v>
      </c>
      <c r="AM57" s="124">
        <f t="shared" si="15"/>
        <v>260</v>
      </c>
      <c r="AN57" s="125">
        <f t="shared" si="15"/>
        <v>133313.20000000001</v>
      </c>
      <c r="AO57" s="124">
        <f t="shared" si="15"/>
        <v>45</v>
      </c>
      <c r="AP57" s="125">
        <f t="shared" si="15"/>
        <v>18106.900000000001</v>
      </c>
      <c r="AQ57" s="124">
        <f t="shared" si="15"/>
        <v>199</v>
      </c>
      <c r="AR57" s="125">
        <f t="shared" si="15"/>
        <v>79562.2</v>
      </c>
      <c r="AS57" s="124">
        <f t="shared" si="15"/>
        <v>232</v>
      </c>
      <c r="AT57" s="125">
        <f t="shared" si="15"/>
        <v>104524.9</v>
      </c>
      <c r="AU57" s="124">
        <f t="shared" si="15"/>
        <v>182</v>
      </c>
      <c r="AV57" s="125">
        <f t="shared" si="15"/>
        <v>64272.399999999994</v>
      </c>
      <c r="AW57" s="124">
        <f t="shared" si="15"/>
        <v>253</v>
      </c>
      <c r="AX57" s="125">
        <f t="shared" si="15"/>
        <v>96196.200000000012</v>
      </c>
      <c r="AY57" s="124">
        <f t="shared" si="15"/>
        <v>215</v>
      </c>
      <c r="AZ57" s="125">
        <f t="shared" si="15"/>
        <v>100674.6</v>
      </c>
      <c r="BA57" s="124">
        <f t="shared" si="15"/>
        <v>252</v>
      </c>
      <c r="BB57" s="125">
        <f t="shared" si="15"/>
        <v>109100.2</v>
      </c>
      <c r="BC57" s="124">
        <f t="shared" si="15"/>
        <v>225</v>
      </c>
      <c r="BD57" s="125">
        <f t="shared" si="15"/>
        <v>97565.4</v>
      </c>
      <c r="BE57" s="124">
        <f t="shared" si="15"/>
        <v>204</v>
      </c>
      <c r="BF57" s="125">
        <f t="shared" si="15"/>
        <v>73592</v>
      </c>
      <c r="BG57" s="124">
        <f t="shared" si="15"/>
        <v>219</v>
      </c>
      <c r="BH57" s="125">
        <f t="shared" si="15"/>
        <v>104504.40000000001</v>
      </c>
      <c r="BI57" s="124">
        <f t="shared" si="15"/>
        <v>204</v>
      </c>
      <c r="BJ57" s="125">
        <f t="shared" si="15"/>
        <v>73378.8</v>
      </c>
      <c r="BK57" s="124">
        <f t="shared" si="15"/>
        <v>269</v>
      </c>
      <c r="BL57" s="125">
        <f t="shared" si="15"/>
        <v>107632.5</v>
      </c>
      <c r="BM57" s="126">
        <f t="shared" ref="BM57:BN57" si="16">SUM(BM55,BM49,BM44,BM39,BM32,BM26,BM17)</f>
        <v>6841</v>
      </c>
      <c r="BN57" s="125">
        <f t="shared" si="16"/>
        <v>2961879.7</v>
      </c>
      <c r="BO57" s="102"/>
      <c r="BP57" s="102"/>
      <c r="BQ57" s="102"/>
      <c r="BR57" s="102"/>
      <c r="BS57" s="102"/>
      <c r="BT57" s="102"/>
      <c r="BU57" s="102"/>
      <c r="BV57" s="102"/>
      <c r="BW57" s="102"/>
      <c r="BX57" s="102"/>
      <c r="CA57" s="83"/>
      <c r="CB57" s="83"/>
      <c r="CC57" s="83"/>
      <c r="CD57" s="83"/>
      <c r="CE57" s="83"/>
      <c r="CF57" s="83"/>
      <c r="CG57" s="83"/>
      <c r="CH57" s="83"/>
      <c r="CI57" s="83"/>
      <c r="CJ57" s="83"/>
      <c r="CK57" s="83"/>
      <c r="CL57" s="83"/>
      <c r="CM57" s="83"/>
      <c r="CN57" s="83"/>
      <c r="CO57" s="83"/>
      <c r="CP57" s="83"/>
    </row>
    <row r="58" spans="1:94" x14ac:dyDescent="0.25">
      <c r="A58" s="103"/>
      <c r="C58" s="124"/>
      <c r="D58" s="125"/>
      <c r="E58" s="124"/>
      <c r="F58" s="125"/>
      <c r="G58" s="124"/>
      <c r="H58" s="125"/>
      <c r="I58" s="124"/>
      <c r="J58" s="125"/>
      <c r="K58" s="124"/>
      <c r="L58" s="125"/>
      <c r="M58" s="124"/>
      <c r="N58" s="125"/>
      <c r="O58" s="124"/>
      <c r="P58" s="125"/>
      <c r="Q58" s="124"/>
      <c r="R58" s="125"/>
      <c r="S58" s="124"/>
      <c r="T58" s="125"/>
      <c r="U58" s="124"/>
      <c r="V58" s="125"/>
      <c r="W58" s="124"/>
      <c r="X58" s="125"/>
      <c r="Y58" s="124"/>
      <c r="Z58" s="125"/>
      <c r="AA58" s="124"/>
      <c r="AB58" s="125"/>
      <c r="AC58" s="124"/>
      <c r="AD58" s="125"/>
      <c r="AE58" s="124"/>
      <c r="AF58" s="125"/>
      <c r="AG58" s="124"/>
      <c r="AH58" s="125"/>
      <c r="AI58" s="124"/>
      <c r="AJ58" s="125"/>
      <c r="AK58" s="124"/>
      <c r="AL58" s="125"/>
      <c r="AM58" s="124"/>
      <c r="AN58" s="125"/>
      <c r="AO58" s="124"/>
      <c r="AP58" s="125"/>
      <c r="AQ58" s="124"/>
      <c r="AR58" s="125"/>
      <c r="AS58" s="124"/>
      <c r="AT58" s="125"/>
      <c r="AU58" s="124"/>
      <c r="AV58" s="125"/>
      <c r="AW58" s="124"/>
      <c r="AX58" s="125"/>
      <c r="AY58" s="124"/>
      <c r="AZ58" s="125"/>
      <c r="BA58" s="124"/>
      <c r="BB58" s="125"/>
      <c r="BC58" s="124"/>
      <c r="BD58" s="125"/>
      <c r="BE58" s="124"/>
      <c r="BF58" s="125"/>
      <c r="BG58" s="124"/>
      <c r="BH58" s="125"/>
      <c r="BI58" s="124"/>
      <c r="BJ58" s="125"/>
      <c r="BK58" s="124"/>
      <c r="BL58" s="125"/>
      <c r="BM58" s="126"/>
      <c r="BN58" s="125"/>
      <c r="BO58" s="102"/>
      <c r="BP58" s="102"/>
      <c r="BQ58" s="102"/>
      <c r="BR58" s="102"/>
      <c r="BS58" s="102"/>
      <c r="BT58" s="102"/>
      <c r="BU58" s="102"/>
      <c r="BV58" s="102"/>
      <c r="BW58" s="102"/>
      <c r="BX58" s="102"/>
      <c r="CA58" s="83"/>
      <c r="CB58" s="83"/>
      <c r="CC58" s="83"/>
      <c r="CD58" s="83"/>
      <c r="CE58" s="83"/>
      <c r="CF58" s="83"/>
      <c r="CG58" s="83"/>
      <c r="CH58" s="83"/>
      <c r="CI58" s="83"/>
      <c r="CJ58" s="83"/>
      <c r="CK58" s="83"/>
      <c r="CL58" s="83"/>
      <c r="CM58" s="83"/>
      <c r="CN58" s="83"/>
      <c r="CO58" s="83"/>
      <c r="CP58" s="83"/>
    </row>
    <row r="59" spans="1:94" x14ac:dyDescent="0.25">
      <c r="C59" s="118"/>
      <c r="D59" s="80"/>
      <c r="E59" s="118"/>
      <c r="F59" s="80"/>
      <c r="G59" s="118"/>
      <c r="H59" s="80"/>
      <c r="I59" s="118"/>
      <c r="J59" s="80"/>
      <c r="K59" s="118"/>
      <c r="L59" s="80"/>
      <c r="M59" s="118"/>
      <c r="N59" s="80"/>
      <c r="O59" s="118"/>
      <c r="P59" s="80"/>
      <c r="Q59" s="118"/>
      <c r="R59" s="80"/>
      <c r="S59" s="118"/>
      <c r="T59" s="80"/>
      <c r="U59" s="118"/>
      <c r="V59" s="80"/>
      <c r="W59" s="118"/>
      <c r="X59" s="80"/>
      <c r="Y59" s="118"/>
      <c r="Z59" s="80"/>
      <c r="AA59" s="118"/>
      <c r="AB59" s="80"/>
      <c r="AC59" s="118"/>
      <c r="AD59" s="80"/>
      <c r="AE59" s="118"/>
      <c r="AF59" s="80"/>
      <c r="AG59" s="118"/>
      <c r="AH59" s="80"/>
      <c r="AI59" s="118"/>
      <c r="AJ59" s="80"/>
      <c r="AK59" s="118"/>
      <c r="AL59" s="80"/>
      <c r="AM59" s="118"/>
      <c r="AN59" s="80"/>
      <c r="AO59" s="118"/>
      <c r="AP59" s="80"/>
      <c r="AQ59" s="118"/>
      <c r="AR59" s="80"/>
      <c r="AS59" s="118"/>
      <c r="AT59" s="80"/>
      <c r="AU59" s="118"/>
      <c r="AV59" s="80"/>
      <c r="AW59" s="118"/>
      <c r="AX59" s="80"/>
      <c r="AY59" s="118"/>
      <c r="AZ59" s="80"/>
      <c r="BA59" s="118"/>
      <c r="BB59" s="80"/>
      <c r="BC59" s="118"/>
      <c r="BD59" s="80"/>
      <c r="BE59" s="118"/>
      <c r="BF59" s="80"/>
      <c r="BG59" s="118"/>
      <c r="BH59" s="80"/>
      <c r="BI59" s="118"/>
      <c r="BJ59" s="80"/>
      <c r="BK59" s="118"/>
      <c r="BL59" s="80"/>
      <c r="BM59" s="120"/>
      <c r="BN59" s="80"/>
      <c r="CA59" s="83"/>
      <c r="CB59" s="83"/>
      <c r="CC59" s="83"/>
      <c r="CD59" s="83"/>
      <c r="CE59" s="83"/>
      <c r="CF59" s="83"/>
      <c r="CG59" s="83"/>
      <c r="CH59" s="83"/>
      <c r="CI59" s="83"/>
      <c r="CJ59" s="83"/>
      <c r="CK59" s="83"/>
      <c r="CL59" s="83"/>
      <c r="CM59" s="83"/>
      <c r="CN59" s="83"/>
      <c r="CO59" s="83"/>
      <c r="CP59" s="83"/>
    </row>
    <row r="60" spans="1:94" x14ac:dyDescent="0.25">
      <c r="A60" s="92" t="s">
        <v>47</v>
      </c>
      <c r="B60" s="93"/>
      <c r="C60" s="132" t="s">
        <v>48</v>
      </c>
      <c r="D60" s="132" t="s">
        <v>49</v>
      </c>
      <c r="E60" s="132" t="s">
        <v>48</v>
      </c>
      <c r="F60" s="132" t="s">
        <v>49</v>
      </c>
      <c r="G60" s="132" t="s">
        <v>48</v>
      </c>
      <c r="H60" s="132" t="s">
        <v>49</v>
      </c>
      <c r="I60" s="132" t="s">
        <v>48</v>
      </c>
      <c r="J60" s="132" t="s">
        <v>49</v>
      </c>
      <c r="K60" s="132" t="s">
        <v>48</v>
      </c>
      <c r="L60" s="132" t="s">
        <v>49</v>
      </c>
      <c r="M60" s="132" t="s">
        <v>48</v>
      </c>
      <c r="N60" s="132" t="s">
        <v>49</v>
      </c>
      <c r="O60" s="132" t="s">
        <v>48</v>
      </c>
      <c r="P60" s="132" t="s">
        <v>49</v>
      </c>
      <c r="Q60" s="132" t="s">
        <v>48</v>
      </c>
      <c r="R60" s="132" t="s">
        <v>49</v>
      </c>
      <c r="S60" s="132" t="s">
        <v>48</v>
      </c>
      <c r="T60" s="132" t="s">
        <v>49</v>
      </c>
      <c r="U60" s="132" t="s">
        <v>48</v>
      </c>
      <c r="V60" s="132" t="s">
        <v>49</v>
      </c>
      <c r="W60" s="132" t="s">
        <v>48</v>
      </c>
      <c r="X60" s="132" t="s">
        <v>49</v>
      </c>
      <c r="Y60" s="132" t="s">
        <v>48</v>
      </c>
      <c r="Z60" s="132" t="s">
        <v>49</v>
      </c>
      <c r="AA60" s="132" t="s">
        <v>48</v>
      </c>
      <c r="AB60" s="132" t="s">
        <v>49</v>
      </c>
      <c r="AC60" s="132" t="s">
        <v>48</v>
      </c>
      <c r="AD60" s="132" t="s">
        <v>49</v>
      </c>
      <c r="AE60" s="132" t="s">
        <v>48</v>
      </c>
      <c r="AF60" s="132" t="s">
        <v>49</v>
      </c>
      <c r="AG60" s="132" t="s">
        <v>48</v>
      </c>
      <c r="AH60" s="132" t="s">
        <v>49</v>
      </c>
      <c r="AI60" s="132" t="s">
        <v>48</v>
      </c>
      <c r="AJ60" s="132" t="s">
        <v>49</v>
      </c>
      <c r="AK60" s="132" t="s">
        <v>48</v>
      </c>
      <c r="AL60" s="132" t="s">
        <v>49</v>
      </c>
      <c r="AM60" s="132" t="s">
        <v>48</v>
      </c>
      <c r="AN60" s="132" t="s">
        <v>49</v>
      </c>
      <c r="AO60" s="132" t="s">
        <v>48</v>
      </c>
      <c r="AP60" s="132" t="s">
        <v>49</v>
      </c>
      <c r="AQ60" s="132" t="s">
        <v>48</v>
      </c>
      <c r="AR60" s="132" t="s">
        <v>49</v>
      </c>
      <c r="AS60" s="132" t="s">
        <v>48</v>
      </c>
      <c r="AT60" s="132" t="s">
        <v>49</v>
      </c>
      <c r="AU60" s="132" t="s">
        <v>48</v>
      </c>
      <c r="AV60" s="132" t="s">
        <v>49</v>
      </c>
      <c r="AW60" s="132" t="s">
        <v>48</v>
      </c>
      <c r="AX60" s="132" t="s">
        <v>49</v>
      </c>
      <c r="AY60" s="132" t="s">
        <v>48</v>
      </c>
      <c r="AZ60" s="132" t="s">
        <v>49</v>
      </c>
      <c r="BA60" s="132" t="s">
        <v>48</v>
      </c>
      <c r="BB60" s="132" t="s">
        <v>49</v>
      </c>
      <c r="BC60" s="132" t="s">
        <v>48</v>
      </c>
      <c r="BD60" s="132" t="s">
        <v>49</v>
      </c>
      <c r="BE60" s="132" t="s">
        <v>48</v>
      </c>
      <c r="BF60" s="132" t="s">
        <v>49</v>
      </c>
      <c r="BG60" s="132" t="s">
        <v>48</v>
      </c>
      <c r="BH60" s="132" t="s">
        <v>49</v>
      </c>
      <c r="BI60" s="132" t="s">
        <v>48</v>
      </c>
      <c r="BJ60" s="132" t="s">
        <v>49</v>
      </c>
      <c r="BK60" s="132" t="s">
        <v>48</v>
      </c>
      <c r="BL60" s="132" t="s">
        <v>49</v>
      </c>
      <c r="BM60" s="133"/>
      <c r="BN60" s="132" t="s">
        <v>50</v>
      </c>
      <c r="CA60" s="83"/>
      <c r="CB60" s="83"/>
      <c r="CC60" s="83"/>
      <c r="CD60" s="83"/>
      <c r="CE60" s="83"/>
      <c r="CF60" s="83"/>
      <c r="CG60" s="83"/>
      <c r="CH60" s="83"/>
      <c r="CI60" s="83"/>
      <c r="CJ60" s="83"/>
      <c r="CK60" s="83"/>
      <c r="CL60" s="83"/>
      <c r="CM60" s="83"/>
      <c r="CN60" s="83"/>
      <c r="CO60" s="83"/>
      <c r="CP60" s="83"/>
    </row>
    <row r="61" spans="1:94" x14ac:dyDescent="0.25">
      <c r="A61" s="79" t="s">
        <v>51</v>
      </c>
      <c r="B61" s="98" t="s">
        <v>52</v>
      </c>
      <c r="C61" s="134">
        <v>1.8800000000000001E-2</v>
      </c>
      <c r="D61" s="135">
        <f>C61*(D26+D35)</f>
        <v>852.63263999999992</v>
      </c>
      <c r="E61" s="134">
        <v>1.8800000000000001E-2</v>
      </c>
      <c r="F61" s="135">
        <f>E61*(F26+F35)</f>
        <v>599.81776000000002</v>
      </c>
      <c r="G61" s="134">
        <v>1.8800000000000001E-2</v>
      </c>
      <c r="H61" s="135">
        <f>G61*(H26+H35)</f>
        <v>819.32280000000003</v>
      </c>
      <c r="I61" s="134">
        <v>1.8800000000000001E-2</v>
      </c>
      <c r="J61" s="135">
        <f>I61*(J26+J35)</f>
        <v>982.35828000000015</v>
      </c>
      <c r="K61" s="134">
        <v>1.8800000000000001E-2</v>
      </c>
      <c r="L61" s="135">
        <f>K61*(L26+L35)</f>
        <v>876.16084000000001</v>
      </c>
      <c r="M61" s="134">
        <v>1.8800000000000001E-2</v>
      </c>
      <c r="N61" s="135">
        <f>M61*(N26+N35)</f>
        <v>799.19176000000016</v>
      </c>
      <c r="O61" s="134">
        <v>1.8800000000000001E-2</v>
      </c>
      <c r="P61" s="135">
        <f>O61*(P26+P35)</f>
        <v>490.87740000000002</v>
      </c>
      <c r="Q61" s="134">
        <v>1.8800000000000001E-2</v>
      </c>
      <c r="R61" s="135">
        <f>Q61*(R26+R35)</f>
        <v>943.78444000000013</v>
      </c>
      <c r="S61" s="134">
        <v>1.8800000000000001E-2</v>
      </c>
      <c r="T61" s="135">
        <f>S61*(T26+T35)</f>
        <v>485.88036000000005</v>
      </c>
      <c r="U61" s="134">
        <v>1.8800000000000001E-2</v>
      </c>
      <c r="V61" s="135">
        <f>U61*(V26+V35)</f>
        <v>863.89008000000001</v>
      </c>
      <c r="W61" s="134">
        <v>1.8800000000000001E-2</v>
      </c>
      <c r="X61" s="135">
        <f>W61*(X26+X35)</f>
        <v>976.32159999999999</v>
      </c>
      <c r="Y61" s="134">
        <v>1.8800000000000001E-2</v>
      </c>
      <c r="Z61" s="135">
        <f>Y61*(Z26+Z35)</f>
        <v>933.99340000000007</v>
      </c>
      <c r="AA61" s="134">
        <v>1.8800000000000001E-2</v>
      </c>
      <c r="AB61" s="135">
        <f>AA61*(AB26+AB35)</f>
        <v>657.21792000000005</v>
      </c>
      <c r="AC61" s="134">
        <v>1.8800000000000001E-2</v>
      </c>
      <c r="AD61" s="135">
        <f>AC61*(AD26+AD35)</f>
        <v>427.62855999999994</v>
      </c>
      <c r="AE61" s="134">
        <v>1.8800000000000001E-2</v>
      </c>
      <c r="AF61" s="135">
        <f>AE61*(AF26+AF35)</f>
        <v>969.80739999999992</v>
      </c>
      <c r="AG61" s="134">
        <v>1.8800000000000001E-2</v>
      </c>
      <c r="AH61" s="135">
        <f>AG61*(AH26+AH35)</f>
        <v>597.34180000000003</v>
      </c>
      <c r="AI61" s="134">
        <v>1.8800000000000001E-2</v>
      </c>
      <c r="AJ61" s="135">
        <f>AI61*(AJ26+AJ35)</f>
        <v>1016.38816</v>
      </c>
      <c r="AK61" s="134">
        <v>1.8800000000000001E-2</v>
      </c>
      <c r="AL61" s="135">
        <f>AK61*(AL26+AL35)</f>
        <v>874.4444000000002</v>
      </c>
      <c r="AM61" s="134">
        <v>1.8800000000000001E-2</v>
      </c>
      <c r="AN61" s="135">
        <f>AM61*(AN26+AN35)</f>
        <v>931.19220000000007</v>
      </c>
      <c r="AO61" s="134">
        <v>1.8800000000000001E-2</v>
      </c>
      <c r="AP61" s="135">
        <f>AO61*(AP26+AP35)</f>
        <v>142.63560000000001</v>
      </c>
      <c r="AQ61" s="134">
        <v>1.8800000000000001E-2</v>
      </c>
      <c r="AR61" s="135">
        <f>AQ61*(AR26+AR35)</f>
        <v>564.74448000000007</v>
      </c>
      <c r="AS61" s="134">
        <v>1.8800000000000001E-2</v>
      </c>
      <c r="AT61" s="135">
        <f>AS61*(AT26+AT35)</f>
        <v>877.42420000000004</v>
      </c>
      <c r="AU61" s="134">
        <v>1.8800000000000001E-2</v>
      </c>
      <c r="AV61" s="135">
        <f>AU61*(AV26+AV35)</f>
        <v>480.80811999999997</v>
      </c>
      <c r="AW61" s="134">
        <v>1.8800000000000001E-2</v>
      </c>
      <c r="AX61" s="135">
        <f>AW61*(AX26+AX35)</f>
        <v>830.58587999999997</v>
      </c>
      <c r="AY61" s="134">
        <v>1.8800000000000001E-2</v>
      </c>
      <c r="AZ61" s="135">
        <f>AY61*(AZ26+AZ35)</f>
        <v>770.49919999999997</v>
      </c>
      <c r="BA61" s="134">
        <v>1.8800000000000001E-2</v>
      </c>
      <c r="BB61" s="135">
        <f>BA61*(BB26+BB35)</f>
        <v>723.99928</v>
      </c>
      <c r="BC61" s="134">
        <v>1.8800000000000001E-2</v>
      </c>
      <c r="BD61" s="135">
        <f>BC61*(BD26+BD35)</f>
        <v>619.49572000000001</v>
      </c>
      <c r="BE61" s="134">
        <v>1.8800000000000001E-2</v>
      </c>
      <c r="BF61" s="135">
        <f>BE61*(BF26+BF35)</f>
        <v>556.92556000000002</v>
      </c>
      <c r="BG61" s="134">
        <v>1.8800000000000001E-2</v>
      </c>
      <c r="BH61" s="135">
        <f>BG61*(BH26+BH35)</f>
        <v>934.93340000000001</v>
      </c>
      <c r="BI61" s="134">
        <v>1.8800000000000001E-2</v>
      </c>
      <c r="BJ61" s="135">
        <f>BI61*(BJ26+BJ35)</f>
        <v>581.38812000000007</v>
      </c>
      <c r="BK61" s="134">
        <v>1.8800000000000001E-2</v>
      </c>
      <c r="BL61" s="135">
        <f>BK61*(BL26+BL35)</f>
        <v>897.10404000000005</v>
      </c>
      <c r="BM61" s="136"/>
      <c r="BN61" s="113" cm="1">
        <f t="array" ref="BN61">SUMPRODUCT((MOD(COLUMN(D61:BM61)-COLUMN(D61),2)=0)*D61:BM61)</f>
        <v>23078.795399999995</v>
      </c>
      <c r="CA61" s="83"/>
      <c r="CB61" s="83"/>
      <c r="CC61" s="83"/>
      <c r="CD61" s="83"/>
      <c r="CE61" s="83"/>
      <c r="CF61" s="83"/>
      <c r="CG61" s="83"/>
      <c r="CH61" s="83"/>
      <c r="CI61" s="83"/>
      <c r="CJ61" s="83"/>
      <c r="CK61" s="83"/>
      <c r="CL61" s="83"/>
      <c r="CM61" s="83"/>
      <c r="CN61" s="83"/>
      <c r="CO61" s="83"/>
      <c r="CP61" s="83"/>
    </row>
    <row r="62" spans="1:94" x14ac:dyDescent="0.25">
      <c r="A62" s="79" t="s">
        <v>7</v>
      </c>
      <c r="B62" s="98" t="s">
        <v>52</v>
      </c>
      <c r="C62" s="134">
        <v>1.8800000000000001E-2</v>
      </c>
      <c r="D62" s="135">
        <f>C62*(D17+D36)</f>
        <v>775.17851999999993</v>
      </c>
      <c r="E62" s="134">
        <v>1.8800000000000001E-2</v>
      </c>
      <c r="F62" s="135">
        <f>E62*(F17+F36)</f>
        <v>588.51332000000002</v>
      </c>
      <c r="G62" s="134">
        <v>1.8800000000000001E-2</v>
      </c>
      <c r="H62" s="135">
        <f>G62*(H17+H36)</f>
        <v>1041.8001200000001</v>
      </c>
      <c r="I62" s="134">
        <v>1.8800000000000001E-2</v>
      </c>
      <c r="J62" s="135">
        <f>I62*(J17+J36)</f>
        <v>974.92100000000005</v>
      </c>
      <c r="K62" s="134">
        <v>1.8800000000000001E-2</v>
      </c>
      <c r="L62" s="135">
        <f>K62*(L17+L36)</f>
        <v>944.30331999999987</v>
      </c>
      <c r="M62" s="134">
        <v>1.8800000000000001E-2</v>
      </c>
      <c r="N62" s="135">
        <f>M62*(N17+N36)</f>
        <v>1100.09328</v>
      </c>
      <c r="O62" s="134">
        <v>1.8800000000000001E-2</v>
      </c>
      <c r="P62" s="135">
        <f>O62*(P17+P36)</f>
        <v>634.15219999999999</v>
      </c>
      <c r="Q62" s="134">
        <v>1.8800000000000001E-2</v>
      </c>
      <c r="R62" s="135">
        <f>Q62*(R17+R36)</f>
        <v>931.67348000000004</v>
      </c>
      <c r="S62" s="134">
        <v>1.8800000000000001E-2</v>
      </c>
      <c r="T62" s="135">
        <f>S62*(T17+T36)</f>
        <v>706.64499999999998</v>
      </c>
      <c r="U62" s="134">
        <v>1.8800000000000001E-2</v>
      </c>
      <c r="V62" s="135">
        <f>U62*(V17+V36)</f>
        <v>826.3145199999999</v>
      </c>
      <c r="W62" s="134">
        <v>1.8800000000000001E-2</v>
      </c>
      <c r="X62" s="135">
        <f>W62*(X17+X36)</f>
        <v>983.09900000000005</v>
      </c>
      <c r="Y62" s="134">
        <v>1.8800000000000001E-2</v>
      </c>
      <c r="Z62" s="135">
        <f>Y62*(Z17+Z36)</f>
        <v>1092.85716</v>
      </c>
      <c r="AA62" s="134">
        <v>1.8800000000000001E-2</v>
      </c>
      <c r="AB62" s="135">
        <f>AA62*(AB17+AB36)</f>
        <v>991.59472000000017</v>
      </c>
      <c r="AC62" s="134">
        <v>1.8800000000000001E-2</v>
      </c>
      <c r="AD62" s="135">
        <f>AC62*(AD17+AD36)</f>
        <v>501.09520000000003</v>
      </c>
      <c r="AE62" s="134">
        <v>1.8800000000000001E-2</v>
      </c>
      <c r="AF62" s="135">
        <f>AE62*(AF17+AF36)</f>
        <v>711.98983999999996</v>
      </c>
      <c r="AG62" s="134">
        <v>1.8800000000000001E-2</v>
      </c>
      <c r="AH62" s="135">
        <f>AG62*(AH17+AH36)</f>
        <v>694.5942</v>
      </c>
      <c r="AI62" s="134">
        <v>1.8800000000000001E-2</v>
      </c>
      <c r="AJ62" s="135">
        <f>AI62*(AJ17+AJ36)</f>
        <v>1067.5467200000001</v>
      </c>
      <c r="AK62" s="134">
        <v>1.8800000000000001E-2</v>
      </c>
      <c r="AL62" s="135">
        <f>AK62*(AL17+AL36)</f>
        <v>1093.3591200000001</v>
      </c>
      <c r="AM62" s="134">
        <v>1.8800000000000001E-2</v>
      </c>
      <c r="AN62" s="135">
        <f>AM62*(AN17+AN36)</f>
        <v>1325.64816</v>
      </c>
      <c r="AO62" s="134">
        <v>1.8800000000000001E-2</v>
      </c>
      <c r="AP62" s="135">
        <f>AO62*(AP17+AP36)</f>
        <v>170.03471999999999</v>
      </c>
      <c r="AQ62" s="134">
        <v>1.8800000000000001E-2</v>
      </c>
      <c r="AR62" s="135">
        <f>AQ62*(AR17+AR36)</f>
        <v>809.40955999999994</v>
      </c>
      <c r="AS62" s="134">
        <v>1.8800000000000001E-2</v>
      </c>
      <c r="AT62" s="135">
        <f>AS62*(AT17+AT36)</f>
        <v>844.38695999999993</v>
      </c>
      <c r="AU62" s="134">
        <v>1.8800000000000001E-2</v>
      </c>
      <c r="AV62" s="135">
        <f>AU62*(AV17+AV36)</f>
        <v>554.36875999999995</v>
      </c>
      <c r="AW62" s="134">
        <v>1.8800000000000001E-2</v>
      </c>
      <c r="AX62" s="135">
        <f>AW62*(AX17+AX36)</f>
        <v>835.66752000000008</v>
      </c>
      <c r="AY62" s="134">
        <v>1.8800000000000001E-2</v>
      </c>
      <c r="AZ62" s="135">
        <f>AY62*(AZ17+AZ36)</f>
        <v>873.60591999999997</v>
      </c>
      <c r="BA62" s="134">
        <v>1.8800000000000001E-2</v>
      </c>
      <c r="BB62" s="135">
        <f>BA62*(BB17+BB36)</f>
        <v>1153.0171600000001</v>
      </c>
      <c r="BC62" s="134">
        <v>1.8800000000000001E-2</v>
      </c>
      <c r="BD62" s="135">
        <f>BC62*(BD17+BD36)</f>
        <v>1076.9222800000002</v>
      </c>
      <c r="BE62" s="134">
        <v>1.8800000000000001E-2</v>
      </c>
      <c r="BF62" s="135">
        <f>BE62*(BF17+BF36)</f>
        <v>636.68832000000009</v>
      </c>
      <c r="BG62" s="134">
        <v>1.8800000000000001E-2</v>
      </c>
      <c r="BH62" s="135">
        <f>BG62*(BH17+BH36)</f>
        <v>785.45648000000017</v>
      </c>
      <c r="BI62" s="134">
        <v>1.8800000000000001E-2</v>
      </c>
      <c r="BJ62" s="135">
        <f>BI62*(BJ17+BJ36)</f>
        <v>650.41796000000011</v>
      </c>
      <c r="BK62" s="134">
        <v>1.8800000000000001E-2</v>
      </c>
      <c r="BL62" s="135">
        <f>BK62*(BL17+BL36)</f>
        <v>827.12480000000005</v>
      </c>
      <c r="BM62" s="136"/>
      <c r="BN62" s="113" cm="1">
        <f t="array" ref="BN62">SUMPRODUCT((MOD(COLUMN(D62:BM62)-COLUMN(D62),2)=0)*D62:BM62)</f>
        <v>26202.479319999999</v>
      </c>
      <c r="CA62" s="83"/>
      <c r="CB62" s="83"/>
      <c r="CC62" s="83"/>
      <c r="CD62" s="83"/>
      <c r="CE62" s="83"/>
      <c r="CF62" s="83"/>
      <c r="CG62" s="83"/>
      <c r="CH62" s="83"/>
      <c r="CI62" s="83"/>
      <c r="CJ62" s="83"/>
      <c r="CK62" s="83"/>
      <c r="CL62" s="83"/>
      <c r="CM62" s="83"/>
      <c r="CN62" s="83"/>
      <c r="CO62" s="83"/>
      <c r="CP62" s="83"/>
    </row>
    <row r="63" spans="1:94" x14ac:dyDescent="0.25">
      <c r="A63" s="79" t="s">
        <v>53</v>
      </c>
      <c r="B63" s="98" t="s">
        <v>52</v>
      </c>
      <c r="C63" s="134">
        <v>1.8800000000000001E-2</v>
      </c>
      <c r="D63" s="135">
        <f>C63*(D32+D39)</f>
        <v>205.55732</v>
      </c>
      <c r="E63" s="134">
        <v>1.8800000000000001E-2</v>
      </c>
      <c r="F63" s="135">
        <f>E63*(F32+F39)</f>
        <v>197.01647999999997</v>
      </c>
      <c r="G63" s="134">
        <v>1.8800000000000001E-2</v>
      </c>
      <c r="H63" s="135">
        <f>G63*(H32+H39)</f>
        <v>295.73903999999999</v>
      </c>
      <c r="I63" s="134">
        <v>1.8800000000000001E-2</v>
      </c>
      <c r="J63" s="135">
        <f>I63*(J32+J39)</f>
        <v>219.87540000000001</v>
      </c>
      <c r="K63" s="134">
        <v>1.8800000000000001E-2</v>
      </c>
      <c r="L63" s="135">
        <f>K63*(L32+L39)</f>
        <v>327.09180000000003</v>
      </c>
      <c r="M63" s="134">
        <v>1.8800000000000001E-2</v>
      </c>
      <c r="N63" s="135">
        <f>M63*(N32+N39)</f>
        <v>397.33236000000005</v>
      </c>
      <c r="O63" s="134">
        <v>1.8800000000000001E-2</v>
      </c>
      <c r="P63" s="135">
        <f>O63*(P32+P39)</f>
        <v>187.43600000000001</v>
      </c>
      <c r="Q63" s="134">
        <v>1.8800000000000001E-2</v>
      </c>
      <c r="R63" s="135">
        <f>Q63*(R32+R39)</f>
        <v>217.81868000000006</v>
      </c>
      <c r="S63" s="134">
        <v>1.8800000000000001E-2</v>
      </c>
      <c r="T63" s="135">
        <f>S63*(T32+T39)</f>
        <v>161.92251999999999</v>
      </c>
      <c r="U63" s="134">
        <v>1.8800000000000001E-2</v>
      </c>
      <c r="V63" s="135">
        <f>U63*(V32+V39)</f>
        <v>231.75135999999998</v>
      </c>
      <c r="W63" s="134">
        <v>1.8800000000000001E-2</v>
      </c>
      <c r="X63" s="135">
        <f>W63*(X32+X39)</f>
        <v>190.39511999999996</v>
      </c>
      <c r="Y63" s="134">
        <v>1.8800000000000001E-2</v>
      </c>
      <c r="Z63" s="135">
        <f>Y63*(Z32+Z39)</f>
        <v>490.75332000000003</v>
      </c>
      <c r="AA63" s="134">
        <v>1.8800000000000001E-2</v>
      </c>
      <c r="AB63" s="135">
        <f>AA63*(AB32+AB39)</f>
        <v>323.10996</v>
      </c>
      <c r="AC63" s="134">
        <v>1.8800000000000001E-2</v>
      </c>
      <c r="AD63" s="135">
        <f>AC63*(AD32+AD39)</f>
        <v>148.42976000000002</v>
      </c>
      <c r="AE63" s="134">
        <v>1.8800000000000001E-2</v>
      </c>
      <c r="AF63" s="135">
        <f>AE63*(AF32+AF39)</f>
        <v>223.88356000000002</v>
      </c>
      <c r="AG63" s="134">
        <v>1.8800000000000001E-2</v>
      </c>
      <c r="AH63" s="135">
        <f>AG63*(AH32+AH39)</f>
        <v>161.50516000000002</v>
      </c>
      <c r="AI63" s="134">
        <v>1.8800000000000001E-2</v>
      </c>
      <c r="AJ63" s="135">
        <f>AI63*(AJ32+AJ39)</f>
        <v>275.50083999999998</v>
      </c>
      <c r="AK63" s="134">
        <v>1.8800000000000001E-2</v>
      </c>
      <c r="AL63" s="135">
        <f>AK63*(AL32+AL39)</f>
        <v>198.36067999999997</v>
      </c>
      <c r="AM63" s="134">
        <v>1.8800000000000001E-2</v>
      </c>
      <c r="AN63" s="135">
        <f>AM63*(AN32+AN39)</f>
        <v>270.73316</v>
      </c>
      <c r="AO63" s="134">
        <v>1.8800000000000001E-2</v>
      </c>
      <c r="AP63" s="135">
        <f>AO63*(AP32+AP39)</f>
        <v>65.031080000000003</v>
      </c>
      <c r="AQ63" s="134">
        <v>1.8800000000000001E-2</v>
      </c>
      <c r="AR63" s="135">
        <f>AQ63*(AR32+AR39)</f>
        <v>192.16232000000002</v>
      </c>
      <c r="AS63" s="134">
        <v>1.8800000000000001E-2</v>
      </c>
      <c r="AT63" s="135">
        <f>AS63*(AT32+AT39)</f>
        <v>317.12028000000004</v>
      </c>
      <c r="AU63" s="134">
        <v>1.8800000000000001E-2</v>
      </c>
      <c r="AV63" s="135">
        <f>AU63*(AV32+AV39)</f>
        <v>148.7362</v>
      </c>
      <c r="AW63" s="134">
        <v>1.8800000000000001E-2</v>
      </c>
      <c r="AX63" s="135">
        <f>AW63*(AX32+AX39)</f>
        <v>222.67284000000004</v>
      </c>
      <c r="AY63" s="134">
        <v>1.8800000000000001E-2</v>
      </c>
      <c r="AZ63" s="135">
        <f>AY63*(AZ32+AZ39)</f>
        <v>192.43492000000001</v>
      </c>
      <c r="BA63" s="134">
        <v>1.8800000000000001E-2</v>
      </c>
      <c r="BB63" s="135">
        <f>BA63*(BB32+BB39)</f>
        <v>343.56436000000002</v>
      </c>
      <c r="BC63" s="134">
        <v>1.8800000000000001E-2</v>
      </c>
      <c r="BD63" s="135">
        <f>BC63*(BD32+BD39)</f>
        <v>354.75976000000003</v>
      </c>
      <c r="BE63" s="134">
        <v>1.8800000000000001E-2</v>
      </c>
      <c r="BF63" s="135">
        <f>BE63*(BF32+BF39)</f>
        <v>181.77155999999999</v>
      </c>
      <c r="BG63" s="134">
        <v>1.8800000000000001E-2</v>
      </c>
      <c r="BH63" s="135">
        <f>BG63*(BH32+BH39)</f>
        <v>210.68783999999999</v>
      </c>
      <c r="BI63" s="134">
        <v>1.8800000000000001E-2</v>
      </c>
      <c r="BJ63" s="135">
        <f>BI63*(BJ32+BJ39)</f>
        <v>209.89260000000002</v>
      </c>
      <c r="BK63" s="134">
        <v>1.8800000000000001E-2</v>
      </c>
      <c r="BL63" s="135">
        <f>BK63*(BL32+BL39)</f>
        <v>189.60552000000001</v>
      </c>
      <c r="BM63" s="136"/>
      <c r="BN63" s="113" cm="1">
        <f t="array" ref="BN63">SUMPRODUCT((MOD(COLUMN(D63:BM63)-COLUMN(D63),2)=0)*D63:BM63)</f>
        <v>7352.6518000000005</v>
      </c>
      <c r="CA63" s="83"/>
      <c r="CB63" s="83"/>
      <c r="CC63" s="83"/>
      <c r="CD63" s="83"/>
      <c r="CE63" s="83"/>
      <c r="CF63" s="83"/>
      <c r="CG63" s="83"/>
      <c r="CH63" s="83"/>
      <c r="CI63" s="83"/>
      <c r="CJ63" s="83"/>
      <c r="CK63" s="83"/>
      <c r="CL63" s="83"/>
      <c r="CM63" s="83"/>
      <c r="CN63" s="83"/>
      <c r="CO63" s="83"/>
      <c r="CP63" s="83"/>
    </row>
    <row r="64" spans="1:94" x14ac:dyDescent="0.25">
      <c r="A64" s="79" t="s">
        <v>34</v>
      </c>
      <c r="B64" s="98" t="s">
        <v>52</v>
      </c>
      <c r="C64" s="134">
        <v>0.02</v>
      </c>
      <c r="D64" s="135">
        <f>C64*(D38+D44)</f>
        <v>104.864</v>
      </c>
      <c r="E64" s="134">
        <v>0.02</v>
      </c>
      <c r="F64" s="135">
        <f>E64*(F38+F44)</f>
        <v>96.054000000000002</v>
      </c>
      <c r="G64" s="134">
        <v>0.02</v>
      </c>
      <c r="H64" s="135">
        <f>G64*(H38+H44)</f>
        <v>44.178000000000004</v>
      </c>
      <c r="I64" s="134">
        <v>0.02</v>
      </c>
      <c r="J64" s="135">
        <f>I64*(J38+J44)</f>
        <v>221.30400000000003</v>
      </c>
      <c r="K64" s="134">
        <v>0.02</v>
      </c>
      <c r="L64" s="135">
        <f>K64*(L38+L44)</f>
        <v>91.647999999999996</v>
      </c>
      <c r="M64" s="134">
        <v>0.02</v>
      </c>
      <c r="N64" s="135">
        <f>M64*(N38+N44)</f>
        <v>78.94</v>
      </c>
      <c r="O64" s="134">
        <v>0.02</v>
      </c>
      <c r="P64" s="135">
        <f>O64*(P38+P44)</f>
        <v>64.796000000000006</v>
      </c>
      <c r="Q64" s="134">
        <v>0.02</v>
      </c>
      <c r="R64" s="135">
        <f>Q64*(R38+R44)</f>
        <v>262.37599999999998</v>
      </c>
      <c r="S64" s="134">
        <v>0.02</v>
      </c>
      <c r="T64" s="135">
        <f>S64*(T38+T44)</f>
        <v>42.568000000000005</v>
      </c>
      <c r="U64" s="134">
        <v>0.02</v>
      </c>
      <c r="V64" s="135">
        <f>U64*(V38+V44)</f>
        <v>129.31</v>
      </c>
      <c r="W64" s="134">
        <v>0.02</v>
      </c>
      <c r="X64" s="135">
        <f>W64*(X38+X44)</f>
        <v>82.88600000000001</v>
      </c>
      <c r="Y64" s="134">
        <v>0.02</v>
      </c>
      <c r="Z64" s="135">
        <f>Y64*(Z38+Z44)</f>
        <v>106.43200000000002</v>
      </c>
      <c r="AA64" s="134">
        <v>0.02</v>
      </c>
      <c r="AB64" s="135">
        <f>AA64*(AB38+AB44)</f>
        <v>110.24799999999999</v>
      </c>
      <c r="AC64" s="134">
        <v>0.02</v>
      </c>
      <c r="AD64" s="135">
        <f>AC64*(AD38+AD44)</f>
        <v>53.14</v>
      </c>
      <c r="AE64" s="134">
        <v>0.02</v>
      </c>
      <c r="AF64" s="135">
        <f>AE64*(AF38+AF44)</f>
        <v>250.82</v>
      </c>
      <c r="AG64" s="134">
        <v>0.02</v>
      </c>
      <c r="AH64" s="135">
        <f>AG64*(AH38+AH44)</f>
        <v>20</v>
      </c>
      <c r="AI64" s="134">
        <v>0.02</v>
      </c>
      <c r="AJ64" s="135">
        <f>AI64*(AJ38+AJ44)</f>
        <v>173.54</v>
      </c>
      <c r="AK64" s="134">
        <v>0.02</v>
      </c>
      <c r="AL64" s="135">
        <f>AK64*(AL38+AL44)</f>
        <v>91.54</v>
      </c>
      <c r="AM64" s="134">
        <v>0.02</v>
      </c>
      <c r="AN64" s="135">
        <f>AM64*(AN38+AN44)</f>
        <v>184.05400000000003</v>
      </c>
      <c r="AO64" s="134">
        <v>0.02</v>
      </c>
      <c r="AP64" s="135">
        <f>AO64*(AP38+AP44)</f>
        <v>0</v>
      </c>
      <c r="AQ64" s="134">
        <v>0.02</v>
      </c>
      <c r="AR64" s="135">
        <f>AQ64*(AR38+AR44)</f>
        <v>62</v>
      </c>
      <c r="AS64" s="134">
        <v>0.02</v>
      </c>
      <c r="AT64" s="135">
        <f>AS64*(AT38+AT44)</f>
        <v>44.368000000000002</v>
      </c>
      <c r="AU64" s="134">
        <v>0.02</v>
      </c>
      <c r="AV64" s="135">
        <f>AU64*(AV38+AV44)</f>
        <v>89.557999999999993</v>
      </c>
      <c r="AW64" s="134">
        <v>0.02</v>
      </c>
      <c r="AX64" s="135">
        <f>AW64*(AX38+AX44)</f>
        <v>60.098000000000006</v>
      </c>
      <c r="AY64" s="134">
        <v>0.02</v>
      </c>
      <c r="AZ64" s="135">
        <f>AY64*(AZ38+AZ44)</f>
        <v>137.43600000000001</v>
      </c>
      <c r="BA64" s="134">
        <v>0.02</v>
      </c>
      <c r="BB64" s="135">
        <f>BA64*(BB38+BB44)</f>
        <v>89.626000000000005</v>
      </c>
      <c r="BC64" s="134">
        <v>0.02</v>
      </c>
      <c r="BD64" s="135">
        <f>BC64*(BD38+BD44)</f>
        <v>46.848000000000006</v>
      </c>
      <c r="BE64" s="134">
        <v>0.02</v>
      </c>
      <c r="BF64" s="135">
        <f>BE64*(BF38+BF44)</f>
        <v>53.223999999999997</v>
      </c>
      <c r="BG64" s="134">
        <v>0.02</v>
      </c>
      <c r="BH64" s="135">
        <f>BG64*(BH38+BH44)</f>
        <v>146.11800000000002</v>
      </c>
      <c r="BI64" s="134">
        <v>0.02</v>
      </c>
      <c r="BJ64" s="135">
        <f>BI64*(BJ38+BJ44)</f>
        <v>31.778000000000002</v>
      </c>
      <c r="BK64" s="134">
        <v>0.02</v>
      </c>
      <c r="BL64" s="135">
        <f>BK64*(BL38+BL44)</f>
        <v>141.45600000000002</v>
      </c>
      <c r="BM64" s="136"/>
      <c r="BN64" s="113" cm="1">
        <f t="array" ref="BN64">SUMPRODUCT((MOD(COLUMN(D64:BM64)-COLUMN(D64),2)=0)*D64:BM64)</f>
        <v>3111.2080000000001</v>
      </c>
      <c r="CA64" s="83"/>
      <c r="CB64" s="83"/>
      <c r="CC64" s="83"/>
      <c r="CD64" s="83"/>
      <c r="CE64" s="83"/>
      <c r="CF64" s="83"/>
      <c r="CG64" s="83"/>
      <c r="CH64" s="83"/>
      <c r="CI64" s="83"/>
      <c r="CJ64" s="83"/>
      <c r="CK64" s="83"/>
      <c r="CL64" s="83"/>
      <c r="CM64" s="83"/>
      <c r="CN64" s="83"/>
      <c r="CO64" s="83"/>
      <c r="CP64" s="83"/>
    </row>
    <row r="65" spans="1:94" x14ac:dyDescent="0.25">
      <c r="C65" s="137"/>
      <c r="D65" s="138"/>
      <c r="E65" s="118"/>
      <c r="F65" s="138"/>
      <c r="G65" s="118"/>
      <c r="H65" s="138"/>
      <c r="I65" s="118"/>
      <c r="J65" s="138"/>
      <c r="K65" s="118"/>
      <c r="L65" s="138"/>
      <c r="M65" s="118"/>
      <c r="N65" s="138"/>
      <c r="O65" s="118"/>
      <c r="P65" s="138"/>
      <c r="Q65" s="118"/>
      <c r="R65" s="138"/>
      <c r="S65" s="118"/>
      <c r="T65" s="138"/>
      <c r="U65" s="118"/>
      <c r="V65" s="138"/>
      <c r="W65" s="118"/>
      <c r="X65" s="138"/>
      <c r="Y65" s="118"/>
      <c r="Z65" s="138"/>
      <c r="AA65" s="118"/>
      <c r="AB65" s="138"/>
      <c r="AC65" s="118"/>
      <c r="AD65" s="138"/>
      <c r="AE65" s="118"/>
      <c r="AF65" s="138"/>
      <c r="AG65" s="118"/>
      <c r="AH65" s="138"/>
      <c r="AI65" s="118"/>
      <c r="AJ65" s="138"/>
      <c r="AK65" s="118"/>
      <c r="AL65" s="138"/>
      <c r="AM65" s="118"/>
      <c r="AN65" s="138"/>
      <c r="AO65" s="118"/>
      <c r="AP65" s="138"/>
      <c r="AQ65" s="118"/>
      <c r="AR65" s="138"/>
      <c r="AS65" s="118"/>
      <c r="AT65" s="138"/>
      <c r="AU65" s="118"/>
      <c r="AV65" s="138"/>
      <c r="AW65" s="118"/>
      <c r="AX65" s="138"/>
      <c r="AY65" s="118"/>
      <c r="AZ65" s="138"/>
      <c r="BA65" s="118"/>
      <c r="BB65" s="138"/>
      <c r="BC65" s="118"/>
      <c r="BD65" s="138"/>
      <c r="BE65" s="118"/>
      <c r="BF65" s="138"/>
      <c r="BG65" s="118"/>
      <c r="BH65" s="138"/>
      <c r="BI65" s="118"/>
      <c r="BJ65" s="138"/>
      <c r="BK65" s="118"/>
      <c r="BL65" s="138"/>
      <c r="BM65" s="120"/>
      <c r="BN65" s="138"/>
      <c r="CA65" s="83"/>
      <c r="CB65" s="83"/>
      <c r="CC65" s="83"/>
      <c r="CD65" s="83"/>
      <c r="CE65" s="83"/>
      <c r="CF65" s="83"/>
      <c r="CG65" s="83"/>
      <c r="CH65" s="83"/>
      <c r="CI65" s="83"/>
      <c r="CJ65" s="83"/>
      <c r="CK65" s="83"/>
      <c r="CL65" s="83"/>
      <c r="CM65" s="83"/>
      <c r="CN65" s="83"/>
      <c r="CO65" s="83"/>
      <c r="CP65" s="83"/>
    </row>
    <row r="66" spans="1:94" x14ac:dyDescent="0.25">
      <c r="A66" s="79" t="s">
        <v>54</v>
      </c>
      <c r="B66" s="98" t="s">
        <v>52</v>
      </c>
      <c r="C66" s="139">
        <v>0.75</v>
      </c>
      <c r="D66" s="140">
        <f>SUM(D61:D63)*C66</f>
        <v>1375.0263599999998</v>
      </c>
      <c r="E66" s="139">
        <v>0.75</v>
      </c>
      <c r="F66" s="140">
        <f>SUM(F61:F63)*E66</f>
        <v>1039.0106699999999</v>
      </c>
      <c r="G66" s="139">
        <v>0.75</v>
      </c>
      <c r="H66" s="140">
        <f>SUM(H61:H63)*G66</f>
        <v>1617.6464700000001</v>
      </c>
      <c r="I66" s="139">
        <v>0.75</v>
      </c>
      <c r="J66" s="140">
        <f>SUM(J61:J63)*I66</f>
        <v>1632.8660100000002</v>
      </c>
      <c r="K66" s="139">
        <v>0.75</v>
      </c>
      <c r="L66" s="140">
        <f>SUM(L61:L63)*K66</f>
        <v>1610.6669700000002</v>
      </c>
      <c r="M66" s="139">
        <v>0.75</v>
      </c>
      <c r="N66" s="140">
        <f>SUM(N61:N63)*M66</f>
        <v>1722.4630500000001</v>
      </c>
      <c r="O66" s="139">
        <v>0.75</v>
      </c>
      <c r="P66" s="140">
        <f>SUM(P61:P63)*O66</f>
        <v>984.3492</v>
      </c>
      <c r="Q66" s="139">
        <v>0.75</v>
      </c>
      <c r="R66" s="140">
        <f>SUM(R61:R63)*Q66</f>
        <v>1569.9574500000001</v>
      </c>
      <c r="S66" s="139">
        <v>0.75</v>
      </c>
      <c r="T66" s="140">
        <f>SUM(T61:T63)*S66</f>
        <v>1015.8359100000001</v>
      </c>
      <c r="U66" s="139">
        <v>0.75</v>
      </c>
      <c r="V66" s="140">
        <f>SUM(V61:V63)*U66</f>
        <v>1441.4669699999999</v>
      </c>
      <c r="W66" s="139">
        <v>0.75</v>
      </c>
      <c r="X66" s="140">
        <f>SUM(X61:X63)*W66</f>
        <v>1612.3617899999999</v>
      </c>
      <c r="Y66" s="139">
        <v>0.75</v>
      </c>
      <c r="Z66" s="140">
        <f>SUM(Z61:Z63)*Y66</f>
        <v>1888.20291</v>
      </c>
      <c r="AA66" s="139">
        <v>0.75</v>
      </c>
      <c r="AB66" s="140">
        <f>SUM(AB61:AB63)*AA66</f>
        <v>1478.9419500000001</v>
      </c>
      <c r="AC66" s="139">
        <v>0.75</v>
      </c>
      <c r="AD66" s="140">
        <f>SUM(AD61:AD63)*AC66</f>
        <v>807.86514000000011</v>
      </c>
      <c r="AE66" s="139">
        <v>0.75</v>
      </c>
      <c r="AF66" s="140">
        <f>SUM(AF61:AF63)*AE66</f>
        <v>1429.2605999999998</v>
      </c>
      <c r="AG66" s="139">
        <v>0.75</v>
      </c>
      <c r="AH66" s="140">
        <f>SUM(AH61:AH63)*AG66</f>
        <v>1090.08087</v>
      </c>
      <c r="AI66" s="139">
        <v>0.75</v>
      </c>
      <c r="AJ66" s="140">
        <f>SUM(AJ61:AJ63)*AI66</f>
        <v>1769.5767900000001</v>
      </c>
      <c r="AK66" s="139">
        <v>0.75</v>
      </c>
      <c r="AL66" s="140">
        <f>SUM(AL61:AL63)*AK66</f>
        <v>1624.6231500000001</v>
      </c>
      <c r="AM66" s="139">
        <v>0.75</v>
      </c>
      <c r="AN66" s="140">
        <f>SUM(AN61:AN63)*AM66</f>
        <v>1895.6801399999999</v>
      </c>
      <c r="AO66" s="139">
        <v>0.75</v>
      </c>
      <c r="AP66" s="140">
        <f>SUM(AP61:AP63)*AO66</f>
        <v>283.27605000000005</v>
      </c>
      <c r="AQ66" s="139">
        <v>0.75</v>
      </c>
      <c r="AR66" s="140">
        <f>SUM(AR61:AR63)*AQ66</f>
        <v>1174.7372699999999</v>
      </c>
      <c r="AS66" s="139">
        <v>0.75</v>
      </c>
      <c r="AT66" s="140">
        <f>SUM(AT61:AT63)*AS66</f>
        <v>1529.19858</v>
      </c>
      <c r="AU66" s="139">
        <v>0.75</v>
      </c>
      <c r="AV66" s="140">
        <f>SUM(AV61:AV63)*AU66</f>
        <v>887.93480999999997</v>
      </c>
      <c r="AW66" s="139">
        <v>0.75</v>
      </c>
      <c r="AX66" s="140">
        <f>SUM(AX61:AX63)*AW66</f>
        <v>1416.6946800000001</v>
      </c>
      <c r="AY66" s="139">
        <v>0.75</v>
      </c>
      <c r="AZ66" s="140">
        <f>SUM(AZ61:AZ63)*AY66</f>
        <v>1377.4050299999999</v>
      </c>
      <c r="BA66" s="139">
        <v>0.75</v>
      </c>
      <c r="BB66" s="140">
        <f>SUM(BB61:BB63)*BA66</f>
        <v>1665.4356000000002</v>
      </c>
      <c r="BC66" s="139">
        <v>0.75</v>
      </c>
      <c r="BD66" s="140">
        <f>SUM(BD61:BD63)*BC66</f>
        <v>1538.3833199999999</v>
      </c>
      <c r="BE66" s="139">
        <v>0.75</v>
      </c>
      <c r="BF66" s="140">
        <f>SUM(BF61:BF63)*BE66</f>
        <v>1031.53908</v>
      </c>
      <c r="BG66" s="139">
        <v>0.75</v>
      </c>
      <c r="BH66" s="140">
        <f>SUM(BH61:BH63)*BG66</f>
        <v>1448.3082900000002</v>
      </c>
      <c r="BI66" s="139">
        <v>0.75</v>
      </c>
      <c r="BJ66" s="140">
        <f>SUM(BJ61:BJ63)*BI66</f>
        <v>1081.2740100000003</v>
      </c>
      <c r="BK66" s="139">
        <v>0.75</v>
      </c>
      <c r="BL66" s="140">
        <f>SUM(BL61:BL63)*BK66</f>
        <v>1435.3757700000001</v>
      </c>
      <c r="BM66" s="141"/>
      <c r="BN66" s="113" cm="1">
        <f t="array" ref="BN66">SUMPRODUCT((MOD(COLUMN(D66:BM66)-COLUMN(D66),2)=0)*D66:BM66)</f>
        <v>42475.444890000006</v>
      </c>
      <c r="CA66" s="83"/>
      <c r="CB66" s="83"/>
      <c r="CC66" s="83"/>
      <c r="CD66" s="83"/>
      <c r="CE66" s="83"/>
      <c r="CF66" s="83"/>
      <c r="CG66" s="83"/>
      <c r="CH66" s="83"/>
      <c r="CI66" s="83"/>
      <c r="CJ66" s="83"/>
      <c r="CK66" s="83"/>
      <c r="CL66" s="83"/>
      <c r="CM66" s="83"/>
      <c r="CN66" s="83"/>
      <c r="CO66" s="83"/>
      <c r="CP66" s="83"/>
    </row>
    <row r="67" spans="1:94" x14ac:dyDescent="0.25">
      <c r="A67" s="79" t="s">
        <v>55</v>
      </c>
      <c r="B67" s="98"/>
      <c r="C67" s="139">
        <v>0.7</v>
      </c>
      <c r="D67" s="140">
        <f>C67*D64</f>
        <v>73.404799999999994</v>
      </c>
      <c r="E67" s="139">
        <v>0.7</v>
      </c>
      <c r="F67" s="140">
        <f t="shared" ref="F67" si="17">E67*F64</f>
        <v>67.237799999999993</v>
      </c>
      <c r="G67" s="139">
        <v>0.7</v>
      </c>
      <c r="H67" s="140">
        <f t="shared" ref="H67" si="18">G67*H64</f>
        <v>30.924600000000002</v>
      </c>
      <c r="I67" s="139">
        <v>0.7</v>
      </c>
      <c r="J67" s="140">
        <f t="shared" ref="J67" si="19">I67*J64</f>
        <v>154.9128</v>
      </c>
      <c r="K67" s="139">
        <v>0.7</v>
      </c>
      <c r="L67" s="140">
        <f t="shared" ref="L67" si="20">K67*L64</f>
        <v>64.153599999999997</v>
      </c>
      <c r="M67" s="139">
        <v>0.7</v>
      </c>
      <c r="N67" s="140">
        <f t="shared" ref="N67" si="21">M67*N64</f>
        <v>55.257999999999996</v>
      </c>
      <c r="O67" s="139">
        <v>0.7</v>
      </c>
      <c r="P67" s="140">
        <f t="shared" ref="P67" si="22">O67*P64</f>
        <v>45.357199999999999</v>
      </c>
      <c r="Q67" s="139">
        <v>0.7</v>
      </c>
      <c r="R67" s="140">
        <f t="shared" ref="R67" si="23">Q67*R64</f>
        <v>183.66319999999996</v>
      </c>
      <c r="S67" s="139">
        <v>0.7</v>
      </c>
      <c r="T67" s="140">
        <f t="shared" ref="T67" si="24">S67*T64</f>
        <v>29.797600000000003</v>
      </c>
      <c r="U67" s="139">
        <v>0.7</v>
      </c>
      <c r="V67" s="140">
        <f t="shared" ref="V67" si="25">U67*V64</f>
        <v>90.516999999999996</v>
      </c>
      <c r="W67" s="139">
        <v>0.7</v>
      </c>
      <c r="X67" s="140">
        <f t="shared" ref="X67" si="26">W67*X64</f>
        <v>58.020200000000003</v>
      </c>
      <c r="Y67" s="139">
        <v>0.7</v>
      </c>
      <c r="Z67" s="140">
        <f t="shared" ref="Z67" si="27">Y67*Z64</f>
        <v>74.502400000000009</v>
      </c>
      <c r="AA67" s="139">
        <v>0.7</v>
      </c>
      <c r="AB67" s="140">
        <f t="shared" ref="AB67" si="28">AA67*AB64</f>
        <v>77.173599999999993</v>
      </c>
      <c r="AC67" s="139">
        <v>0.7</v>
      </c>
      <c r="AD67" s="140">
        <f t="shared" ref="AD67" si="29">AC67*AD64</f>
        <v>37.198</v>
      </c>
      <c r="AE67" s="139">
        <v>0.7</v>
      </c>
      <c r="AF67" s="140">
        <f t="shared" ref="AF67" si="30">AE67*AF64</f>
        <v>175.57399999999998</v>
      </c>
      <c r="AG67" s="139">
        <v>0.7</v>
      </c>
      <c r="AH67" s="140">
        <f t="shared" ref="AH67" si="31">AG67*AH64</f>
        <v>14</v>
      </c>
      <c r="AI67" s="139">
        <v>0.7</v>
      </c>
      <c r="AJ67" s="140">
        <f t="shared" ref="AJ67" si="32">AI67*AJ64</f>
        <v>121.47799999999998</v>
      </c>
      <c r="AK67" s="139">
        <v>0.7</v>
      </c>
      <c r="AL67" s="140">
        <f t="shared" ref="AL67" si="33">AK67*AL64</f>
        <v>64.078000000000003</v>
      </c>
      <c r="AM67" s="139">
        <v>0.7</v>
      </c>
      <c r="AN67" s="140">
        <f t="shared" ref="AN67" si="34">AM67*AN64</f>
        <v>128.83780000000002</v>
      </c>
      <c r="AO67" s="139">
        <v>0.7</v>
      </c>
      <c r="AP67" s="140">
        <f t="shared" ref="AP67" si="35">AO67*AP64</f>
        <v>0</v>
      </c>
      <c r="AQ67" s="139">
        <v>0.7</v>
      </c>
      <c r="AR67" s="140">
        <f t="shared" ref="AR67" si="36">AQ67*AR64</f>
        <v>43.4</v>
      </c>
      <c r="AS67" s="139">
        <v>0.7</v>
      </c>
      <c r="AT67" s="140">
        <f t="shared" ref="AT67" si="37">AS67*AT64</f>
        <v>31.057600000000001</v>
      </c>
      <c r="AU67" s="139">
        <v>0.7</v>
      </c>
      <c r="AV67" s="140">
        <f t="shared" ref="AV67" si="38">AU67*AV64</f>
        <v>62.690599999999989</v>
      </c>
      <c r="AW67" s="139">
        <v>0.7</v>
      </c>
      <c r="AX67" s="140">
        <f t="shared" ref="AX67" si="39">AW67*AX64</f>
        <v>42.068600000000004</v>
      </c>
      <c r="AY67" s="139">
        <v>0.7</v>
      </c>
      <c r="AZ67" s="140">
        <f t="shared" ref="AZ67" si="40">AY67*AZ64</f>
        <v>96.205200000000005</v>
      </c>
      <c r="BA67" s="139">
        <v>0.7</v>
      </c>
      <c r="BB67" s="140">
        <f t="shared" ref="BB67" si="41">BA67*BB64</f>
        <v>62.738199999999999</v>
      </c>
      <c r="BC67" s="139">
        <v>0.7</v>
      </c>
      <c r="BD67" s="140">
        <f t="shared" ref="BD67" si="42">BC67*BD64</f>
        <v>32.793600000000005</v>
      </c>
      <c r="BE67" s="139">
        <v>0.7</v>
      </c>
      <c r="BF67" s="140">
        <f t="shared" ref="BF67" si="43">BE67*BF64</f>
        <v>37.256799999999998</v>
      </c>
      <c r="BG67" s="139">
        <v>0.7</v>
      </c>
      <c r="BH67" s="140">
        <f t="shared" ref="BH67" si="44">BG67*BH64</f>
        <v>102.28260000000002</v>
      </c>
      <c r="BI67" s="139">
        <v>0.7</v>
      </c>
      <c r="BJ67" s="140">
        <f t="shared" ref="BJ67" si="45">BI67*BJ64</f>
        <v>22.244600000000002</v>
      </c>
      <c r="BK67" s="139">
        <v>0.7</v>
      </c>
      <c r="BL67" s="140">
        <f t="shared" ref="BL67" si="46">BK67*BL64</f>
        <v>99.019200000000012</v>
      </c>
      <c r="BM67" s="141"/>
      <c r="BN67" s="113" cm="1">
        <f t="array" ref="BN67">SUMPRODUCT((MOD(COLUMN(D67:BM67)-COLUMN(D67),2)=0)*D67:BM67)</f>
        <v>2177.8456000000006</v>
      </c>
      <c r="CA67" s="83"/>
      <c r="CB67" s="83"/>
      <c r="CC67" s="83"/>
      <c r="CD67" s="83"/>
      <c r="CE67" s="83"/>
      <c r="CF67" s="83"/>
      <c r="CG67" s="83"/>
      <c r="CH67" s="83"/>
      <c r="CI67" s="83"/>
      <c r="CJ67" s="83"/>
      <c r="CK67" s="83"/>
      <c r="CL67" s="83"/>
      <c r="CM67" s="83"/>
      <c r="CN67" s="83"/>
      <c r="CO67" s="83"/>
      <c r="CP67" s="83"/>
    </row>
    <row r="68" spans="1:94" x14ac:dyDescent="0.25">
      <c r="A68" s="79" t="s">
        <v>56</v>
      </c>
      <c r="B68" s="98" t="s">
        <v>52</v>
      </c>
      <c r="C68" s="139">
        <v>0.25</v>
      </c>
      <c r="D68" s="140">
        <f>SUM(D61:D63)*C68</f>
        <v>458.34211999999991</v>
      </c>
      <c r="E68" s="139">
        <v>0.25</v>
      </c>
      <c r="F68" s="140">
        <f>SUM(F61:F63)*E68</f>
        <v>346.33688999999998</v>
      </c>
      <c r="G68" s="139">
        <v>0.25</v>
      </c>
      <c r="H68" s="140">
        <f>SUM(H61:H63)*G68</f>
        <v>539.21549000000005</v>
      </c>
      <c r="I68" s="139">
        <v>0.25</v>
      </c>
      <c r="J68" s="140">
        <f>SUM(J61:J63)*I68</f>
        <v>544.28867000000002</v>
      </c>
      <c r="K68" s="139">
        <v>0.25</v>
      </c>
      <c r="L68" s="140">
        <f>SUM(L61:L63)*K68</f>
        <v>536.88899000000004</v>
      </c>
      <c r="M68" s="139">
        <v>0.25</v>
      </c>
      <c r="N68" s="140">
        <f>SUM(N61:N63)*M68</f>
        <v>574.15435000000002</v>
      </c>
      <c r="O68" s="139">
        <v>0.25</v>
      </c>
      <c r="P68" s="140">
        <f>SUM(P61:P63)*O68</f>
        <v>328.1164</v>
      </c>
      <c r="Q68" s="139">
        <v>0.25</v>
      </c>
      <c r="R68" s="140">
        <f>SUM(R61:R63)*Q68</f>
        <v>523.31915000000004</v>
      </c>
      <c r="S68" s="139">
        <v>0.25</v>
      </c>
      <c r="T68" s="140">
        <f>SUM(T61:T63)*S68</f>
        <v>338.61197000000004</v>
      </c>
      <c r="U68" s="139">
        <v>0.25</v>
      </c>
      <c r="V68" s="140">
        <f>SUM(V61:V63)*U68</f>
        <v>480.48899</v>
      </c>
      <c r="W68" s="139">
        <v>0.25</v>
      </c>
      <c r="X68" s="140">
        <f>SUM(X61:X63)*W68</f>
        <v>537.45393000000001</v>
      </c>
      <c r="Y68" s="139">
        <v>0.25</v>
      </c>
      <c r="Z68" s="140">
        <f>SUM(Z61:Z63)*Y68</f>
        <v>629.40097000000003</v>
      </c>
      <c r="AA68" s="139">
        <v>0.25</v>
      </c>
      <c r="AB68" s="140">
        <f>SUM(AB61:AB63)*AA68</f>
        <v>492.98065000000003</v>
      </c>
      <c r="AC68" s="139">
        <v>0.25</v>
      </c>
      <c r="AD68" s="140">
        <f>SUM(AD61:AD63)*AC68</f>
        <v>269.28838000000002</v>
      </c>
      <c r="AE68" s="139">
        <v>0.25</v>
      </c>
      <c r="AF68" s="140">
        <f>SUM(AF61:AF63)*AE68</f>
        <v>476.42019999999997</v>
      </c>
      <c r="AG68" s="139">
        <v>0.25</v>
      </c>
      <c r="AH68" s="140">
        <f>SUM(AH61:AH63)*AG68</f>
        <v>363.36029000000002</v>
      </c>
      <c r="AI68" s="139">
        <v>0.25</v>
      </c>
      <c r="AJ68" s="140">
        <f>SUM(AJ61:AJ63)*AI68</f>
        <v>589.85892999999999</v>
      </c>
      <c r="AK68" s="139">
        <v>0.25</v>
      </c>
      <c r="AL68" s="140">
        <f>SUM(AL61:AL63)*AK68</f>
        <v>541.54105000000004</v>
      </c>
      <c r="AM68" s="139">
        <v>0.25</v>
      </c>
      <c r="AN68" s="140">
        <f>SUM(AN61:AN63)*AM68</f>
        <v>631.89337999999998</v>
      </c>
      <c r="AO68" s="139">
        <v>0.25</v>
      </c>
      <c r="AP68" s="140">
        <f>SUM(AP61:AP63)*AO68</f>
        <v>94.425350000000009</v>
      </c>
      <c r="AQ68" s="139">
        <v>0.25</v>
      </c>
      <c r="AR68" s="140">
        <f>SUM(AR61:AR63)*AQ68</f>
        <v>391.57908999999995</v>
      </c>
      <c r="AS68" s="139">
        <v>0.25</v>
      </c>
      <c r="AT68" s="140">
        <f>SUM(AT61:AT63)*AS68</f>
        <v>509.73286000000002</v>
      </c>
      <c r="AU68" s="139">
        <v>0.25</v>
      </c>
      <c r="AV68" s="140">
        <f>SUM(AV61:AV63)*AU68</f>
        <v>295.97827000000001</v>
      </c>
      <c r="AW68" s="139">
        <v>0.25</v>
      </c>
      <c r="AX68" s="140">
        <f>SUM(AX61:AX63)*AW68</f>
        <v>472.23156</v>
      </c>
      <c r="AY68" s="139">
        <v>0.25</v>
      </c>
      <c r="AZ68" s="140">
        <f>SUM(AZ61:AZ63)*AY68</f>
        <v>459.13500999999997</v>
      </c>
      <c r="BA68" s="139">
        <v>0.25</v>
      </c>
      <c r="BB68" s="140">
        <f>SUM(BB61:BB63)*BA68</f>
        <v>555.14520000000005</v>
      </c>
      <c r="BC68" s="139">
        <v>0.25</v>
      </c>
      <c r="BD68" s="140">
        <f>SUM(BD61:BD63)*BC68</f>
        <v>512.79444000000001</v>
      </c>
      <c r="BE68" s="139">
        <v>0.25</v>
      </c>
      <c r="BF68" s="140">
        <f>SUM(BF61:BF63)*BE68</f>
        <v>343.84636</v>
      </c>
      <c r="BG68" s="139">
        <v>0.25</v>
      </c>
      <c r="BH68" s="140">
        <f>SUM(BH61:BH63)*BG68</f>
        <v>482.76943000000006</v>
      </c>
      <c r="BI68" s="139">
        <v>0.25</v>
      </c>
      <c r="BJ68" s="140">
        <f>SUM(BJ61:BJ63)*BI68</f>
        <v>360.42467000000011</v>
      </c>
      <c r="BK68" s="139">
        <v>0.25</v>
      </c>
      <c r="BL68" s="140">
        <f>SUM(BL61:BL63)*BK68</f>
        <v>478.45859000000007</v>
      </c>
      <c r="BM68" s="141"/>
      <c r="BN68" s="113" cm="1">
        <f t="array" ref="BN68">SUMPRODUCT((MOD(COLUMN(D68:BM68)-COLUMN(D68),2)=0)*D68:BM68)</f>
        <v>14158.481629999998</v>
      </c>
      <c r="CA68" s="83"/>
      <c r="CB68" s="83"/>
      <c r="CC68" s="83"/>
      <c r="CD68" s="83"/>
      <c r="CE68" s="83"/>
      <c r="CF68" s="83"/>
      <c r="CG68" s="83"/>
      <c r="CH68" s="83"/>
      <c r="CI68" s="83"/>
      <c r="CJ68" s="83"/>
      <c r="CK68" s="83"/>
      <c r="CL68" s="83"/>
      <c r="CM68" s="83"/>
      <c r="CN68" s="83"/>
      <c r="CO68" s="83"/>
      <c r="CP68" s="83"/>
    </row>
    <row r="69" spans="1:94" x14ac:dyDescent="0.25">
      <c r="A69" s="79" t="s">
        <v>57</v>
      </c>
      <c r="B69" s="98"/>
      <c r="C69" s="139">
        <v>0.3</v>
      </c>
      <c r="D69" s="140">
        <f>D64*C69</f>
        <v>31.459199999999999</v>
      </c>
      <c r="E69" s="139">
        <v>0.3</v>
      </c>
      <c r="F69" s="140">
        <f t="shared" ref="F69" si="47">F64*E69</f>
        <v>28.816199999999998</v>
      </c>
      <c r="G69" s="139">
        <v>0.3</v>
      </c>
      <c r="H69" s="140">
        <f t="shared" ref="H69" si="48">H64*G69</f>
        <v>13.253400000000001</v>
      </c>
      <c r="I69" s="139">
        <v>0.3</v>
      </c>
      <c r="J69" s="140">
        <f t="shared" ref="J69" si="49">J64*I69</f>
        <v>66.391200000000012</v>
      </c>
      <c r="K69" s="139">
        <v>0.3</v>
      </c>
      <c r="L69" s="140">
        <f t="shared" ref="L69" si="50">L64*K69</f>
        <v>27.494399999999999</v>
      </c>
      <c r="M69" s="139">
        <v>0.3</v>
      </c>
      <c r="N69" s="140">
        <f t="shared" ref="N69" si="51">N64*M69</f>
        <v>23.681999999999999</v>
      </c>
      <c r="O69" s="139">
        <v>0.3</v>
      </c>
      <c r="P69" s="140">
        <f t="shared" ref="P69" si="52">P64*O69</f>
        <v>19.438800000000001</v>
      </c>
      <c r="Q69" s="139">
        <v>0.3</v>
      </c>
      <c r="R69" s="140">
        <f t="shared" ref="R69" si="53">R64*Q69</f>
        <v>78.712799999999987</v>
      </c>
      <c r="S69" s="139">
        <v>0.3</v>
      </c>
      <c r="T69" s="140">
        <f t="shared" ref="T69" si="54">T64*S69</f>
        <v>12.7704</v>
      </c>
      <c r="U69" s="139">
        <v>0.3</v>
      </c>
      <c r="V69" s="140">
        <f t="shared" ref="V69" si="55">V64*U69</f>
        <v>38.792999999999999</v>
      </c>
      <c r="W69" s="139">
        <v>0.3</v>
      </c>
      <c r="X69" s="140">
        <f t="shared" ref="X69" si="56">X64*W69</f>
        <v>24.865800000000004</v>
      </c>
      <c r="Y69" s="139">
        <v>0.3</v>
      </c>
      <c r="Z69" s="140">
        <f t="shared" ref="Z69" si="57">Z64*Y69</f>
        <v>31.929600000000004</v>
      </c>
      <c r="AA69" s="139">
        <v>0.3</v>
      </c>
      <c r="AB69" s="140">
        <f t="shared" ref="AB69" si="58">AB64*AA69</f>
        <v>33.074399999999997</v>
      </c>
      <c r="AC69" s="139">
        <v>0.3</v>
      </c>
      <c r="AD69" s="140">
        <f t="shared" ref="AD69" si="59">AD64*AC69</f>
        <v>15.942</v>
      </c>
      <c r="AE69" s="139">
        <v>0.3</v>
      </c>
      <c r="AF69" s="140">
        <f t="shared" ref="AF69" si="60">AF64*AE69</f>
        <v>75.245999999999995</v>
      </c>
      <c r="AG69" s="139">
        <v>0.3</v>
      </c>
      <c r="AH69" s="140">
        <f t="shared" ref="AH69" si="61">AH64*AG69</f>
        <v>6</v>
      </c>
      <c r="AI69" s="139">
        <v>0.3</v>
      </c>
      <c r="AJ69" s="140">
        <f t="shared" ref="AJ69" si="62">AJ64*AI69</f>
        <v>52.061999999999998</v>
      </c>
      <c r="AK69" s="139">
        <v>0.3</v>
      </c>
      <c r="AL69" s="140">
        <f t="shared" ref="AL69" si="63">AL64*AK69</f>
        <v>27.462</v>
      </c>
      <c r="AM69" s="139">
        <v>0.3</v>
      </c>
      <c r="AN69" s="140">
        <f t="shared" ref="AN69" si="64">AN64*AM69</f>
        <v>55.216200000000008</v>
      </c>
      <c r="AO69" s="139">
        <v>0.3</v>
      </c>
      <c r="AP69" s="140">
        <f t="shared" ref="AP69" si="65">AP64*AO69</f>
        <v>0</v>
      </c>
      <c r="AQ69" s="139">
        <v>0.3</v>
      </c>
      <c r="AR69" s="140">
        <f t="shared" ref="AR69" si="66">AR64*AQ69</f>
        <v>18.599999999999998</v>
      </c>
      <c r="AS69" s="139">
        <v>0.3</v>
      </c>
      <c r="AT69" s="140">
        <f t="shared" ref="AT69" si="67">AT64*AS69</f>
        <v>13.3104</v>
      </c>
      <c r="AU69" s="139">
        <v>0.3</v>
      </c>
      <c r="AV69" s="140">
        <f t="shared" ref="AV69" si="68">AV64*AU69</f>
        <v>26.867399999999996</v>
      </c>
      <c r="AW69" s="139">
        <v>0.3</v>
      </c>
      <c r="AX69" s="140">
        <f t="shared" ref="AX69" si="69">AX64*AW69</f>
        <v>18.029400000000003</v>
      </c>
      <c r="AY69" s="139">
        <v>0.3</v>
      </c>
      <c r="AZ69" s="140">
        <f t="shared" ref="AZ69" si="70">AZ64*AY69</f>
        <v>41.230800000000002</v>
      </c>
      <c r="BA69" s="139">
        <v>0.3</v>
      </c>
      <c r="BB69" s="140">
        <f t="shared" ref="BB69" si="71">BB64*BA69</f>
        <v>26.887800000000002</v>
      </c>
      <c r="BC69" s="139">
        <v>0.3</v>
      </c>
      <c r="BD69" s="140">
        <f t="shared" ref="BD69" si="72">BD64*BC69</f>
        <v>14.054400000000001</v>
      </c>
      <c r="BE69" s="139">
        <v>0.3</v>
      </c>
      <c r="BF69" s="140">
        <f t="shared" ref="BF69" si="73">BF64*BE69</f>
        <v>15.967199999999998</v>
      </c>
      <c r="BG69" s="139">
        <v>0.3</v>
      </c>
      <c r="BH69" s="140">
        <f t="shared" ref="BH69" si="74">BH64*BG69</f>
        <v>43.835400000000007</v>
      </c>
      <c r="BI69" s="139">
        <v>0.3</v>
      </c>
      <c r="BJ69" s="140">
        <f t="shared" ref="BJ69" si="75">BJ64*BI69</f>
        <v>9.5334000000000003</v>
      </c>
      <c r="BK69" s="139">
        <v>0.3</v>
      </c>
      <c r="BL69" s="140">
        <f t="shared" ref="BL69" si="76">BL64*BK69</f>
        <v>42.436800000000005</v>
      </c>
      <c r="BM69" s="141"/>
      <c r="BN69" s="113" cm="1">
        <f t="array" ref="BN69">SUMPRODUCT((MOD(COLUMN(D69:BM69)-COLUMN(D69),2)=0)*D69:BM69)</f>
        <v>933.36239999999998</v>
      </c>
      <c r="CA69" s="83"/>
      <c r="CB69" s="83"/>
      <c r="CC69" s="83"/>
      <c r="CD69" s="83"/>
      <c r="CE69" s="83"/>
      <c r="CF69" s="83"/>
      <c r="CG69" s="83"/>
      <c r="CH69" s="83"/>
      <c r="CI69" s="83"/>
      <c r="CJ69" s="83"/>
      <c r="CK69" s="83"/>
      <c r="CL69" s="83"/>
      <c r="CM69" s="83"/>
      <c r="CN69" s="83"/>
      <c r="CO69" s="83"/>
      <c r="CP69" s="83"/>
    </row>
    <row r="70" spans="1:94" s="110" customFormat="1" x14ac:dyDescent="0.25">
      <c r="A70" s="107" t="s">
        <v>58</v>
      </c>
      <c r="B70" s="108"/>
      <c r="C70" s="142"/>
      <c r="D70" s="143">
        <f>SUM(D68:D69)</f>
        <v>489.80131999999992</v>
      </c>
      <c r="E70" s="142"/>
      <c r="F70" s="143">
        <f t="shared" ref="F70" si="77">SUM(F68:F69)</f>
        <v>375.15308999999996</v>
      </c>
      <c r="G70" s="142"/>
      <c r="H70" s="143">
        <f t="shared" ref="H70" si="78">SUM(H68:H69)</f>
        <v>552.4688900000001</v>
      </c>
      <c r="I70" s="142"/>
      <c r="J70" s="143">
        <f t="shared" ref="J70" si="79">SUM(J68:J69)</f>
        <v>610.67987000000005</v>
      </c>
      <c r="K70" s="142"/>
      <c r="L70" s="143">
        <f t="shared" ref="L70" si="80">SUM(L68:L69)</f>
        <v>564.38339000000008</v>
      </c>
      <c r="M70" s="142"/>
      <c r="N70" s="143">
        <f t="shared" ref="N70" si="81">SUM(N68:N69)</f>
        <v>597.83635000000004</v>
      </c>
      <c r="O70" s="142"/>
      <c r="P70" s="143">
        <f t="shared" ref="P70" si="82">SUM(P68:P69)</f>
        <v>347.55520000000001</v>
      </c>
      <c r="Q70" s="142"/>
      <c r="R70" s="143">
        <f t="shared" ref="R70" si="83">SUM(R68:R69)</f>
        <v>602.03195000000005</v>
      </c>
      <c r="S70" s="142"/>
      <c r="T70" s="143">
        <f t="shared" ref="T70" si="84">SUM(T68:T69)</f>
        <v>351.38237000000004</v>
      </c>
      <c r="U70" s="142"/>
      <c r="V70" s="143">
        <f t="shared" ref="V70" si="85">SUM(V68:V69)</f>
        <v>519.28198999999995</v>
      </c>
      <c r="W70" s="142"/>
      <c r="X70" s="143">
        <f t="shared" ref="X70" si="86">SUM(X68:X69)</f>
        <v>562.31973000000005</v>
      </c>
      <c r="Y70" s="142"/>
      <c r="Z70" s="143">
        <f t="shared" ref="Z70" si="87">SUM(Z68:Z69)</f>
        <v>661.33057000000008</v>
      </c>
      <c r="AA70" s="142"/>
      <c r="AB70" s="143">
        <f t="shared" ref="AB70" si="88">SUM(AB68:AB69)</f>
        <v>526.05505000000005</v>
      </c>
      <c r="AC70" s="142"/>
      <c r="AD70" s="143">
        <f t="shared" ref="AD70" si="89">SUM(AD68:AD69)</f>
        <v>285.23038000000003</v>
      </c>
      <c r="AE70" s="142"/>
      <c r="AF70" s="143">
        <f t="shared" ref="AF70" si="90">SUM(AF68:AF69)</f>
        <v>551.6662</v>
      </c>
      <c r="AG70" s="142"/>
      <c r="AH70" s="143">
        <f t="shared" ref="AH70" si="91">SUM(AH68:AH69)</f>
        <v>369.36029000000002</v>
      </c>
      <c r="AI70" s="142"/>
      <c r="AJ70" s="143">
        <f t="shared" ref="AJ70" si="92">SUM(AJ68:AJ69)</f>
        <v>641.92093</v>
      </c>
      <c r="AK70" s="142"/>
      <c r="AL70" s="143">
        <f t="shared" ref="AL70" si="93">SUM(AL68:AL69)</f>
        <v>569.00305000000003</v>
      </c>
      <c r="AM70" s="142"/>
      <c r="AN70" s="143">
        <f t="shared" ref="AN70" si="94">SUM(AN68:AN69)</f>
        <v>687.10957999999994</v>
      </c>
      <c r="AO70" s="142"/>
      <c r="AP70" s="143">
        <f t="shared" ref="AP70" si="95">SUM(AP68:AP69)</f>
        <v>94.425350000000009</v>
      </c>
      <c r="AQ70" s="142"/>
      <c r="AR70" s="143">
        <f t="shared" ref="AR70" si="96">SUM(AR68:AR69)</f>
        <v>410.17908999999997</v>
      </c>
      <c r="AS70" s="142"/>
      <c r="AT70" s="143">
        <f t="shared" ref="AT70" si="97">SUM(AT68:AT69)</f>
        <v>523.04326000000003</v>
      </c>
      <c r="AU70" s="142"/>
      <c r="AV70" s="143">
        <f t="shared" ref="AV70" si="98">SUM(AV68:AV69)</f>
        <v>322.84566999999998</v>
      </c>
      <c r="AW70" s="142"/>
      <c r="AX70" s="143">
        <f t="shared" ref="AX70" si="99">SUM(AX68:AX69)</f>
        <v>490.26096000000001</v>
      </c>
      <c r="AY70" s="142"/>
      <c r="AZ70" s="143">
        <f t="shared" ref="AZ70" si="100">SUM(AZ68:AZ69)</f>
        <v>500.36580999999995</v>
      </c>
      <c r="BA70" s="142"/>
      <c r="BB70" s="143">
        <f t="shared" ref="BB70" si="101">SUM(BB68:BB69)</f>
        <v>582.03300000000002</v>
      </c>
      <c r="BC70" s="142"/>
      <c r="BD70" s="143">
        <f t="shared" ref="BD70" si="102">SUM(BD68:BD69)</f>
        <v>526.84884</v>
      </c>
      <c r="BE70" s="142"/>
      <c r="BF70" s="143">
        <f t="shared" ref="BF70" si="103">SUM(BF68:BF69)</f>
        <v>359.81356</v>
      </c>
      <c r="BG70" s="142"/>
      <c r="BH70" s="143">
        <f t="shared" ref="BH70" si="104">SUM(BH68:BH69)</f>
        <v>526.60483000000011</v>
      </c>
      <c r="BI70" s="142"/>
      <c r="BJ70" s="143">
        <f t="shared" ref="BJ70" si="105">SUM(BJ68:BJ69)</f>
        <v>369.95807000000013</v>
      </c>
      <c r="BK70" s="142"/>
      <c r="BL70" s="143">
        <f t="shared" ref="BL70" si="106">SUM(BL68:BL69)</f>
        <v>520.89539000000013</v>
      </c>
      <c r="BM70" s="144"/>
      <c r="BN70" s="143">
        <f>SUM(C70:BM70)</f>
        <v>15091.84403</v>
      </c>
      <c r="BO70" s="109"/>
      <c r="BP70" s="109"/>
      <c r="BQ70" s="109"/>
      <c r="BR70" s="109"/>
      <c r="BS70" s="109"/>
      <c r="BT70" s="109"/>
      <c r="BU70" s="109"/>
      <c r="BV70" s="109"/>
      <c r="BW70" s="109"/>
      <c r="BX70" s="109"/>
      <c r="BY70" s="109"/>
      <c r="BZ70" s="109"/>
      <c r="CA70" s="109"/>
      <c r="CB70" s="109"/>
      <c r="CC70" s="109"/>
      <c r="CD70" s="109"/>
      <c r="CE70" s="109"/>
      <c r="CF70" s="109"/>
      <c r="CG70" s="109"/>
      <c r="CH70" s="109"/>
      <c r="CI70" s="109"/>
      <c r="CJ70" s="109"/>
      <c r="CK70" s="109"/>
      <c r="CL70" s="109"/>
      <c r="CM70" s="109"/>
      <c r="CN70" s="109"/>
      <c r="CO70" s="109"/>
      <c r="CP70" s="109"/>
    </row>
    <row r="71" spans="1:94" x14ac:dyDescent="0.25">
      <c r="C71" s="118"/>
      <c r="D71" s="80"/>
      <c r="E71" s="81"/>
      <c r="F71" s="80"/>
      <c r="G71" s="81"/>
      <c r="H71" s="80"/>
      <c r="I71" s="81"/>
      <c r="J71" s="80"/>
      <c r="K71" s="81"/>
      <c r="L71" s="80"/>
      <c r="M71" s="81"/>
      <c r="N71" s="80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  <c r="BA71" s="81"/>
      <c r="BB71" s="81"/>
      <c r="BC71" s="81"/>
      <c r="BD71" s="81"/>
      <c r="BE71" s="81"/>
      <c r="BF71" s="81"/>
      <c r="BG71" s="81"/>
      <c r="BH71" s="81"/>
      <c r="BI71" s="81"/>
      <c r="BJ71" s="81"/>
      <c r="BK71" s="81"/>
      <c r="BL71" s="145"/>
      <c r="BM71" s="81"/>
      <c r="BN71" s="81"/>
      <c r="CA71" s="83"/>
      <c r="CB71" s="83"/>
      <c r="CC71" s="83"/>
      <c r="CD71" s="83"/>
      <c r="CE71" s="83"/>
      <c r="CF71" s="83"/>
      <c r="CG71" s="83"/>
      <c r="CH71" s="83"/>
      <c r="CI71" s="83"/>
      <c r="CJ71" s="83"/>
      <c r="CK71" s="83"/>
      <c r="CL71" s="83"/>
      <c r="CM71" s="83"/>
      <c r="CN71" s="83"/>
      <c r="CO71" s="83"/>
      <c r="CP71" s="83"/>
    </row>
    <row r="72" spans="1:94" x14ac:dyDescent="0.25">
      <c r="A72" s="111" t="s">
        <v>59</v>
      </c>
      <c r="B72" s="93"/>
      <c r="C72" s="132" t="s">
        <v>48</v>
      </c>
      <c r="D72" s="132" t="s">
        <v>49</v>
      </c>
      <c r="E72" s="132" t="s">
        <v>48</v>
      </c>
      <c r="F72" s="132" t="s">
        <v>49</v>
      </c>
      <c r="G72" s="132" t="s">
        <v>48</v>
      </c>
      <c r="H72" s="132" t="s">
        <v>49</v>
      </c>
      <c r="I72" s="132" t="s">
        <v>48</v>
      </c>
      <c r="J72" s="132" t="s">
        <v>49</v>
      </c>
      <c r="K72" s="132" t="s">
        <v>48</v>
      </c>
      <c r="L72" s="132" t="s">
        <v>49</v>
      </c>
      <c r="M72" s="132" t="s">
        <v>48</v>
      </c>
      <c r="N72" s="132" t="s">
        <v>49</v>
      </c>
      <c r="O72" s="132" t="s">
        <v>48</v>
      </c>
      <c r="P72" s="132" t="s">
        <v>49</v>
      </c>
      <c r="Q72" s="132" t="s">
        <v>48</v>
      </c>
      <c r="R72" s="132" t="s">
        <v>49</v>
      </c>
      <c r="S72" s="132" t="s">
        <v>48</v>
      </c>
      <c r="T72" s="132" t="s">
        <v>49</v>
      </c>
      <c r="U72" s="132" t="s">
        <v>48</v>
      </c>
      <c r="V72" s="132" t="s">
        <v>49</v>
      </c>
      <c r="W72" s="132" t="s">
        <v>48</v>
      </c>
      <c r="X72" s="132" t="s">
        <v>49</v>
      </c>
      <c r="Y72" s="132" t="s">
        <v>48</v>
      </c>
      <c r="Z72" s="132" t="s">
        <v>49</v>
      </c>
      <c r="AA72" s="132" t="s">
        <v>48</v>
      </c>
      <c r="AB72" s="132" t="s">
        <v>49</v>
      </c>
      <c r="AC72" s="132" t="s">
        <v>48</v>
      </c>
      <c r="AD72" s="132" t="s">
        <v>49</v>
      </c>
      <c r="AE72" s="132" t="s">
        <v>48</v>
      </c>
      <c r="AF72" s="132" t="s">
        <v>49</v>
      </c>
      <c r="AG72" s="132" t="s">
        <v>48</v>
      </c>
      <c r="AH72" s="132" t="s">
        <v>49</v>
      </c>
      <c r="AI72" s="132" t="s">
        <v>48</v>
      </c>
      <c r="AJ72" s="132" t="s">
        <v>49</v>
      </c>
      <c r="AK72" s="132" t="s">
        <v>48</v>
      </c>
      <c r="AL72" s="132" t="s">
        <v>49</v>
      </c>
      <c r="AM72" s="132" t="s">
        <v>48</v>
      </c>
      <c r="AN72" s="132" t="s">
        <v>49</v>
      </c>
      <c r="AO72" s="132" t="s">
        <v>48</v>
      </c>
      <c r="AP72" s="132" t="s">
        <v>49</v>
      </c>
      <c r="AQ72" s="132" t="s">
        <v>48</v>
      </c>
      <c r="AR72" s="132" t="s">
        <v>49</v>
      </c>
      <c r="AS72" s="132" t="s">
        <v>48</v>
      </c>
      <c r="AT72" s="132" t="s">
        <v>49</v>
      </c>
      <c r="AU72" s="132" t="s">
        <v>48</v>
      </c>
      <c r="AV72" s="132" t="s">
        <v>49</v>
      </c>
      <c r="AW72" s="132" t="s">
        <v>48</v>
      </c>
      <c r="AX72" s="132" t="s">
        <v>49</v>
      </c>
      <c r="AY72" s="132" t="s">
        <v>48</v>
      </c>
      <c r="AZ72" s="132" t="s">
        <v>49</v>
      </c>
      <c r="BA72" s="132" t="s">
        <v>48</v>
      </c>
      <c r="BB72" s="132" t="s">
        <v>49</v>
      </c>
      <c r="BC72" s="132" t="s">
        <v>48</v>
      </c>
      <c r="BD72" s="132" t="s">
        <v>49</v>
      </c>
      <c r="BE72" s="132" t="s">
        <v>48</v>
      </c>
      <c r="BF72" s="132" t="s">
        <v>49</v>
      </c>
      <c r="BG72" s="132" t="s">
        <v>48</v>
      </c>
      <c r="BH72" s="132" t="s">
        <v>49</v>
      </c>
      <c r="BI72" s="132" t="s">
        <v>48</v>
      </c>
      <c r="BJ72" s="132" t="s">
        <v>49</v>
      </c>
      <c r="BK72" s="132" t="s">
        <v>48</v>
      </c>
      <c r="BL72" s="132" t="s">
        <v>49</v>
      </c>
      <c r="BM72" s="133"/>
      <c r="BN72" s="132" t="s">
        <v>50</v>
      </c>
      <c r="CA72" s="83"/>
      <c r="CB72" s="83"/>
      <c r="CC72" s="83"/>
      <c r="CD72" s="83"/>
      <c r="CE72" s="83"/>
      <c r="CF72" s="83"/>
      <c r="CG72" s="83"/>
      <c r="CH72" s="83"/>
      <c r="CI72" s="83"/>
      <c r="CJ72" s="83"/>
      <c r="CK72" s="83"/>
      <c r="CL72" s="83"/>
      <c r="CM72" s="83"/>
      <c r="CN72" s="83"/>
      <c r="CO72" s="83"/>
      <c r="CP72" s="83"/>
    </row>
    <row r="73" spans="1:94" x14ac:dyDescent="0.25">
      <c r="A73" s="110" t="s">
        <v>38</v>
      </c>
      <c r="B73" s="98" t="s">
        <v>52</v>
      </c>
      <c r="C73" s="134">
        <v>1.0500000000000001E-2</v>
      </c>
      <c r="D73" s="135">
        <f>C73*D47</f>
        <v>11.786250000000001</v>
      </c>
      <c r="E73" s="134">
        <v>1.0500000000000001E-2</v>
      </c>
      <c r="F73" s="135">
        <f>E73*F47</f>
        <v>22.11825</v>
      </c>
      <c r="G73" s="134">
        <v>1.0500000000000001E-2</v>
      </c>
      <c r="H73" s="135">
        <f>G73*H47</f>
        <v>19.421850000000003</v>
      </c>
      <c r="I73" s="134">
        <v>1.0500000000000001E-2</v>
      </c>
      <c r="J73" s="135">
        <f>I73*J47</f>
        <v>24.573150000000002</v>
      </c>
      <c r="K73" s="134">
        <v>1.0500000000000001E-2</v>
      </c>
      <c r="L73" s="135">
        <f>K73*L47</f>
        <v>29.4861</v>
      </c>
      <c r="M73" s="134">
        <v>1.0500000000000001E-2</v>
      </c>
      <c r="N73" s="135">
        <f>M73*N47</f>
        <v>37.677150000000005</v>
      </c>
      <c r="O73" s="134">
        <v>1.0500000000000001E-2</v>
      </c>
      <c r="P73" s="135">
        <f>O73*P47</f>
        <v>31.357200000000002</v>
      </c>
      <c r="Q73" s="134">
        <v>1.0500000000000001E-2</v>
      </c>
      <c r="R73" s="135">
        <f>Q73*R47</f>
        <v>13.298250000000001</v>
      </c>
      <c r="S73" s="134">
        <v>1.0500000000000001E-2</v>
      </c>
      <c r="T73" s="135">
        <f>S73*T47</f>
        <v>28.872900000000005</v>
      </c>
      <c r="U73" s="134">
        <v>1.0500000000000001E-2</v>
      </c>
      <c r="V73" s="135">
        <f>U73*V47</f>
        <v>27.714750000000002</v>
      </c>
      <c r="W73" s="134">
        <v>1.0500000000000001E-2</v>
      </c>
      <c r="X73" s="135">
        <f>W73*X47</f>
        <v>25.330200000000001</v>
      </c>
      <c r="Y73" s="134">
        <v>1.0500000000000001E-2</v>
      </c>
      <c r="Z73" s="135">
        <f>Y73*Z47</f>
        <v>18.651150000000001</v>
      </c>
      <c r="AA73" s="134">
        <v>1.0500000000000001E-2</v>
      </c>
      <c r="AB73" s="135">
        <f>AA73*AB47</f>
        <v>23.534700000000001</v>
      </c>
      <c r="AC73" s="134">
        <v>1.0500000000000001E-2</v>
      </c>
      <c r="AD73" s="135">
        <f>AC73*AD47</f>
        <v>27.423900000000003</v>
      </c>
      <c r="AE73" s="134">
        <v>1.0500000000000001E-2</v>
      </c>
      <c r="AF73" s="135">
        <f>AE73*AF47</f>
        <v>26.247900000000005</v>
      </c>
      <c r="AG73" s="134">
        <v>1.0500000000000001E-2</v>
      </c>
      <c r="AH73" s="135">
        <f>AG73*AH47</f>
        <v>17.313450000000003</v>
      </c>
      <c r="AI73" s="134">
        <v>1.0500000000000001E-2</v>
      </c>
      <c r="AJ73" s="135">
        <f>AI73*AJ47</f>
        <v>21.515550000000001</v>
      </c>
      <c r="AK73" s="134">
        <v>1.0500000000000001E-2</v>
      </c>
      <c r="AL73" s="135">
        <f>AK73*AL47</f>
        <v>12.7995</v>
      </c>
      <c r="AM73" s="134">
        <v>1.0500000000000001E-2</v>
      </c>
      <c r="AN73" s="135">
        <f>AM73*AN47</f>
        <v>6.4869000000000003</v>
      </c>
      <c r="AO73" s="134">
        <v>1.0500000000000001E-2</v>
      </c>
      <c r="AP73" s="135">
        <f>AO73*AP47</f>
        <v>7.3636499999999998</v>
      </c>
      <c r="AQ73" s="134">
        <v>1.0500000000000001E-2</v>
      </c>
      <c r="AR73" s="135">
        <f>AQ73*AR47</f>
        <v>34.562849999999997</v>
      </c>
      <c r="AS73" s="134">
        <v>1.0500000000000001E-2</v>
      </c>
      <c r="AT73" s="135">
        <f>AS73*AT47</f>
        <v>40.139400000000002</v>
      </c>
      <c r="AU73" s="134">
        <v>1.0500000000000001E-2</v>
      </c>
      <c r="AV73" s="135">
        <f>AU73*AV47</f>
        <v>10.301550000000001</v>
      </c>
      <c r="AW73" s="134">
        <v>1.0500000000000001E-2</v>
      </c>
      <c r="AX73" s="135">
        <f>AW73*AX47</f>
        <v>27.144600000000001</v>
      </c>
      <c r="AY73" s="134">
        <v>1.0500000000000001E-2</v>
      </c>
      <c r="AZ73" s="135">
        <f>AY73*AZ47</f>
        <v>17.495100000000001</v>
      </c>
      <c r="BA73" s="134">
        <v>1.0500000000000001E-2</v>
      </c>
      <c r="BB73" s="135">
        <f>BA73*BB47</f>
        <v>20.7606</v>
      </c>
      <c r="BC73" s="134">
        <v>1.0500000000000001E-2</v>
      </c>
      <c r="BD73" s="135">
        <f>BC73*BD47</f>
        <v>7.8697500000000007</v>
      </c>
      <c r="BE73" s="134">
        <v>1.0500000000000001E-2</v>
      </c>
      <c r="BF73" s="135">
        <f>BE73*BF47</f>
        <v>33.15795</v>
      </c>
      <c r="BG73" s="134">
        <v>1.0500000000000001E-2</v>
      </c>
      <c r="BH73" s="135">
        <f>BG73*BH47</f>
        <v>18.820200000000003</v>
      </c>
      <c r="BI73" s="134">
        <v>1.0500000000000001E-2</v>
      </c>
      <c r="BJ73" s="135">
        <f>BI73*BJ47</f>
        <v>33.879300000000001</v>
      </c>
      <c r="BK73" s="134">
        <v>1.0500000000000001E-2</v>
      </c>
      <c r="BL73" s="135">
        <f>BK73*BL47</f>
        <v>32.869200000000006</v>
      </c>
      <c r="BM73" s="136"/>
      <c r="BN73" s="113" cm="1">
        <f t="array" ref="BN73">SUMPRODUCT((MOD(COLUMN(D73:BM73)-COLUMN(D73),2)=0)*D73:BM73)</f>
        <v>709.97325000000012</v>
      </c>
      <c r="CA73" s="83"/>
      <c r="CB73" s="83"/>
      <c r="CC73" s="83"/>
      <c r="CD73" s="83"/>
      <c r="CE73" s="83"/>
      <c r="CF73" s="83"/>
      <c r="CG73" s="83"/>
      <c r="CH73" s="83"/>
      <c r="CI73" s="83"/>
      <c r="CJ73" s="83"/>
      <c r="CK73" s="83"/>
      <c r="CL73" s="83"/>
      <c r="CM73" s="83"/>
      <c r="CN73" s="83"/>
      <c r="CO73" s="83"/>
      <c r="CP73" s="83"/>
    </row>
    <row r="74" spans="1:94" x14ac:dyDescent="0.25">
      <c r="A74" s="110" t="s">
        <v>39</v>
      </c>
      <c r="B74" s="98" t="s">
        <v>52</v>
      </c>
      <c r="C74" s="134">
        <v>1.0500000000000001E-2</v>
      </c>
      <c r="D74" s="135">
        <f>C74*D48</f>
        <v>9.8742000000000001</v>
      </c>
      <c r="E74" s="134">
        <v>1.0500000000000001E-2</v>
      </c>
      <c r="F74" s="135">
        <f>E74*F48</f>
        <v>5.3340000000000005</v>
      </c>
      <c r="G74" s="134">
        <v>1.0500000000000001E-2</v>
      </c>
      <c r="H74" s="135">
        <f>G74*H48</f>
        <v>0</v>
      </c>
      <c r="I74" s="134">
        <v>1.0500000000000001E-2</v>
      </c>
      <c r="J74" s="135">
        <f>I74*J48</f>
        <v>0</v>
      </c>
      <c r="K74" s="134">
        <v>1.0500000000000001E-2</v>
      </c>
      <c r="L74" s="135">
        <f>K74*L48</f>
        <v>10.5</v>
      </c>
      <c r="M74" s="134">
        <v>1.0500000000000001E-2</v>
      </c>
      <c r="N74" s="135">
        <f>M74*N48</f>
        <v>0</v>
      </c>
      <c r="O74" s="134">
        <v>1.0500000000000001E-2</v>
      </c>
      <c r="P74" s="135">
        <f>O74*P48</f>
        <v>0.13650000000000001</v>
      </c>
      <c r="Q74" s="134">
        <v>1.0500000000000001E-2</v>
      </c>
      <c r="R74" s="135">
        <f>Q74*R48</f>
        <v>0.60899999999999999</v>
      </c>
      <c r="S74" s="134">
        <v>1.0500000000000001E-2</v>
      </c>
      <c r="T74" s="135">
        <f>S74*T48</f>
        <v>0</v>
      </c>
      <c r="U74" s="134">
        <v>1.0500000000000001E-2</v>
      </c>
      <c r="V74" s="135">
        <f>U74*V48</f>
        <v>1.1025</v>
      </c>
      <c r="W74" s="134">
        <v>1.0500000000000001E-2</v>
      </c>
      <c r="X74" s="135">
        <f>W74*X48</f>
        <v>2.0265</v>
      </c>
      <c r="Y74" s="134">
        <v>1.0500000000000001E-2</v>
      </c>
      <c r="Z74" s="135">
        <f>Y74*Z48</f>
        <v>8.53965</v>
      </c>
      <c r="AA74" s="134">
        <v>1.0500000000000001E-2</v>
      </c>
      <c r="AB74" s="135">
        <f>AA74*AB48</f>
        <v>0.45150000000000001</v>
      </c>
      <c r="AC74" s="134">
        <v>1.0500000000000001E-2</v>
      </c>
      <c r="AD74" s="135">
        <f>AC74*AD48</f>
        <v>10.83705</v>
      </c>
      <c r="AE74" s="134">
        <v>1.0500000000000001E-2</v>
      </c>
      <c r="AF74" s="135">
        <f>AE74*AF48</f>
        <v>5.6910000000000007</v>
      </c>
      <c r="AG74" s="134">
        <v>1.0500000000000001E-2</v>
      </c>
      <c r="AH74" s="135">
        <f>AG74*AH48</f>
        <v>0</v>
      </c>
      <c r="AI74" s="134">
        <v>1.0500000000000001E-2</v>
      </c>
      <c r="AJ74" s="135">
        <f>AI74*AJ48</f>
        <v>0</v>
      </c>
      <c r="AK74" s="134">
        <v>1.0500000000000001E-2</v>
      </c>
      <c r="AL74" s="135">
        <f>AK74*AL48</f>
        <v>16.560600000000001</v>
      </c>
      <c r="AM74" s="134">
        <v>1.0500000000000001E-2</v>
      </c>
      <c r="AN74" s="135">
        <f>AM74*AN48</f>
        <v>0.1575</v>
      </c>
      <c r="AO74" s="134">
        <v>1.0500000000000001E-2</v>
      </c>
      <c r="AP74" s="135">
        <f>AO74*AP48</f>
        <v>0</v>
      </c>
      <c r="AQ74" s="134">
        <v>1.0500000000000001E-2</v>
      </c>
      <c r="AR74" s="135">
        <f>AQ74*AR48</f>
        <v>0.13650000000000001</v>
      </c>
      <c r="AS74" s="134">
        <v>1.0500000000000001E-2</v>
      </c>
      <c r="AT74" s="135">
        <f>AS74*AT48</f>
        <v>3.2550000000000003</v>
      </c>
      <c r="AU74" s="134">
        <v>1.0500000000000001E-2</v>
      </c>
      <c r="AV74" s="135">
        <f>AU74*AV48</f>
        <v>1.8501000000000001</v>
      </c>
      <c r="AW74" s="134">
        <v>1.0500000000000001E-2</v>
      </c>
      <c r="AX74" s="135">
        <f>AW74*AX48</f>
        <v>0</v>
      </c>
      <c r="AY74" s="134">
        <v>1.0500000000000001E-2</v>
      </c>
      <c r="AZ74" s="135">
        <f>AY74*AZ48</f>
        <v>6.1708500000000006</v>
      </c>
      <c r="BA74" s="134">
        <v>1.0500000000000001E-2</v>
      </c>
      <c r="BB74" s="135">
        <f>BA74*BB48</f>
        <v>0</v>
      </c>
      <c r="BC74" s="134">
        <v>1.0500000000000001E-2</v>
      </c>
      <c r="BD74" s="135">
        <f>BC74*BD48</f>
        <v>1.5708</v>
      </c>
      <c r="BE74" s="134">
        <v>1.0500000000000001E-2</v>
      </c>
      <c r="BF74" s="135">
        <f>BE74*BF48</f>
        <v>0.42000000000000004</v>
      </c>
      <c r="BG74" s="134">
        <v>1.0500000000000001E-2</v>
      </c>
      <c r="BH74" s="135">
        <f>BG74*BH48</f>
        <v>0</v>
      </c>
      <c r="BI74" s="134">
        <v>1.0500000000000001E-2</v>
      </c>
      <c r="BJ74" s="135">
        <f>BI74*BJ48</f>
        <v>1.3786500000000002</v>
      </c>
      <c r="BK74" s="134">
        <v>1.0500000000000001E-2</v>
      </c>
      <c r="BL74" s="135">
        <f>BK74*BL48</f>
        <v>4.62</v>
      </c>
      <c r="BM74" s="136"/>
      <c r="BN74" s="113" cm="1">
        <f t="array" ref="BN74">SUMPRODUCT((MOD(COLUMN(D74:BM74)-COLUMN(D74),2)=0)*D74:BM74)</f>
        <v>91.221900000000005</v>
      </c>
      <c r="CA74" s="83"/>
      <c r="CB74" s="83"/>
      <c r="CC74" s="83"/>
      <c r="CD74" s="83"/>
      <c r="CE74" s="83"/>
      <c r="CF74" s="83"/>
      <c r="CG74" s="83"/>
      <c r="CH74" s="83"/>
      <c r="CI74" s="83"/>
      <c r="CJ74" s="83"/>
      <c r="CK74" s="83"/>
      <c r="CL74" s="83"/>
      <c r="CM74" s="83"/>
      <c r="CN74" s="83"/>
      <c r="CO74" s="83"/>
      <c r="CP74" s="83"/>
    </row>
    <row r="75" spans="1:94" x14ac:dyDescent="0.25">
      <c r="A75" s="110"/>
      <c r="C75" s="137"/>
      <c r="D75" s="138"/>
      <c r="E75" s="137"/>
      <c r="F75" s="138"/>
      <c r="G75" s="137"/>
      <c r="H75" s="138"/>
      <c r="I75" s="137"/>
      <c r="J75" s="138"/>
      <c r="K75" s="137"/>
      <c r="L75" s="138"/>
      <c r="M75" s="137"/>
      <c r="N75" s="138"/>
      <c r="O75" s="137"/>
      <c r="P75" s="138"/>
      <c r="Q75" s="137"/>
      <c r="R75" s="138"/>
      <c r="S75" s="137"/>
      <c r="T75" s="138"/>
      <c r="U75" s="137"/>
      <c r="V75" s="138"/>
      <c r="W75" s="137"/>
      <c r="X75" s="138"/>
      <c r="Y75" s="137"/>
      <c r="Z75" s="138"/>
      <c r="AA75" s="137"/>
      <c r="AB75" s="138"/>
      <c r="AC75" s="137"/>
      <c r="AD75" s="138"/>
      <c r="AE75" s="137"/>
      <c r="AF75" s="138"/>
      <c r="AG75" s="137"/>
      <c r="AH75" s="138"/>
      <c r="AI75" s="137"/>
      <c r="AJ75" s="138"/>
      <c r="AK75" s="137"/>
      <c r="AL75" s="138"/>
      <c r="AM75" s="137"/>
      <c r="AN75" s="138"/>
      <c r="AO75" s="137"/>
      <c r="AP75" s="138"/>
      <c r="AQ75" s="137"/>
      <c r="AR75" s="138"/>
      <c r="AS75" s="137"/>
      <c r="AT75" s="138"/>
      <c r="AU75" s="137"/>
      <c r="AV75" s="138"/>
      <c r="AW75" s="137"/>
      <c r="AX75" s="138"/>
      <c r="AY75" s="137"/>
      <c r="AZ75" s="138"/>
      <c r="BA75" s="137"/>
      <c r="BB75" s="138"/>
      <c r="BC75" s="137"/>
      <c r="BD75" s="138"/>
      <c r="BE75" s="137"/>
      <c r="BF75" s="138"/>
      <c r="BG75" s="137"/>
      <c r="BH75" s="138"/>
      <c r="BI75" s="137"/>
      <c r="BJ75" s="138"/>
      <c r="BK75" s="137"/>
      <c r="BL75" s="138"/>
      <c r="BM75" s="120"/>
      <c r="BN75" s="138"/>
      <c r="CA75" s="83"/>
      <c r="CB75" s="83"/>
      <c r="CC75" s="83"/>
      <c r="CD75" s="83"/>
      <c r="CE75" s="83"/>
      <c r="CF75" s="83"/>
      <c r="CG75" s="83"/>
      <c r="CH75" s="83"/>
      <c r="CI75" s="83"/>
      <c r="CJ75" s="83"/>
      <c r="CK75" s="83"/>
      <c r="CL75" s="83"/>
      <c r="CM75" s="83"/>
      <c r="CN75" s="83"/>
      <c r="CO75" s="83"/>
      <c r="CP75" s="83"/>
    </row>
    <row r="76" spans="1:94" x14ac:dyDescent="0.25">
      <c r="A76" s="110" t="s">
        <v>60</v>
      </c>
      <c r="B76" s="98" t="s">
        <v>52</v>
      </c>
      <c r="C76" s="139">
        <v>0.75</v>
      </c>
      <c r="D76" s="140">
        <f>C76*D73</f>
        <v>8.8396875000000001</v>
      </c>
      <c r="E76" s="139">
        <v>0.75</v>
      </c>
      <c r="F76" s="140">
        <f>E76*F73</f>
        <v>16.588687499999999</v>
      </c>
      <c r="G76" s="139">
        <v>0.75</v>
      </c>
      <c r="H76" s="140">
        <f>G76*H73</f>
        <v>14.566387500000001</v>
      </c>
      <c r="I76" s="139">
        <v>0.75</v>
      </c>
      <c r="J76" s="140">
        <f>I76*J73</f>
        <v>18.429862500000002</v>
      </c>
      <c r="K76" s="139">
        <v>0.75</v>
      </c>
      <c r="L76" s="140">
        <f>K76*L73</f>
        <v>22.114575000000002</v>
      </c>
      <c r="M76" s="139">
        <v>0.75</v>
      </c>
      <c r="N76" s="140">
        <f>M76*N73</f>
        <v>28.257862500000002</v>
      </c>
      <c r="O76" s="139">
        <v>0.75</v>
      </c>
      <c r="P76" s="140">
        <f>O76*P73</f>
        <v>23.517900000000001</v>
      </c>
      <c r="Q76" s="139">
        <v>0.75</v>
      </c>
      <c r="R76" s="140">
        <f>Q76*R73</f>
        <v>9.9736875000000005</v>
      </c>
      <c r="S76" s="139">
        <v>0.75</v>
      </c>
      <c r="T76" s="140">
        <f>S76*T73</f>
        <v>21.654675000000005</v>
      </c>
      <c r="U76" s="139">
        <v>0.75</v>
      </c>
      <c r="V76" s="140">
        <f>U76*V73</f>
        <v>20.7860625</v>
      </c>
      <c r="W76" s="139">
        <v>0.75</v>
      </c>
      <c r="X76" s="140">
        <f>W76*X73</f>
        <v>18.99765</v>
      </c>
      <c r="Y76" s="139">
        <v>0.75</v>
      </c>
      <c r="Z76" s="140">
        <f>Y76*Z73</f>
        <v>13.988362500000001</v>
      </c>
      <c r="AA76" s="139">
        <v>0.75</v>
      </c>
      <c r="AB76" s="140">
        <f>AA76*AB73</f>
        <v>17.651025000000001</v>
      </c>
      <c r="AC76" s="139">
        <v>0.75</v>
      </c>
      <c r="AD76" s="140">
        <f>AC76*AD73</f>
        <v>20.567925000000002</v>
      </c>
      <c r="AE76" s="139">
        <v>0.75</v>
      </c>
      <c r="AF76" s="140">
        <f>AE76*AF73</f>
        <v>19.685925000000005</v>
      </c>
      <c r="AG76" s="139">
        <v>0.75</v>
      </c>
      <c r="AH76" s="140">
        <f>AG76*AH73</f>
        <v>12.985087500000002</v>
      </c>
      <c r="AI76" s="139">
        <v>0.75</v>
      </c>
      <c r="AJ76" s="140">
        <f>AI76*AJ73</f>
        <v>16.1366625</v>
      </c>
      <c r="AK76" s="139">
        <v>0.75</v>
      </c>
      <c r="AL76" s="140">
        <f>AK76*AL73</f>
        <v>9.5996249999999996</v>
      </c>
      <c r="AM76" s="139">
        <v>0.75</v>
      </c>
      <c r="AN76" s="140">
        <f>AM76*AN73</f>
        <v>4.8651750000000007</v>
      </c>
      <c r="AO76" s="139">
        <v>0.75</v>
      </c>
      <c r="AP76" s="140">
        <f>AO76*AP73</f>
        <v>5.5227374999999999</v>
      </c>
      <c r="AQ76" s="139">
        <v>0.75</v>
      </c>
      <c r="AR76" s="140">
        <f>AQ76*AR73</f>
        <v>25.922137499999998</v>
      </c>
      <c r="AS76" s="139">
        <v>0.75</v>
      </c>
      <c r="AT76" s="140">
        <f>AS76*AT73</f>
        <v>30.104550000000003</v>
      </c>
      <c r="AU76" s="139">
        <v>0.75</v>
      </c>
      <c r="AV76" s="140">
        <f>AU76*AV73</f>
        <v>7.7261625000000009</v>
      </c>
      <c r="AW76" s="139">
        <v>0.75</v>
      </c>
      <c r="AX76" s="140">
        <f>AW76*AX73</f>
        <v>20.358450000000001</v>
      </c>
      <c r="AY76" s="139">
        <v>0.75</v>
      </c>
      <c r="AZ76" s="140">
        <f>AY76*AZ73</f>
        <v>13.121325000000001</v>
      </c>
      <c r="BA76" s="139">
        <v>0.75</v>
      </c>
      <c r="BB76" s="140">
        <f>BA76*BB73</f>
        <v>15.570450000000001</v>
      </c>
      <c r="BC76" s="139">
        <v>0.75</v>
      </c>
      <c r="BD76" s="140">
        <f>BC76*BD73</f>
        <v>5.9023125000000007</v>
      </c>
      <c r="BE76" s="139">
        <v>0.75</v>
      </c>
      <c r="BF76" s="140">
        <f>BE76*BF73</f>
        <v>24.8684625</v>
      </c>
      <c r="BG76" s="139">
        <v>0.75</v>
      </c>
      <c r="BH76" s="140">
        <f>BG76*BH73</f>
        <v>14.115150000000003</v>
      </c>
      <c r="BI76" s="139">
        <v>0.75</v>
      </c>
      <c r="BJ76" s="140">
        <f>BI76*BJ73</f>
        <v>25.409475</v>
      </c>
      <c r="BK76" s="139">
        <v>0.75</v>
      </c>
      <c r="BL76" s="140">
        <f>BK76*BL73</f>
        <v>24.651900000000005</v>
      </c>
      <c r="BM76" s="141"/>
      <c r="BN76" s="113" cm="1">
        <f t="array" ref="BN76">SUMPRODUCT((MOD(COLUMN(D76:BM76)-COLUMN(D76),2)=0)*D76:BM76)</f>
        <v>532.47993750000012</v>
      </c>
      <c r="CA76" s="83"/>
      <c r="CB76" s="83"/>
      <c r="CC76" s="83"/>
      <c r="CD76" s="83"/>
      <c r="CE76" s="83"/>
      <c r="CF76" s="83"/>
      <c r="CG76" s="83"/>
      <c r="CH76" s="83"/>
      <c r="CI76" s="83"/>
      <c r="CJ76" s="83"/>
      <c r="CK76" s="83"/>
      <c r="CL76" s="83"/>
      <c r="CM76" s="83"/>
      <c r="CN76" s="83"/>
      <c r="CO76" s="83"/>
      <c r="CP76" s="83"/>
    </row>
    <row r="77" spans="1:94" x14ac:dyDescent="0.25">
      <c r="A77" s="110" t="s">
        <v>61</v>
      </c>
      <c r="B77" s="98" t="s">
        <v>52</v>
      </c>
      <c r="C77" s="139">
        <v>0.75</v>
      </c>
      <c r="D77" s="140">
        <f>C77*D74</f>
        <v>7.4056499999999996</v>
      </c>
      <c r="E77" s="139">
        <v>0.75</v>
      </c>
      <c r="F77" s="140">
        <f>E77*F74</f>
        <v>4.0005000000000006</v>
      </c>
      <c r="G77" s="139">
        <v>0.75</v>
      </c>
      <c r="H77" s="140">
        <f>G77*H74</f>
        <v>0</v>
      </c>
      <c r="I77" s="139">
        <v>0.75</v>
      </c>
      <c r="J77" s="140">
        <f>I77*J74</f>
        <v>0</v>
      </c>
      <c r="K77" s="139">
        <v>0.75</v>
      </c>
      <c r="L77" s="140">
        <f>K77*L74</f>
        <v>7.875</v>
      </c>
      <c r="M77" s="139">
        <v>0.75</v>
      </c>
      <c r="N77" s="140">
        <f>M77*N74</f>
        <v>0</v>
      </c>
      <c r="O77" s="139">
        <v>0.75</v>
      </c>
      <c r="P77" s="140">
        <f>O77*P74</f>
        <v>0.10237500000000001</v>
      </c>
      <c r="Q77" s="139">
        <v>0.75</v>
      </c>
      <c r="R77" s="140">
        <f>Q77*R74</f>
        <v>0.45674999999999999</v>
      </c>
      <c r="S77" s="139">
        <v>0.75</v>
      </c>
      <c r="T77" s="140">
        <f>S77*T74</f>
        <v>0</v>
      </c>
      <c r="U77" s="139">
        <v>0.75</v>
      </c>
      <c r="V77" s="140">
        <f>U77*V74</f>
        <v>0.82687500000000003</v>
      </c>
      <c r="W77" s="139">
        <v>0.75</v>
      </c>
      <c r="X77" s="140">
        <f>W77*X74</f>
        <v>1.5198749999999999</v>
      </c>
      <c r="Y77" s="139">
        <v>0.75</v>
      </c>
      <c r="Z77" s="140">
        <f>Y77*Z74</f>
        <v>6.4047374999999995</v>
      </c>
      <c r="AA77" s="139">
        <v>0.75</v>
      </c>
      <c r="AB77" s="140">
        <f>AA77*AB74</f>
        <v>0.33862500000000001</v>
      </c>
      <c r="AC77" s="139">
        <v>0.75</v>
      </c>
      <c r="AD77" s="140">
        <f>AC77*AD74</f>
        <v>8.1277875000000002</v>
      </c>
      <c r="AE77" s="139">
        <v>0.75</v>
      </c>
      <c r="AF77" s="140">
        <f>AE77*AF74</f>
        <v>4.2682500000000001</v>
      </c>
      <c r="AG77" s="139">
        <v>0.75</v>
      </c>
      <c r="AH77" s="140">
        <f>AG77*AH74</f>
        <v>0</v>
      </c>
      <c r="AI77" s="139">
        <v>0.75</v>
      </c>
      <c r="AJ77" s="140">
        <f>AI77*AJ74</f>
        <v>0</v>
      </c>
      <c r="AK77" s="139">
        <v>0.75</v>
      </c>
      <c r="AL77" s="140">
        <f>AK77*AL74</f>
        <v>12.420450000000001</v>
      </c>
      <c r="AM77" s="139">
        <v>0.75</v>
      </c>
      <c r="AN77" s="140">
        <f>AM77*AN74</f>
        <v>0.11812500000000001</v>
      </c>
      <c r="AO77" s="139">
        <v>0.75</v>
      </c>
      <c r="AP77" s="140">
        <f>AO77*AP74</f>
        <v>0</v>
      </c>
      <c r="AQ77" s="139">
        <v>0.75</v>
      </c>
      <c r="AR77" s="140">
        <f>AQ77*AR74</f>
        <v>0.10237500000000001</v>
      </c>
      <c r="AS77" s="139">
        <v>0.75</v>
      </c>
      <c r="AT77" s="140">
        <f>AS77*AT74</f>
        <v>2.4412500000000001</v>
      </c>
      <c r="AU77" s="139">
        <v>0.75</v>
      </c>
      <c r="AV77" s="140">
        <f>AU77*AV74</f>
        <v>1.387575</v>
      </c>
      <c r="AW77" s="139">
        <v>0.75</v>
      </c>
      <c r="AX77" s="140">
        <f>AW77*AX74</f>
        <v>0</v>
      </c>
      <c r="AY77" s="139">
        <v>0.75</v>
      </c>
      <c r="AZ77" s="140">
        <f>AY77*AZ74</f>
        <v>4.6281375000000002</v>
      </c>
      <c r="BA77" s="139">
        <v>0.75</v>
      </c>
      <c r="BB77" s="140">
        <f>BA77*BB74</f>
        <v>0</v>
      </c>
      <c r="BC77" s="139">
        <v>0.75</v>
      </c>
      <c r="BD77" s="140">
        <f>BC77*BD74</f>
        <v>1.1780999999999999</v>
      </c>
      <c r="BE77" s="139">
        <v>0.75</v>
      </c>
      <c r="BF77" s="140">
        <f>BE77*BF74</f>
        <v>0.31500000000000006</v>
      </c>
      <c r="BG77" s="139">
        <v>0.75</v>
      </c>
      <c r="BH77" s="140">
        <f>BG77*BH74</f>
        <v>0</v>
      </c>
      <c r="BI77" s="139">
        <v>0.75</v>
      </c>
      <c r="BJ77" s="140">
        <f>BI77*BJ74</f>
        <v>1.0339875000000001</v>
      </c>
      <c r="BK77" s="139">
        <v>0.75</v>
      </c>
      <c r="BL77" s="140">
        <f>BK77*BL74</f>
        <v>3.4649999999999999</v>
      </c>
      <c r="BM77" s="141"/>
      <c r="BN77" s="113" cm="1">
        <f t="array" ref="BN77">SUMPRODUCT((MOD(COLUMN(D77:BM77)-COLUMN(D77),2)=0)*D77:BM77)</f>
        <v>68.416425000000004</v>
      </c>
      <c r="CA77" s="83"/>
      <c r="CB77" s="83"/>
      <c r="CC77" s="83"/>
      <c r="CD77" s="83"/>
      <c r="CE77" s="83"/>
      <c r="CF77" s="83"/>
      <c r="CG77" s="83"/>
      <c r="CH77" s="83"/>
      <c r="CI77" s="83"/>
      <c r="CJ77" s="83"/>
      <c r="CK77" s="83"/>
      <c r="CL77" s="83"/>
      <c r="CM77" s="83"/>
      <c r="CN77" s="83"/>
      <c r="CO77" s="83"/>
      <c r="CP77" s="83"/>
    </row>
    <row r="78" spans="1:94" x14ac:dyDescent="0.25">
      <c r="A78" s="110" t="s">
        <v>62</v>
      </c>
      <c r="B78" s="98" t="s">
        <v>52</v>
      </c>
      <c r="C78" s="139">
        <v>0.25</v>
      </c>
      <c r="D78" s="140">
        <f>C78*D73</f>
        <v>2.9465625000000002</v>
      </c>
      <c r="E78" s="139">
        <v>0.25</v>
      </c>
      <c r="F78" s="140">
        <f>E78*F73</f>
        <v>5.5295624999999999</v>
      </c>
      <c r="G78" s="139">
        <v>0.25</v>
      </c>
      <c r="H78" s="140">
        <f>G78*H73</f>
        <v>4.8554625000000007</v>
      </c>
      <c r="I78" s="139">
        <v>0.25</v>
      </c>
      <c r="J78" s="140">
        <f>I78*J73</f>
        <v>6.1432875000000005</v>
      </c>
      <c r="K78" s="139">
        <v>0.25</v>
      </c>
      <c r="L78" s="140">
        <f>K78*L73</f>
        <v>7.3715250000000001</v>
      </c>
      <c r="M78" s="139">
        <v>0.25</v>
      </c>
      <c r="N78" s="140">
        <f>M78*N73</f>
        <v>9.4192875000000011</v>
      </c>
      <c r="O78" s="139">
        <v>0.25</v>
      </c>
      <c r="P78" s="140">
        <f>O78*P73</f>
        <v>7.8393000000000006</v>
      </c>
      <c r="Q78" s="139">
        <v>0.25</v>
      </c>
      <c r="R78" s="140">
        <f>Q78*R73</f>
        <v>3.3245625000000003</v>
      </c>
      <c r="S78" s="139">
        <v>0.25</v>
      </c>
      <c r="T78" s="140">
        <f>S78*T73</f>
        <v>7.2182250000000012</v>
      </c>
      <c r="U78" s="139">
        <v>0.25</v>
      </c>
      <c r="V78" s="140">
        <f>U78*V73</f>
        <v>6.9286875000000006</v>
      </c>
      <c r="W78" s="139">
        <v>0.25</v>
      </c>
      <c r="X78" s="140">
        <f>W78*X73</f>
        <v>6.3325500000000003</v>
      </c>
      <c r="Y78" s="139">
        <v>0.25</v>
      </c>
      <c r="Z78" s="140">
        <f>Y78*Z73</f>
        <v>4.6627875000000003</v>
      </c>
      <c r="AA78" s="139">
        <v>0.25</v>
      </c>
      <c r="AB78" s="140">
        <f>AA78*AB73</f>
        <v>5.8836750000000002</v>
      </c>
      <c r="AC78" s="139">
        <v>0.25</v>
      </c>
      <c r="AD78" s="140">
        <f>AC78*AD73</f>
        <v>6.8559750000000008</v>
      </c>
      <c r="AE78" s="139">
        <v>0.25</v>
      </c>
      <c r="AF78" s="140">
        <f>AE78*AF73</f>
        <v>6.5619750000000012</v>
      </c>
      <c r="AG78" s="139">
        <v>0.25</v>
      </c>
      <c r="AH78" s="140">
        <f>AG78*AH73</f>
        <v>4.3283625000000008</v>
      </c>
      <c r="AI78" s="139">
        <v>0.25</v>
      </c>
      <c r="AJ78" s="140">
        <f>AI78*AJ73</f>
        <v>5.3788875000000003</v>
      </c>
      <c r="AK78" s="139">
        <v>0.25</v>
      </c>
      <c r="AL78" s="140">
        <f>AK78*AL73</f>
        <v>3.199875</v>
      </c>
      <c r="AM78" s="139">
        <v>0.25</v>
      </c>
      <c r="AN78" s="140">
        <f>AM78*AN73</f>
        <v>1.6217250000000001</v>
      </c>
      <c r="AO78" s="139">
        <v>0.25</v>
      </c>
      <c r="AP78" s="140">
        <f>AO78*AP73</f>
        <v>1.8409125</v>
      </c>
      <c r="AQ78" s="139">
        <v>0.25</v>
      </c>
      <c r="AR78" s="140">
        <f>AQ78*AR73</f>
        <v>8.6407124999999994</v>
      </c>
      <c r="AS78" s="139">
        <v>0.25</v>
      </c>
      <c r="AT78" s="140">
        <f>AS78*AT73</f>
        <v>10.03485</v>
      </c>
      <c r="AU78" s="139">
        <v>0.25</v>
      </c>
      <c r="AV78" s="140">
        <f>AU78*AV73</f>
        <v>2.5753875000000002</v>
      </c>
      <c r="AW78" s="139">
        <v>0.25</v>
      </c>
      <c r="AX78" s="140">
        <f>AW78*AX73</f>
        <v>6.7861500000000001</v>
      </c>
      <c r="AY78" s="139">
        <v>0.25</v>
      </c>
      <c r="AZ78" s="140">
        <f>AY78*AZ73</f>
        <v>4.3737750000000002</v>
      </c>
      <c r="BA78" s="139">
        <v>0.25</v>
      </c>
      <c r="BB78" s="140">
        <f>BA78*BB73</f>
        <v>5.19015</v>
      </c>
      <c r="BC78" s="139">
        <v>0.25</v>
      </c>
      <c r="BD78" s="140">
        <f>BC78*BD73</f>
        <v>1.9674375000000002</v>
      </c>
      <c r="BE78" s="139">
        <v>0.25</v>
      </c>
      <c r="BF78" s="140">
        <f>BE78*BF73</f>
        <v>8.2894874999999999</v>
      </c>
      <c r="BG78" s="139">
        <v>0.25</v>
      </c>
      <c r="BH78" s="140">
        <f>BG78*BH73</f>
        <v>4.7050500000000008</v>
      </c>
      <c r="BI78" s="139">
        <v>0.25</v>
      </c>
      <c r="BJ78" s="140">
        <f>BI78*BJ73</f>
        <v>8.4698250000000002</v>
      </c>
      <c r="BK78" s="139">
        <v>0.25</v>
      </c>
      <c r="BL78" s="140">
        <f>BK78*BL73</f>
        <v>8.2173000000000016</v>
      </c>
      <c r="BM78" s="141"/>
      <c r="BN78" s="113" cm="1">
        <f t="array" ref="BN78">SUMPRODUCT((MOD(COLUMN(D78:BM78)-COLUMN(D78),2)=0)*D78:BM78)</f>
        <v>177.49331250000003</v>
      </c>
      <c r="CA78" s="83"/>
      <c r="CB78" s="83"/>
      <c r="CC78" s="83"/>
      <c r="CD78" s="83"/>
      <c r="CE78" s="83"/>
      <c r="CF78" s="83"/>
      <c r="CG78" s="83"/>
      <c r="CH78" s="83"/>
      <c r="CI78" s="83"/>
      <c r="CJ78" s="83"/>
      <c r="CK78" s="83"/>
      <c r="CL78" s="83"/>
      <c r="CM78" s="83"/>
      <c r="CN78" s="83"/>
      <c r="CO78" s="83"/>
      <c r="CP78" s="83"/>
    </row>
    <row r="79" spans="1:94" x14ac:dyDescent="0.25">
      <c r="A79" s="110" t="s">
        <v>63</v>
      </c>
      <c r="B79" s="98" t="s">
        <v>52</v>
      </c>
      <c r="C79" s="139">
        <v>0.25</v>
      </c>
      <c r="D79" s="140">
        <f>C79*D74</f>
        <v>2.46855</v>
      </c>
      <c r="E79" s="139">
        <v>0.25</v>
      </c>
      <c r="F79" s="140">
        <f>E79*F74</f>
        <v>1.3335000000000001</v>
      </c>
      <c r="G79" s="139">
        <v>0.25</v>
      </c>
      <c r="H79" s="140">
        <f>G79*H74</f>
        <v>0</v>
      </c>
      <c r="I79" s="139">
        <v>0.25</v>
      </c>
      <c r="J79" s="140">
        <f>I79*J74</f>
        <v>0</v>
      </c>
      <c r="K79" s="139">
        <v>0.25</v>
      </c>
      <c r="L79" s="140">
        <f>K79*L74</f>
        <v>2.625</v>
      </c>
      <c r="M79" s="139">
        <v>0.25</v>
      </c>
      <c r="N79" s="140">
        <f>M79*N74</f>
        <v>0</v>
      </c>
      <c r="O79" s="139">
        <v>0.25</v>
      </c>
      <c r="P79" s="140">
        <f>O79*P74</f>
        <v>3.4125000000000003E-2</v>
      </c>
      <c r="Q79" s="139">
        <v>0.25</v>
      </c>
      <c r="R79" s="140">
        <f>Q79*R74</f>
        <v>0.15225</v>
      </c>
      <c r="S79" s="139">
        <v>0.25</v>
      </c>
      <c r="T79" s="140">
        <f>S79*T74</f>
        <v>0</v>
      </c>
      <c r="U79" s="139">
        <v>0.25</v>
      </c>
      <c r="V79" s="140">
        <f>U79*V74</f>
        <v>0.27562500000000001</v>
      </c>
      <c r="W79" s="139">
        <v>0.25</v>
      </c>
      <c r="X79" s="140">
        <f>W79*X74</f>
        <v>0.50662499999999999</v>
      </c>
      <c r="Y79" s="139">
        <v>0.25</v>
      </c>
      <c r="Z79" s="140">
        <f>Y79*Z74</f>
        <v>2.1349125</v>
      </c>
      <c r="AA79" s="139">
        <v>0.25</v>
      </c>
      <c r="AB79" s="140">
        <f>AA79*AB74</f>
        <v>0.112875</v>
      </c>
      <c r="AC79" s="139">
        <v>0.25</v>
      </c>
      <c r="AD79" s="140">
        <f>AC79*AD74</f>
        <v>2.7092624999999999</v>
      </c>
      <c r="AE79" s="139">
        <v>0.25</v>
      </c>
      <c r="AF79" s="140">
        <f>AE79*AF74</f>
        <v>1.4227500000000002</v>
      </c>
      <c r="AG79" s="139">
        <v>0.25</v>
      </c>
      <c r="AH79" s="140">
        <f>AG79*AH74</f>
        <v>0</v>
      </c>
      <c r="AI79" s="139">
        <v>0.25</v>
      </c>
      <c r="AJ79" s="140">
        <f>AI79*AJ74</f>
        <v>0</v>
      </c>
      <c r="AK79" s="139">
        <v>0.25</v>
      </c>
      <c r="AL79" s="140">
        <f>AK79*AL74</f>
        <v>4.1401500000000002</v>
      </c>
      <c r="AM79" s="139">
        <v>0.25</v>
      </c>
      <c r="AN79" s="140">
        <f>AM79*AN74</f>
        <v>3.9375E-2</v>
      </c>
      <c r="AO79" s="139">
        <v>0.25</v>
      </c>
      <c r="AP79" s="140">
        <f>AO79*AP74</f>
        <v>0</v>
      </c>
      <c r="AQ79" s="139">
        <v>0.25</v>
      </c>
      <c r="AR79" s="140">
        <f>AQ79*AR74</f>
        <v>3.4125000000000003E-2</v>
      </c>
      <c r="AS79" s="139">
        <v>0.25</v>
      </c>
      <c r="AT79" s="140">
        <f>AS79*AT74</f>
        <v>0.81375000000000008</v>
      </c>
      <c r="AU79" s="139">
        <v>0.25</v>
      </c>
      <c r="AV79" s="140">
        <f>AU79*AV74</f>
        <v>0.46252500000000002</v>
      </c>
      <c r="AW79" s="139">
        <v>0.25</v>
      </c>
      <c r="AX79" s="140">
        <f>AW79*AX74</f>
        <v>0</v>
      </c>
      <c r="AY79" s="139">
        <v>0.25</v>
      </c>
      <c r="AZ79" s="140">
        <f>AY79*AZ74</f>
        <v>1.5427125000000002</v>
      </c>
      <c r="BA79" s="139">
        <v>0.25</v>
      </c>
      <c r="BB79" s="140">
        <f>BA79*BB74</f>
        <v>0</v>
      </c>
      <c r="BC79" s="139">
        <v>0.25</v>
      </c>
      <c r="BD79" s="140">
        <f>BC79*BD74</f>
        <v>0.39269999999999999</v>
      </c>
      <c r="BE79" s="139">
        <v>0.25</v>
      </c>
      <c r="BF79" s="140">
        <f>BE79*BF74</f>
        <v>0.10500000000000001</v>
      </c>
      <c r="BG79" s="139">
        <v>0.25</v>
      </c>
      <c r="BH79" s="140">
        <f>BG79*BH74</f>
        <v>0</v>
      </c>
      <c r="BI79" s="139">
        <v>0.25</v>
      </c>
      <c r="BJ79" s="140">
        <f>BI79*BJ74</f>
        <v>0.34466250000000004</v>
      </c>
      <c r="BK79" s="139">
        <v>0.25</v>
      </c>
      <c r="BL79" s="140">
        <f>BK79*BL74</f>
        <v>1.155</v>
      </c>
      <c r="BM79" s="141"/>
      <c r="BN79" s="113" cm="1">
        <f t="array" ref="BN79">SUMPRODUCT((MOD(COLUMN(D79:BM79)-COLUMN(D79),2)=0)*D79:BM79)</f>
        <v>22.805475000000001</v>
      </c>
      <c r="CA79" s="83"/>
      <c r="CB79" s="83"/>
      <c r="CC79" s="83"/>
      <c r="CD79" s="83"/>
      <c r="CE79" s="83"/>
      <c r="CF79" s="83"/>
      <c r="CG79" s="83"/>
      <c r="CH79" s="83"/>
      <c r="CI79" s="83"/>
      <c r="CJ79" s="83"/>
      <c r="CK79" s="83"/>
      <c r="CL79" s="83"/>
      <c r="CM79" s="83"/>
      <c r="CN79" s="83"/>
      <c r="CO79" s="83"/>
      <c r="CP79" s="83"/>
    </row>
    <row r="80" spans="1:94" x14ac:dyDescent="0.25">
      <c r="A80" s="107" t="s">
        <v>64</v>
      </c>
      <c r="B80" s="101"/>
      <c r="C80" s="115"/>
      <c r="D80" s="116">
        <f>SUM(D78:D79)</f>
        <v>5.4151125000000002</v>
      </c>
      <c r="E80" s="115"/>
      <c r="F80" s="116">
        <f>SUM(F78:F79)</f>
        <v>6.8630624999999998</v>
      </c>
      <c r="G80" s="115"/>
      <c r="H80" s="116">
        <f>SUM(H78:H79)</f>
        <v>4.8554625000000007</v>
      </c>
      <c r="I80" s="115"/>
      <c r="J80" s="116">
        <f>SUM(J78:J79)</f>
        <v>6.1432875000000005</v>
      </c>
      <c r="K80" s="115"/>
      <c r="L80" s="116">
        <f>SUM(L78:L79)</f>
        <v>9.9965250000000001</v>
      </c>
      <c r="M80" s="115"/>
      <c r="N80" s="116">
        <f>SUM(N78:N79)</f>
        <v>9.4192875000000011</v>
      </c>
      <c r="O80" s="115"/>
      <c r="P80" s="116">
        <f>SUM(P78:P79)</f>
        <v>7.873425000000001</v>
      </c>
      <c r="Q80" s="115"/>
      <c r="R80" s="116">
        <f>SUM(R78:R79)</f>
        <v>3.4768125000000003</v>
      </c>
      <c r="S80" s="115"/>
      <c r="T80" s="116">
        <f>SUM(T78:T79)</f>
        <v>7.2182250000000012</v>
      </c>
      <c r="U80" s="115"/>
      <c r="V80" s="116">
        <f>SUM(V78:V79)</f>
        <v>7.2043125000000003</v>
      </c>
      <c r="W80" s="115"/>
      <c r="X80" s="116">
        <f>SUM(X78:X79)</f>
        <v>6.839175</v>
      </c>
      <c r="Y80" s="115"/>
      <c r="Z80" s="116">
        <f>SUM(Z78:Z79)</f>
        <v>6.7977000000000007</v>
      </c>
      <c r="AA80" s="115"/>
      <c r="AB80" s="116">
        <f>SUM(AB78:AB79)</f>
        <v>5.99655</v>
      </c>
      <c r="AC80" s="115"/>
      <c r="AD80" s="116">
        <f>SUM(AD78:AD79)</f>
        <v>9.5652375000000003</v>
      </c>
      <c r="AE80" s="115"/>
      <c r="AF80" s="116">
        <f>SUM(AF78:AF79)</f>
        <v>7.984725000000001</v>
      </c>
      <c r="AG80" s="115"/>
      <c r="AH80" s="116">
        <f>SUM(AH78:AH79)</f>
        <v>4.3283625000000008</v>
      </c>
      <c r="AI80" s="115"/>
      <c r="AJ80" s="116">
        <f>SUM(AJ78:AJ79)</f>
        <v>5.3788875000000003</v>
      </c>
      <c r="AK80" s="115"/>
      <c r="AL80" s="116">
        <f>SUM(AL78:AL79)</f>
        <v>7.3400250000000007</v>
      </c>
      <c r="AM80" s="115"/>
      <c r="AN80" s="116">
        <f>SUM(AN78:AN79)</f>
        <v>1.6611</v>
      </c>
      <c r="AO80" s="115"/>
      <c r="AP80" s="116">
        <f>SUM(AP78:AP79)</f>
        <v>1.8409125</v>
      </c>
      <c r="AQ80" s="115"/>
      <c r="AR80" s="116">
        <f>SUM(AR78:AR79)</f>
        <v>8.6748374999999989</v>
      </c>
      <c r="AS80" s="115"/>
      <c r="AT80" s="116">
        <f>SUM(AT78:AT79)</f>
        <v>10.848600000000001</v>
      </c>
      <c r="AU80" s="115"/>
      <c r="AV80" s="116">
        <f>SUM(AV78:AV79)</f>
        <v>3.0379125</v>
      </c>
      <c r="AW80" s="115"/>
      <c r="AX80" s="116">
        <f>SUM(AX78:AX79)</f>
        <v>6.7861500000000001</v>
      </c>
      <c r="AY80" s="115"/>
      <c r="AZ80" s="116">
        <f>SUM(AZ78:AZ79)</f>
        <v>5.9164875000000006</v>
      </c>
      <c r="BA80" s="115"/>
      <c r="BB80" s="116">
        <f>SUM(BB78:BB79)</f>
        <v>5.19015</v>
      </c>
      <c r="BC80" s="115"/>
      <c r="BD80" s="116">
        <f>SUM(BD78:BD79)</f>
        <v>2.3601375</v>
      </c>
      <c r="BE80" s="115"/>
      <c r="BF80" s="116">
        <f>SUM(BF78:BF79)</f>
        <v>8.3944875000000003</v>
      </c>
      <c r="BG80" s="115"/>
      <c r="BH80" s="116">
        <f>SUM(BH78:BH79)</f>
        <v>4.7050500000000008</v>
      </c>
      <c r="BI80" s="115"/>
      <c r="BJ80" s="116">
        <f>SUM(BJ78:BJ79)</f>
        <v>8.8144875000000003</v>
      </c>
      <c r="BK80" s="115"/>
      <c r="BL80" s="116">
        <f>SUM(BL78:BL79)</f>
        <v>9.372300000000001</v>
      </c>
      <c r="BM80" s="117"/>
      <c r="BN80" s="116">
        <f>SUM(C80:BM80)</f>
        <v>200.2987875</v>
      </c>
      <c r="CA80" s="83"/>
      <c r="CB80" s="83"/>
      <c r="CC80" s="83"/>
      <c r="CD80" s="83"/>
      <c r="CE80" s="83"/>
      <c r="CF80" s="83"/>
      <c r="CG80" s="83"/>
      <c r="CH80" s="83"/>
      <c r="CI80" s="83"/>
      <c r="CJ80" s="83"/>
      <c r="CK80" s="83"/>
      <c r="CL80" s="83"/>
      <c r="CM80" s="83"/>
      <c r="CN80" s="83"/>
      <c r="CO80" s="83"/>
      <c r="CP80" s="83"/>
    </row>
    <row r="81" spans="1:1" x14ac:dyDescent="0.25">
      <c r="A81" s="1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245DE-735D-4614-A784-96B6FA23E774}">
  <sheetPr codeName="Sheet5">
    <tabColor theme="2" tint="-9.9978637043366805E-2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5356A-DBF7-424D-87E7-34D4BF9780F3}">
  <sheetPr codeName="Sheet7"/>
  <dimension ref="A1:CT56"/>
  <sheetViews>
    <sheetView showGridLines="0" topLeftCell="A13" workbookViewId="0">
      <selection activeCell="D3" sqref="D3:E3"/>
    </sheetView>
  </sheetViews>
  <sheetFormatPr defaultColWidth="9.140625" defaultRowHeight="15" x14ac:dyDescent="0.25"/>
  <cols>
    <col min="1" max="1" width="2.85546875" style="3" customWidth="1"/>
    <col min="2" max="2" width="26.42578125" style="3" customWidth="1"/>
    <col min="3" max="3" width="19.7109375" style="3" customWidth="1"/>
    <col min="4" max="4" width="12.7109375" style="3" customWidth="1"/>
    <col min="5" max="6" width="11.28515625" style="4" customWidth="1"/>
    <col min="7" max="8" width="11.7109375" style="4" customWidth="1"/>
    <col min="9" max="79" width="11.42578125" style="4" customWidth="1"/>
    <col min="80" max="80" width="10.42578125" style="4" bestFit="1" customWidth="1"/>
    <col min="81" max="82" width="9.140625" style="4"/>
    <col min="83" max="16384" width="9.140625" style="3"/>
  </cols>
  <sheetData>
    <row r="1" spans="1:98" x14ac:dyDescent="0.25">
      <c r="A1" s="2" t="s">
        <v>65</v>
      </c>
    </row>
    <row r="2" spans="1:98" x14ac:dyDescent="0.25">
      <c r="A2" s="3" t="s">
        <v>1</v>
      </c>
      <c r="E2" s="5"/>
      <c r="F2" s="5"/>
      <c r="G2" s="5"/>
      <c r="H2" s="5"/>
    </row>
    <row r="3" spans="1:98" s="6" customFormat="1" x14ac:dyDescent="0.25">
      <c r="D3" s="154">
        <v>45839</v>
      </c>
      <c r="E3" s="152"/>
      <c r="F3" s="152">
        <v>45840</v>
      </c>
      <c r="G3" s="152"/>
      <c r="H3" s="152">
        <v>45841</v>
      </c>
      <c r="I3" s="152"/>
      <c r="J3" s="152">
        <v>45842</v>
      </c>
      <c r="K3" s="152"/>
      <c r="L3" s="152">
        <v>45843</v>
      </c>
      <c r="M3" s="152"/>
      <c r="N3" s="152">
        <v>45844</v>
      </c>
      <c r="O3" s="152"/>
      <c r="P3" s="152">
        <v>45845</v>
      </c>
      <c r="Q3" s="152"/>
      <c r="R3" s="152">
        <v>45846</v>
      </c>
      <c r="S3" s="152"/>
      <c r="T3" s="152">
        <v>45847</v>
      </c>
      <c r="U3" s="152"/>
      <c r="V3" s="152">
        <v>45848</v>
      </c>
      <c r="W3" s="152"/>
      <c r="X3" s="152">
        <v>45849</v>
      </c>
      <c r="Y3" s="152"/>
      <c r="Z3" s="152">
        <v>45850</v>
      </c>
      <c r="AA3" s="152"/>
      <c r="AB3" s="152">
        <v>45851</v>
      </c>
      <c r="AC3" s="152"/>
      <c r="AD3" s="152">
        <v>45852</v>
      </c>
      <c r="AE3" s="152"/>
      <c r="AF3" s="152">
        <v>45853</v>
      </c>
      <c r="AG3" s="152"/>
      <c r="AH3" s="152">
        <v>45854</v>
      </c>
      <c r="AI3" s="152"/>
      <c r="AJ3" s="152">
        <v>45855</v>
      </c>
      <c r="AK3" s="152"/>
      <c r="AL3" s="152">
        <v>45856</v>
      </c>
      <c r="AM3" s="152"/>
      <c r="AN3" s="152">
        <v>45857</v>
      </c>
      <c r="AO3" s="152"/>
      <c r="AP3" s="152">
        <v>45858</v>
      </c>
      <c r="AQ3" s="152"/>
      <c r="AR3" s="152">
        <v>45859</v>
      </c>
      <c r="AS3" s="152"/>
      <c r="AT3" s="152">
        <v>45860</v>
      </c>
      <c r="AU3" s="152"/>
      <c r="AV3" s="152">
        <v>45861</v>
      </c>
      <c r="AW3" s="152"/>
      <c r="AX3" s="152">
        <v>45862</v>
      </c>
      <c r="AY3" s="152"/>
      <c r="AZ3" s="152">
        <v>45863</v>
      </c>
      <c r="BA3" s="152"/>
      <c r="BB3" s="152">
        <v>45864</v>
      </c>
      <c r="BC3" s="152"/>
      <c r="BD3" s="152">
        <v>45865</v>
      </c>
      <c r="BE3" s="152"/>
      <c r="BF3" s="152">
        <v>45866</v>
      </c>
      <c r="BG3" s="152"/>
      <c r="BH3" s="152">
        <v>45867</v>
      </c>
      <c r="BI3" s="152"/>
      <c r="BJ3" s="152">
        <v>45868</v>
      </c>
      <c r="BK3" s="152"/>
      <c r="BL3" s="152">
        <v>45869</v>
      </c>
      <c r="BM3" s="153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8"/>
      <c r="CD3" s="8"/>
    </row>
    <row r="4" spans="1:98" x14ac:dyDescent="0.25">
      <c r="C4" s="6" t="s">
        <v>2</v>
      </c>
      <c r="D4" s="9" t="s">
        <v>66</v>
      </c>
      <c r="E4" s="10" t="s">
        <v>67</v>
      </c>
      <c r="F4" s="9" t="s">
        <v>66</v>
      </c>
      <c r="G4" s="10" t="s">
        <v>67</v>
      </c>
      <c r="H4" s="9" t="s">
        <v>66</v>
      </c>
      <c r="I4" s="10" t="s">
        <v>67</v>
      </c>
      <c r="J4" s="9" t="s">
        <v>66</v>
      </c>
      <c r="K4" s="10" t="s">
        <v>67</v>
      </c>
      <c r="L4" s="9" t="s">
        <v>66</v>
      </c>
      <c r="M4" s="10" t="s">
        <v>67</v>
      </c>
      <c r="N4" s="9" t="s">
        <v>66</v>
      </c>
      <c r="O4" s="10" t="s">
        <v>67</v>
      </c>
      <c r="P4" s="9" t="s">
        <v>66</v>
      </c>
      <c r="Q4" s="10" t="s">
        <v>67</v>
      </c>
      <c r="R4" s="9" t="s">
        <v>66</v>
      </c>
      <c r="S4" s="10" t="s">
        <v>67</v>
      </c>
      <c r="T4" s="9" t="s">
        <v>66</v>
      </c>
      <c r="U4" s="10" t="s">
        <v>67</v>
      </c>
      <c r="V4" s="9" t="s">
        <v>66</v>
      </c>
      <c r="W4" s="10" t="s">
        <v>67</v>
      </c>
      <c r="X4" s="9" t="s">
        <v>66</v>
      </c>
      <c r="Y4" s="10" t="s">
        <v>67</v>
      </c>
      <c r="Z4" s="9" t="s">
        <v>66</v>
      </c>
      <c r="AA4" s="10" t="s">
        <v>67</v>
      </c>
      <c r="AB4" s="9" t="s">
        <v>66</v>
      </c>
      <c r="AC4" s="10" t="s">
        <v>67</v>
      </c>
      <c r="AD4" s="9" t="s">
        <v>66</v>
      </c>
      <c r="AE4" s="10" t="s">
        <v>67</v>
      </c>
      <c r="AF4" s="9" t="s">
        <v>66</v>
      </c>
      <c r="AG4" s="10" t="s">
        <v>67</v>
      </c>
      <c r="AH4" s="9" t="s">
        <v>66</v>
      </c>
      <c r="AI4" s="10" t="s">
        <v>67</v>
      </c>
      <c r="AJ4" s="9" t="s">
        <v>66</v>
      </c>
      <c r="AK4" s="10" t="s">
        <v>67</v>
      </c>
      <c r="AL4" s="9" t="s">
        <v>66</v>
      </c>
      <c r="AM4" s="10" t="s">
        <v>67</v>
      </c>
      <c r="AN4" s="9" t="s">
        <v>66</v>
      </c>
      <c r="AO4" s="10" t="s">
        <v>67</v>
      </c>
      <c r="AP4" s="9" t="s">
        <v>66</v>
      </c>
      <c r="AQ4" s="10" t="s">
        <v>67</v>
      </c>
      <c r="AR4" s="9" t="s">
        <v>66</v>
      </c>
      <c r="AS4" s="10" t="s">
        <v>67</v>
      </c>
      <c r="AT4" s="9" t="s">
        <v>66</v>
      </c>
      <c r="AU4" s="10" t="s">
        <v>67</v>
      </c>
      <c r="AV4" s="9" t="s">
        <v>66</v>
      </c>
      <c r="AW4" s="10" t="s">
        <v>67</v>
      </c>
      <c r="AX4" s="9" t="s">
        <v>66</v>
      </c>
      <c r="AY4" s="10" t="s">
        <v>67</v>
      </c>
      <c r="AZ4" s="9" t="s">
        <v>66</v>
      </c>
      <c r="BA4" s="10" t="s">
        <v>67</v>
      </c>
      <c r="BB4" s="9" t="s">
        <v>66</v>
      </c>
      <c r="BC4" s="10" t="s">
        <v>67</v>
      </c>
      <c r="BD4" s="9" t="s">
        <v>66</v>
      </c>
      <c r="BE4" s="10" t="s">
        <v>67</v>
      </c>
      <c r="BF4" s="9" t="s">
        <v>66</v>
      </c>
      <c r="BG4" s="10" t="s">
        <v>67</v>
      </c>
      <c r="BH4" s="9" t="s">
        <v>66</v>
      </c>
      <c r="BI4" s="10" t="s">
        <v>67</v>
      </c>
      <c r="BJ4" s="9" t="s">
        <v>66</v>
      </c>
      <c r="BK4" s="10" t="s">
        <v>67</v>
      </c>
      <c r="BL4" s="9" t="s">
        <v>66</v>
      </c>
      <c r="BM4" s="10" t="s">
        <v>67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</row>
    <row r="5" spans="1:98" x14ac:dyDescent="0.25">
      <c r="A5" s="2" t="s">
        <v>68</v>
      </c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</row>
    <row r="6" spans="1:98" x14ac:dyDescent="0.25">
      <c r="B6" s="3" t="s">
        <v>8</v>
      </c>
      <c r="C6" s="11" t="s">
        <v>9</v>
      </c>
      <c r="D6" s="30">
        <v>3</v>
      </c>
      <c r="E6" s="31">
        <v>296.10000000000002</v>
      </c>
      <c r="F6" s="32">
        <v>2</v>
      </c>
      <c r="G6" s="31">
        <v>800</v>
      </c>
      <c r="H6" s="32">
        <v>1</v>
      </c>
      <c r="I6" s="31">
        <v>154.6</v>
      </c>
      <c r="J6" s="33">
        <v>2</v>
      </c>
      <c r="K6" s="31">
        <v>270.89999999999998</v>
      </c>
      <c r="L6" s="32">
        <v>2</v>
      </c>
      <c r="M6" s="31">
        <v>963.2</v>
      </c>
      <c r="N6" s="32">
        <v>8</v>
      </c>
      <c r="O6" s="31">
        <v>3203.2</v>
      </c>
      <c r="P6" s="32">
        <v>4</v>
      </c>
      <c r="Q6" s="31">
        <v>1364.2</v>
      </c>
      <c r="R6" s="32">
        <v>0</v>
      </c>
      <c r="S6" s="31">
        <v>0</v>
      </c>
      <c r="T6" s="32">
        <v>4</v>
      </c>
      <c r="U6" s="31">
        <v>493.2</v>
      </c>
      <c r="V6" s="32">
        <v>0</v>
      </c>
      <c r="W6" s="31">
        <v>0</v>
      </c>
      <c r="X6" s="32">
        <v>0</v>
      </c>
      <c r="Y6" s="31">
        <v>0</v>
      </c>
      <c r="Z6" s="32">
        <v>7</v>
      </c>
      <c r="AA6" s="31">
        <v>2888.3</v>
      </c>
      <c r="AB6" s="32">
        <v>3</v>
      </c>
      <c r="AC6" s="31">
        <v>2061.6999999999998</v>
      </c>
      <c r="AD6" s="32">
        <v>3</v>
      </c>
      <c r="AE6" s="31">
        <v>1600</v>
      </c>
      <c r="AF6" s="32">
        <v>4</v>
      </c>
      <c r="AG6" s="34">
        <v>1007.5</v>
      </c>
      <c r="AH6" s="35">
        <v>0</v>
      </c>
      <c r="AI6" s="31">
        <v>0</v>
      </c>
      <c r="AJ6" s="32">
        <v>2</v>
      </c>
      <c r="AK6" s="31">
        <v>1180.2</v>
      </c>
      <c r="AL6" s="32">
        <v>4</v>
      </c>
      <c r="AM6" s="31">
        <v>919.4</v>
      </c>
      <c r="AN6" s="32">
        <v>7</v>
      </c>
      <c r="AO6" s="31">
        <v>3264.4</v>
      </c>
      <c r="AP6" s="32">
        <v>0</v>
      </c>
      <c r="AQ6" s="31">
        <v>0</v>
      </c>
      <c r="AR6" s="32">
        <v>2</v>
      </c>
      <c r="AS6" s="31">
        <v>1381.6</v>
      </c>
      <c r="AT6" s="32">
        <v>2</v>
      </c>
      <c r="AU6" s="31">
        <v>801.4</v>
      </c>
      <c r="AV6" s="32">
        <v>4</v>
      </c>
      <c r="AW6" s="31">
        <v>1713.5</v>
      </c>
      <c r="AX6" s="32">
        <v>1</v>
      </c>
      <c r="AY6" s="31">
        <v>487.3</v>
      </c>
      <c r="AZ6" s="32">
        <v>2</v>
      </c>
      <c r="BA6" s="31">
        <v>600</v>
      </c>
      <c r="BB6" s="32">
        <v>5</v>
      </c>
      <c r="BC6" s="31">
        <v>1917.5</v>
      </c>
      <c r="BD6" s="32">
        <v>4</v>
      </c>
      <c r="BE6" s="31">
        <v>1994.1</v>
      </c>
      <c r="BF6" s="32">
        <v>4</v>
      </c>
      <c r="BG6" s="31">
        <v>1771.6</v>
      </c>
      <c r="BH6" s="32">
        <v>1</v>
      </c>
      <c r="BI6" s="31">
        <v>500</v>
      </c>
      <c r="BJ6" s="32">
        <v>5</v>
      </c>
      <c r="BK6" s="31">
        <v>2096.1999999999998</v>
      </c>
      <c r="BL6" s="32">
        <v>1</v>
      </c>
      <c r="BM6" s="36">
        <v>591.6</v>
      </c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</row>
    <row r="7" spans="1:98" x14ac:dyDescent="0.25">
      <c r="B7" s="3" t="s">
        <v>17</v>
      </c>
      <c r="C7" s="11" t="s">
        <v>9</v>
      </c>
      <c r="D7" s="37">
        <v>3</v>
      </c>
      <c r="E7" s="38">
        <v>2047.1</v>
      </c>
      <c r="F7" s="39">
        <v>5</v>
      </c>
      <c r="G7" s="38">
        <v>1537.5</v>
      </c>
      <c r="H7" s="39">
        <v>6</v>
      </c>
      <c r="I7" s="38">
        <v>2908.2</v>
      </c>
      <c r="J7" s="40">
        <v>5</v>
      </c>
      <c r="K7" s="38">
        <v>3734</v>
      </c>
      <c r="L7" s="39">
        <v>2</v>
      </c>
      <c r="M7" s="38">
        <v>1000</v>
      </c>
      <c r="N7" s="39">
        <v>4</v>
      </c>
      <c r="O7" s="38">
        <v>975.1</v>
      </c>
      <c r="P7" s="39">
        <v>4</v>
      </c>
      <c r="Q7" s="38">
        <v>2115.9</v>
      </c>
      <c r="R7" s="39">
        <v>9</v>
      </c>
      <c r="S7" s="38">
        <v>3487.5</v>
      </c>
      <c r="T7" s="39">
        <v>5</v>
      </c>
      <c r="U7" s="38">
        <v>2476.3000000000002</v>
      </c>
      <c r="V7" s="39">
        <v>3</v>
      </c>
      <c r="W7" s="38">
        <v>1605.9</v>
      </c>
      <c r="X7" s="39">
        <v>4</v>
      </c>
      <c r="Y7" s="38">
        <v>2167.9</v>
      </c>
      <c r="Z7" s="39">
        <v>7</v>
      </c>
      <c r="AA7" s="38">
        <v>3323.8</v>
      </c>
      <c r="AB7" s="39">
        <v>8</v>
      </c>
      <c r="AC7" s="38">
        <v>4000.8</v>
      </c>
      <c r="AD7" s="39">
        <v>2</v>
      </c>
      <c r="AE7" s="38">
        <v>1092</v>
      </c>
      <c r="AF7" s="39">
        <v>12</v>
      </c>
      <c r="AG7" s="41">
        <v>4983.8</v>
      </c>
      <c r="AH7" s="42">
        <v>4</v>
      </c>
      <c r="AI7" s="38">
        <v>2486.6</v>
      </c>
      <c r="AJ7" s="39">
        <v>8</v>
      </c>
      <c r="AK7" s="38">
        <v>3102.6</v>
      </c>
      <c r="AL7" s="39">
        <v>1</v>
      </c>
      <c r="AM7" s="38">
        <v>1000</v>
      </c>
      <c r="AN7" s="39">
        <v>4</v>
      </c>
      <c r="AO7" s="38">
        <v>2018.4</v>
      </c>
      <c r="AP7" s="39">
        <v>0</v>
      </c>
      <c r="AQ7" s="38">
        <v>0</v>
      </c>
      <c r="AR7" s="39">
        <v>2</v>
      </c>
      <c r="AS7" s="38">
        <v>896.2</v>
      </c>
      <c r="AT7" s="39">
        <v>5</v>
      </c>
      <c r="AU7" s="38">
        <v>1798</v>
      </c>
      <c r="AV7" s="39">
        <v>4</v>
      </c>
      <c r="AW7" s="38">
        <v>2540</v>
      </c>
      <c r="AX7" s="39">
        <v>5</v>
      </c>
      <c r="AY7" s="38">
        <v>1824.6</v>
      </c>
      <c r="AZ7" s="39">
        <v>4</v>
      </c>
      <c r="BA7" s="38">
        <v>3032.8</v>
      </c>
      <c r="BB7" s="39">
        <v>8</v>
      </c>
      <c r="BC7" s="38">
        <v>3347.3</v>
      </c>
      <c r="BD7" s="39">
        <v>7</v>
      </c>
      <c r="BE7" s="38">
        <v>3292.7</v>
      </c>
      <c r="BF7" s="39">
        <v>2</v>
      </c>
      <c r="BG7" s="38">
        <v>175.7</v>
      </c>
      <c r="BH7" s="39">
        <v>5</v>
      </c>
      <c r="BI7" s="38">
        <v>2618.6999999999998</v>
      </c>
      <c r="BJ7" s="39">
        <v>6</v>
      </c>
      <c r="BK7" s="38">
        <v>2340.3000000000002</v>
      </c>
      <c r="BL7" s="39">
        <v>4</v>
      </c>
      <c r="BM7" s="43">
        <v>1235.4000000000001</v>
      </c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</row>
    <row r="8" spans="1:98" x14ac:dyDescent="0.25">
      <c r="B8" s="3" t="s">
        <v>10</v>
      </c>
      <c r="C8" s="11" t="s">
        <v>9</v>
      </c>
      <c r="D8" s="37">
        <v>3</v>
      </c>
      <c r="E8" s="38">
        <v>1351.9</v>
      </c>
      <c r="F8" s="39">
        <v>3</v>
      </c>
      <c r="G8" s="38">
        <v>1200</v>
      </c>
      <c r="H8" s="39">
        <v>2</v>
      </c>
      <c r="I8" s="38">
        <v>800</v>
      </c>
      <c r="J8" s="40">
        <v>6</v>
      </c>
      <c r="K8" s="38">
        <v>2444.1</v>
      </c>
      <c r="L8" s="39">
        <v>2</v>
      </c>
      <c r="M8" s="38">
        <v>1000</v>
      </c>
      <c r="N8" s="39">
        <v>7</v>
      </c>
      <c r="O8" s="38">
        <v>3136</v>
      </c>
      <c r="P8" s="39">
        <v>2</v>
      </c>
      <c r="Q8" s="38">
        <v>1250.7</v>
      </c>
      <c r="R8" s="39">
        <v>3</v>
      </c>
      <c r="S8" s="38">
        <v>1562.4</v>
      </c>
      <c r="T8" s="39">
        <v>4</v>
      </c>
      <c r="U8" s="38">
        <v>1600</v>
      </c>
      <c r="V8" s="39">
        <v>1</v>
      </c>
      <c r="W8" s="38">
        <v>159</v>
      </c>
      <c r="X8" s="39">
        <v>4</v>
      </c>
      <c r="Y8" s="38">
        <v>2210</v>
      </c>
      <c r="Z8" s="39">
        <v>4</v>
      </c>
      <c r="AA8" s="38">
        <v>2158.6</v>
      </c>
      <c r="AB8" s="39">
        <v>6</v>
      </c>
      <c r="AC8" s="38">
        <v>2127.1</v>
      </c>
      <c r="AD8" s="39">
        <v>3</v>
      </c>
      <c r="AE8" s="38">
        <v>795.8</v>
      </c>
      <c r="AF8" s="39">
        <v>4</v>
      </c>
      <c r="AG8" s="41">
        <v>2413.8000000000002</v>
      </c>
      <c r="AH8" s="42">
        <v>2</v>
      </c>
      <c r="AI8" s="38">
        <v>1000</v>
      </c>
      <c r="AJ8" s="39">
        <v>6</v>
      </c>
      <c r="AK8" s="38">
        <v>1975.8</v>
      </c>
      <c r="AL8" s="39">
        <v>4</v>
      </c>
      <c r="AM8" s="38">
        <v>1866.5</v>
      </c>
      <c r="AN8" s="39">
        <v>4</v>
      </c>
      <c r="AO8" s="38">
        <v>1080.8</v>
      </c>
      <c r="AP8" s="39">
        <v>0</v>
      </c>
      <c r="AQ8" s="38">
        <v>0</v>
      </c>
      <c r="AR8" s="39">
        <v>4</v>
      </c>
      <c r="AS8" s="38">
        <v>1505.8</v>
      </c>
      <c r="AT8" s="39">
        <v>2</v>
      </c>
      <c r="AU8" s="38">
        <v>560</v>
      </c>
      <c r="AV8" s="39">
        <v>3</v>
      </c>
      <c r="AW8" s="38">
        <v>2723.1</v>
      </c>
      <c r="AX8" s="39">
        <v>6</v>
      </c>
      <c r="AY8" s="38">
        <v>3095.6</v>
      </c>
      <c r="AZ8" s="39">
        <v>4</v>
      </c>
      <c r="BA8" s="38">
        <v>2078.1999999999998</v>
      </c>
      <c r="BB8" s="39">
        <v>5</v>
      </c>
      <c r="BC8" s="38">
        <v>2115.3000000000002</v>
      </c>
      <c r="BD8" s="39">
        <v>8</v>
      </c>
      <c r="BE8" s="38">
        <v>3881.4</v>
      </c>
      <c r="BF8" s="39">
        <v>2</v>
      </c>
      <c r="BG8" s="38">
        <v>600</v>
      </c>
      <c r="BH8" s="39">
        <v>2</v>
      </c>
      <c r="BI8" s="38">
        <v>694.9</v>
      </c>
      <c r="BJ8" s="39">
        <v>1</v>
      </c>
      <c r="BK8" s="38">
        <v>357.3</v>
      </c>
      <c r="BL8" s="39">
        <v>2</v>
      </c>
      <c r="BM8" s="43">
        <v>1000</v>
      </c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</row>
    <row r="9" spans="1:98" x14ac:dyDescent="0.25">
      <c r="B9" s="3" t="s">
        <v>18</v>
      </c>
      <c r="C9" s="11" t="s">
        <v>9</v>
      </c>
      <c r="D9" s="37">
        <v>0</v>
      </c>
      <c r="E9" s="38">
        <v>0</v>
      </c>
      <c r="F9" s="39">
        <v>2</v>
      </c>
      <c r="G9" s="38">
        <v>687.5</v>
      </c>
      <c r="H9" s="39">
        <v>1</v>
      </c>
      <c r="I9" s="38">
        <v>186.4</v>
      </c>
      <c r="J9" s="40">
        <v>1</v>
      </c>
      <c r="K9" s="38">
        <v>643.4</v>
      </c>
      <c r="L9" s="39">
        <v>3</v>
      </c>
      <c r="M9" s="38">
        <v>1643.6</v>
      </c>
      <c r="N9" s="39">
        <v>1</v>
      </c>
      <c r="O9" s="38">
        <v>224.5</v>
      </c>
      <c r="P9" s="39">
        <v>0</v>
      </c>
      <c r="Q9" s="38">
        <v>0</v>
      </c>
      <c r="R9" s="39">
        <v>1</v>
      </c>
      <c r="S9" s="38">
        <v>100</v>
      </c>
      <c r="T9" s="39">
        <v>0</v>
      </c>
      <c r="U9" s="38">
        <v>0</v>
      </c>
      <c r="V9" s="39">
        <v>2</v>
      </c>
      <c r="W9" s="38">
        <v>617</v>
      </c>
      <c r="X9" s="39">
        <v>1</v>
      </c>
      <c r="Y9" s="38">
        <v>241.3</v>
      </c>
      <c r="Z9" s="39">
        <v>1</v>
      </c>
      <c r="AA9" s="38">
        <v>500</v>
      </c>
      <c r="AB9" s="39">
        <v>2</v>
      </c>
      <c r="AC9" s="38">
        <v>712.7</v>
      </c>
      <c r="AD9" s="39">
        <v>2</v>
      </c>
      <c r="AE9" s="38">
        <v>778.9</v>
      </c>
      <c r="AF9" s="39">
        <v>2</v>
      </c>
      <c r="AG9" s="41">
        <v>733.5</v>
      </c>
      <c r="AH9" s="42">
        <v>1</v>
      </c>
      <c r="AI9" s="38">
        <v>143.4</v>
      </c>
      <c r="AJ9" s="39">
        <v>3</v>
      </c>
      <c r="AK9" s="38">
        <v>1792</v>
      </c>
      <c r="AL9" s="39">
        <v>3</v>
      </c>
      <c r="AM9" s="38">
        <v>336.4</v>
      </c>
      <c r="AN9" s="39">
        <v>0</v>
      </c>
      <c r="AO9" s="38">
        <v>0</v>
      </c>
      <c r="AP9" s="39">
        <v>0</v>
      </c>
      <c r="AQ9" s="38">
        <v>0</v>
      </c>
      <c r="AR9" s="39">
        <v>0</v>
      </c>
      <c r="AS9" s="38">
        <v>0</v>
      </c>
      <c r="AT9" s="39">
        <v>0</v>
      </c>
      <c r="AU9" s="38">
        <v>0</v>
      </c>
      <c r="AV9" s="39">
        <v>3</v>
      </c>
      <c r="AW9" s="38">
        <v>1153.5</v>
      </c>
      <c r="AX9" s="39">
        <v>2</v>
      </c>
      <c r="AY9" s="38">
        <v>640</v>
      </c>
      <c r="AZ9" s="39">
        <v>2</v>
      </c>
      <c r="BA9" s="38">
        <v>225.2</v>
      </c>
      <c r="BB9" s="39">
        <v>1</v>
      </c>
      <c r="BC9" s="38">
        <v>367.2</v>
      </c>
      <c r="BD9" s="39">
        <v>4</v>
      </c>
      <c r="BE9" s="38">
        <v>1353.3</v>
      </c>
      <c r="BF9" s="39">
        <v>0</v>
      </c>
      <c r="BG9" s="38">
        <v>0</v>
      </c>
      <c r="BH9" s="39">
        <v>2</v>
      </c>
      <c r="BI9" s="38">
        <v>600</v>
      </c>
      <c r="BJ9" s="39">
        <v>3</v>
      </c>
      <c r="BK9" s="38">
        <v>818.3</v>
      </c>
      <c r="BL9" s="39">
        <v>3</v>
      </c>
      <c r="BM9" s="43">
        <v>788.4</v>
      </c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</row>
    <row r="10" spans="1:98" x14ac:dyDescent="0.25">
      <c r="B10" s="3" t="s">
        <v>11</v>
      </c>
      <c r="C10" s="11" t="s">
        <v>9</v>
      </c>
      <c r="D10" s="37">
        <v>3</v>
      </c>
      <c r="E10" s="38">
        <v>2077.3000000000002</v>
      </c>
      <c r="F10" s="39">
        <v>2</v>
      </c>
      <c r="G10" s="38">
        <v>1500</v>
      </c>
      <c r="H10" s="39">
        <v>4</v>
      </c>
      <c r="I10" s="38">
        <v>1722.8</v>
      </c>
      <c r="J10" s="40">
        <v>0</v>
      </c>
      <c r="K10" s="38">
        <v>0</v>
      </c>
      <c r="L10" s="39">
        <v>1</v>
      </c>
      <c r="M10" s="38">
        <v>608.5</v>
      </c>
      <c r="N10" s="39">
        <v>7</v>
      </c>
      <c r="O10" s="38">
        <v>3542.4</v>
      </c>
      <c r="P10" s="39">
        <v>0</v>
      </c>
      <c r="Q10" s="38">
        <v>0</v>
      </c>
      <c r="R10" s="39">
        <v>5</v>
      </c>
      <c r="S10" s="38">
        <v>1653.7</v>
      </c>
      <c r="T10" s="39">
        <v>2</v>
      </c>
      <c r="U10" s="38">
        <v>722.9</v>
      </c>
      <c r="V10" s="39">
        <v>3</v>
      </c>
      <c r="W10" s="38">
        <v>1409.6</v>
      </c>
      <c r="X10" s="39">
        <v>3</v>
      </c>
      <c r="Y10" s="38">
        <v>1219.0999999999999</v>
      </c>
      <c r="Z10" s="39">
        <v>2</v>
      </c>
      <c r="AA10" s="38">
        <v>1359.1</v>
      </c>
      <c r="AB10" s="39">
        <v>2</v>
      </c>
      <c r="AC10" s="38">
        <v>961.3</v>
      </c>
      <c r="AD10" s="39">
        <v>1</v>
      </c>
      <c r="AE10" s="38">
        <v>800</v>
      </c>
      <c r="AF10" s="39">
        <v>2</v>
      </c>
      <c r="AG10" s="41">
        <v>969.6</v>
      </c>
      <c r="AH10" s="42">
        <v>0</v>
      </c>
      <c r="AI10" s="38">
        <v>0</v>
      </c>
      <c r="AJ10" s="39">
        <v>4</v>
      </c>
      <c r="AK10" s="38">
        <v>1914.1</v>
      </c>
      <c r="AL10" s="39">
        <v>0</v>
      </c>
      <c r="AM10" s="38">
        <v>0</v>
      </c>
      <c r="AN10" s="39">
        <v>6</v>
      </c>
      <c r="AO10" s="38">
        <v>3621.6</v>
      </c>
      <c r="AP10" s="39">
        <v>0</v>
      </c>
      <c r="AQ10" s="38">
        <v>0</v>
      </c>
      <c r="AR10" s="39">
        <v>0</v>
      </c>
      <c r="AS10" s="38">
        <v>0</v>
      </c>
      <c r="AT10" s="39">
        <v>0</v>
      </c>
      <c r="AU10" s="38">
        <v>0</v>
      </c>
      <c r="AV10" s="39">
        <v>4</v>
      </c>
      <c r="AW10" s="38">
        <v>1299.5999999999999</v>
      </c>
      <c r="AX10" s="39">
        <v>2</v>
      </c>
      <c r="AY10" s="38">
        <v>1416.4</v>
      </c>
      <c r="AZ10" s="39">
        <v>3</v>
      </c>
      <c r="BA10" s="38">
        <v>1170.7</v>
      </c>
      <c r="BB10" s="39">
        <v>1</v>
      </c>
      <c r="BC10" s="38">
        <v>230.3</v>
      </c>
      <c r="BD10" s="39">
        <v>5</v>
      </c>
      <c r="BE10" s="38">
        <v>2339.1999999999998</v>
      </c>
      <c r="BF10" s="39">
        <v>1</v>
      </c>
      <c r="BG10" s="38">
        <v>100</v>
      </c>
      <c r="BH10" s="39">
        <v>2</v>
      </c>
      <c r="BI10" s="4">
        <v>685.9</v>
      </c>
      <c r="BJ10" s="12">
        <v>0</v>
      </c>
      <c r="BK10" s="38">
        <v>0</v>
      </c>
      <c r="BL10" s="39">
        <v>5</v>
      </c>
      <c r="BM10" s="43">
        <v>2182.1999999999998</v>
      </c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</row>
    <row r="11" spans="1:98" x14ac:dyDescent="0.25">
      <c r="B11" s="3" t="s">
        <v>19</v>
      </c>
      <c r="C11" s="11" t="s">
        <v>9</v>
      </c>
      <c r="D11" s="37">
        <v>3</v>
      </c>
      <c r="E11" s="38">
        <v>2445.8000000000002</v>
      </c>
      <c r="F11" s="39">
        <v>1</v>
      </c>
      <c r="G11" s="38">
        <v>500</v>
      </c>
      <c r="H11" s="39">
        <v>4</v>
      </c>
      <c r="I11" s="38">
        <v>2083.3000000000002</v>
      </c>
      <c r="J11" s="40">
        <v>2</v>
      </c>
      <c r="K11" s="38">
        <v>1191.5999999999999</v>
      </c>
      <c r="L11" s="39">
        <v>2</v>
      </c>
      <c r="M11" s="38">
        <v>632</v>
      </c>
      <c r="N11" s="39">
        <v>3</v>
      </c>
      <c r="O11" s="38">
        <v>554.6</v>
      </c>
      <c r="P11" s="39">
        <v>2</v>
      </c>
      <c r="Q11" s="38">
        <v>1000</v>
      </c>
      <c r="R11" s="39">
        <v>3</v>
      </c>
      <c r="S11" s="38">
        <v>1245.0999999999999</v>
      </c>
      <c r="T11" s="39">
        <v>1</v>
      </c>
      <c r="U11" s="38">
        <v>527.20000000000005</v>
      </c>
      <c r="V11" s="39">
        <v>3</v>
      </c>
      <c r="W11" s="38">
        <v>1118.0999999999999</v>
      </c>
      <c r="X11" s="39">
        <v>3</v>
      </c>
      <c r="Y11" s="38">
        <v>1287.0999999999999</v>
      </c>
      <c r="Z11" s="39">
        <v>1</v>
      </c>
      <c r="AA11" s="38">
        <v>500</v>
      </c>
      <c r="AB11" s="39">
        <v>1</v>
      </c>
      <c r="AC11" s="38">
        <v>500</v>
      </c>
      <c r="AD11" s="39">
        <v>0</v>
      </c>
      <c r="AE11" s="38">
        <v>0</v>
      </c>
      <c r="AF11" s="39">
        <v>2</v>
      </c>
      <c r="AG11" s="41">
        <v>966</v>
      </c>
      <c r="AH11" s="42">
        <v>0</v>
      </c>
      <c r="AI11" s="38">
        <v>0</v>
      </c>
      <c r="AJ11" s="39">
        <v>2</v>
      </c>
      <c r="AK11" s="38">
        <v>1000</v>
      </c>
      <c r="AL11" s="39">
        <v>1</v>
      </c>
      <c r="AM11" s="38">
        <v>203.2</v>
      </c>
      <c r="AN11" s="39">
        <v>2</v>
      </c>
      <c r="AO11" s="38">
        <v>1000</v>
      </c>
      <c r="AP11" s="39">
        <v>0</v>
      </c>
      <c r="AQ11" s="38">
        <v>0</v>
      </c>
      <c r="AR11" s="39">
        <v>2</v>
      </c>
      <c r="AS11" s="38">
        <v>1224.8</v>
      </c>
      <c r="AT11" s="39">
        <v>2</v>
      </c>
      <c r="AU11" s="38">
        <v>1201.9000000000001</v>
      </c>
      <c r="AV11" s="39">
        <v>0</v>
      </c>
      <c r="AW11" s="38">
        <v>0</v>
      </c>
      <c r="AX11" s="39">
        <v>2</v>
      </c>
      <c r="AY11" s="38">
        <v>616</v>
      </c>
      <c r="AZ11" s="39">
        <v>0</v>
      </c>
      <c r="BA11" s="38">
        <v>0</v>
      </c>
      <c r="BB11" s="39">
        <v>2</v>
      </c>
      <c r="BC11" s="38">
        <v>1440.1</v>
      </c>
      <c r="BD11" s="39">
        <v>0</v>
      </c>
      <c r="BE11" s="38">
        <v>0</v>
      </c>
      <c r="BF11" s="39">
        <v>1</v>
      </c>
      <c r="BG11" s="38">
        <v>500</v>
      </c>
      <c r="BH11" s="39">
        <v>3</v>
      </c>
      <c r="BI11" s="38">
        <v>2268.3000000000002</v>
      </c>
      <c r="BJ11" s="39">
        <v>2</v>
      </c>
      <c r="BK11" s="4">
        <v>1602.3</v>
      </c>
      <c r="BL11" s="12">
        <v>3</v>
      </c>
      <c r="BM11" s="43">
        <v>1218.3</v>
      </c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</row>
    <row r="12" spans="1:98" x14ac:dyDescent="0.25">
      <c r="B12" s="3" t="s">
        <v>69</v>
      </c>
      <c r="C12" s="11" t="s">
        <v>9</v>
      </c>
      <c r="D12" s="37">
        <v>4</v>
      </c>
      <c r="E12" s="38">
        <v>1565.6</v>
      </c>
      <c r="F12" s="39">
        <v>4</v>
      </c>
      <c r="G12" s="38">
        <v>1979.5</v>
      </c>
      <c r="H12" s="39">
        <v>10</v>
      </c>
      <c r="I12" s="38">
        <v>5982.5</v>
      </c>
      <c r="J12" s="40">
        <v>3</v>
      </c>
      <c r="K12" s="38">
        <v>1756.1</v>
      </c>
      <c r="L12" s="39">
        <v>5</v>
      </c>
      <c r="M12" s="38">
        <v>3216.9</v>
      </c>
      <c r="N12" s="39">
        <v>2</v>
      </c>
      <c r="O12" s="38">
        <v>410.3</v>
      </c>
      <c r="P12" s="39">
        <v>4</v>
      </c>
      <c r="Q12" s="38">
        <v>1305.4000000000001</v>
      </c>
      <c r="R12" s="39">
        <v>6</v>
      </c>
      <c r="S12" s="38">
        <v>3265.9</v>
      </c>
      <c r="T12" s="39">
        <v>4</v>
      </c>
      <c r="U12" s="38">
        <v>1342.8</v>
      </c>
      <c r="V12" s="39">
        <v>7</v>
      </c>
      <c r="W12" s="38">
        <v>3499.7</v>
      </c>
      <c r="X12" s="39">
        <v>5</v>
      </c>
      <c r="Y12" s="38">
        <v>1566.8</v>
      </c>
      <c r="Z12" s="39">
        <v>8</v>
      </c>
      <c r="AA12" s="38">
        <v>4512.8999999999996</v>
      </c>
      <c r="AB12" s="39">
        <v>6</v>
      </c>
      <c r="AC12" s="38">
        <v>2486.8000000000002</v>
      </c>
      <c r="AD12" s="39">
        <v>4</v>
      </c>
      <c r="AE12" s="38">
        <v>1574.6</v>
      </c>
      <c r="AF12" s="39">
        <v>6</v>
      </c>
      <c r="AG12" s="41">
        <v>2660.4</v>
      </c>
      <c r="AH12" s="42">
        <v>3</v>
      </c>
      <c r="AI12" s="38">
        <v>1500</v>
      </c>
      <c r="AJ12" s="39">
        <v>13</v>
      </c>
      <c r="AK12" s="38">
        <v>7069.8</v>
      </c>
      <c r="AL12" s="39">
        <v>7</v>
      </c>
      <c r="AM12" s="38">
        <v>4554.8</v>
      </c>
      <c r="AN12" s="39">
        <v>4</v>
      </c>
      <c r="AO12" s="38">
        <v>2357.5</v>
      </c>
      <c r="AP12" s="39">
        <v>0</v>
      </c>
      <c r="AQ12" s="38">
        <v>0</v>
      </c>
      <c r="AR12" s="39">
        <v>5</v>
      </c>
      <c r="AS12" s="38">
        <v>1855.3</v>
      </c>
      <c r="AT12" s="39">
        <v>3</v>
      </c>
      <c r="AU12" s="38">
        <v>1638.7</v>
      </c>
      <c r="AV12" s="39">
        <v>4</v>
      </c>
      <c r="AW12" s="38">
        <v>1240.7</v>
      </c>
      <c r="AX12" s="39">
        <v>8</v>
      </c>
      <c r="AY12" s="38">
        <v>4379</v>
      </c>
      <c r="AZ12" s="39">
        <v>5</v>
      </c>
      <c r="BA12" s="38">
        <v>2559.5</v>
      </c>
      <c r="BB12" s="39">
        <v>5</v>
      </c>
      <c r="BC12" s="38">
        <v>3941.5</v>
      </c>
      <c r="BD12" s="39">
        <v>5</v>
      </c>
      <c r="BE12" s="38">
        <v>2339.4</v>
      </c>
      <c r="BF12" s="39">
        <v>2</v>
      </c>
      <c r="BG12" s="38">
        <v>1000</v>
      </c>
      <c r="BH12" s="39">
        <v>4</v>
      </c>
      <c r="BI12" s="38">
        <v>1593.9</v>
      </c>
      <c r="BJ12" s="39">
        <v>3</v>
      </c>
      <c r="BK12" s="4">
        <v>1059.2</v>
      </c>
      <c r="BL12" s="12">
        <v>17</v>
      </c>
      <c r="BM12" s="43">
        <v>9330.7999999999993</v>
      </c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</row>
    <row r="13" spans="1:98" x14ac:dyDescent="0.25">
      <c r="B13" s="3" t="s">
        <v>13</v>
      </c>
      <c r="C13" s="11" t="s">
        <v>9</v>
      </c>
      <c r="D13" s="37">
        <v>4</v>
      </c>
      <c r="E13" s="38">
        <v>2979.3</v>
      </c>
      <c r="F13" s="39">
        <v>6</v>
      </c>
      <c r="G13" s="38">
        <v>2289.1</v>
      </c>
      <c r="H13" s="39">
        <v>17</v>
      </c>
      <c r="I13" s="38">
        <v>7752.3</v>
      </c>
      <c r="J13" s="40">
        <v>4</v>
      </c>
      <c r="K13" s="38">
        <v>1138</v>
      </c>
      <c r="L13" s="39">
        <v>12</v>
      </c>
      <c r="M13" s="38">
        <v>7707.2</v>
      </c>
      <c r="N13" s="39">
        <v>14</v>
      </c>
      <c r="O13" s="38">
        <v>7911.7</v>
      </c>
      <c r="P13" s="39">
        <v>9</v>
      </c>
      <c r="Q13" s="38">
        <v>4802.5</v>
      </c>
      <c r="R13" s="39">
        <v>5</v>
      </c>
      <c r="S13" s="38">
        <v>2074.3000000000002</v>
      </c>
      <c r="T13" s="39">
        <v>5</v>
      </c>
      <c r="U13" s="38">
        <v>1707.4</v>
      </c>
      <c r="V13" s="39">
        <v>8</v>
      </c>
      <c r="W13" s="38">
        <v>4178.3999999999996</v>
      </c>
      <c r="X13" s="39">
        <v>8</v>
      </c>
      <c r="Y13" s="38">
        <v>4869.8999999999996</v>
      </c>
      <c r="Z13" s="39">
        <v>9</v>
      </c>
      <c r="AA13" s="38">
        <v>5410.5</v>
      </c>
      <c r="AB13" s="39">
        <v>6</v>
      </c>
      <c r="AC13" s="38">
        <v>1269.4000000000001</v>
      </c>
      <c r="AD13" s="39">
        <v>4</v>
      </c>
      <c r="AE13" s="38">
        <v>1702.1</v>
      </c>
      <c r="AF13" s="39">
        <v>9</v>
      </c>
      <c r="AG13" s="41">
        <v>4847.7</v>
      </c>
      <c r="AH13" s="42">
        <v>4</v>
      </c>
      <c r="AI13" s="38">
        <v>1201</v>
      </c>
      <c r="AJ13" s="39">
        <v>11</v>
      </c>
      <c r="AK13" s="38">
        <v>4531.2</v>
      </c>
      <c r="AL13" s="39">
        <v>10</v>
      </c>
      <c r="AM13" s="38">
        <v>6129</v>
      </c>
      <c r="AN13" s="39">
        <v>10</v>
      </c>
      <c r="AO13" s="38">
        <v>6476.4</v>
      </c>
      <c r="AP13" s="39">
        <v>0</v>
      </c>
      <c r="AQ13" s="38">
        <v>0</v>
      </c>
      <c r="AR13" s="39">
        <v>7</v>
      </c>
      <c r="AS13" s="38">
        <v>3180.8</v>
      </c>
      <c r="AT13" s="39">
        <v>6</v>
      </c>
      <c r="AU13" s="38">
        <v>3110.2</v>
      </c>
      <c r="AV13" s="39">
        <v>7</v>
      </c>
      <c r="AW13" s="38">
        <v>2901.5</v>
      </c>
      <c r="AX13" s="39">
        <v>15</v>
      </c>
      <c r="AY13" s="38">
        <v>7080</v>
      </c>
      <c r="AZ13" s="39">
        <v>9</v>
      </c>
      <c r="BA13" s="38">
        <v>5014.6000000000004</v>
      </c>
      <c r="BB13" s="39">
        <v>10</v>
      </c>
      <c r="BC13" s="38">
        <v>3868.6</v>
      </c>
      <c r="BD13" s="39">
        <v>17</v>
      </c>
      <c r="BE13" s="38">
        <v>7663.8</v>
      </c>
      <c r="BF13" s="39">
        <v>4</v>
      </c>
      <c r="BG13" s="38">
        <v>1322.6</v>
      </c>
      <c r="BH13" s="39">
        <v>5</v>
      </c>
      <c r="BI13" s="38">
        <v>3282.2</v>
      </c>
      <c r="BJ13" s="39">
        <v>6</v>
      </c>
      <c r="BK13" s="4">
        <v>1998.6</v>
      </c>
      <c r="BL13" s="12">
        <v>13</v>
      </c>
      <c r="BM13" s="43">
        <v>4983.2</v>
      </c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</row>
    <row r="14" spans="1:98" x14ac:dyDescent="0.25">
      <c r="B14" s="3" t="s">
        <v>20</v>
      </c>
      <c r="C14" s="11" t="s">
        <v>9</v>
      </c>
      <c r="D14" s="37">
        <v>15</v>
      </c>
      <c r="E14" s="38">
        <v>6312.6</v>
      </c>
      <c r="F14" s="39">
        <v>10</v>
      </c>
      <c r="G14" s="38">
        <v>3412.1</v>
      </c>
      <c r="H14" s="39">
        <v>19</v>
      </c>
      <c r="I14" s="38">
        <v>7589.1</v>
      </c>
      <c r="J14" s="40">
        <v>14</v>
      </c>
      <c r="K14" s="38">
        <v>7761.3</v>
      </c>
      <c r="L14" s="39">
        <v>11</v>
      </c>
      <c r="M14" s="38">
        <v>3557</v>
      </c>
      <c r="N14" s="39">
        <v>8</v>
      </c>
      <c r="O14" s="38">
        <v>3728.5</v>
      </c>
      <c r="P14" s="39">
        <v>11</v>
      </c>
      <c r="Q14" s="38">
        <v>3888.1</v>
      </c>
      <c r="R14" s="39">
        <v>14</v>
      </c>
      <c r="S14" s="38">
        <v>5934.5</v>
      </c>
      <c r="T14" s="39">
        <v>10</v>
      </c>
      <c r="U14" s="38">
        <v>4071.3</v>
      </c>
      <c r="V14" s="39">
        <v>20</v>
      </c>
      <c r="W14" s="38">
        <v>10187.5</v>
      </c>
      <c r="X14" s="39">
        <v>16</v>
      </c>
      <c r="Y14" s="38">
        <v>7635.3</v>
      </c>
      <c r="Z14" s="39">
        <v>15</v>
      </c>
      <c r="AA14" s="38">
        <v>5724.5</v>
      </c>
      <c r="AB14" s="39">
        <v>13</v>
      </c>
      <c r="AC14" s="38">
        <v>7400.7</v>
      </c>
      <c r="AD14" s="39">
        <v>17</v>
      </c>
      <c r="AE14" s="38">
        <v>6933</v>
      </c>
      <c r="AF14" s="39">
        <v>11</v>
      </c>
      <c r="AG14" s="41">
        <v>4254.1000000000004</v>
      </c>
      <c r="AH14" s="42">
        <v>10</v>
      </c>
      <c r="AI14" s="38">
        <v>4533.3</v>
      </c>
      <c r="AJ14" s="39">
        <v>25</v>
      </c>
      <c r="AK14" s="38">
        <v>9834.6</v>
      </c>
      <c r="AL14" s="39">
        <v>14</v>
      </c>
      <c r="AM14" s="38">
        <v>8007.2</v>
      </c>
      <c r="AN14" s="39">
        <v>13</v>
      </c>
      <c r="AO14" s="38">
        <v>3986.9</v>
      </c>
      <c r="AP14" s="39">
        <v>0</v>
      </c>
      <c r="AQ14" s="38">
        <v>0</v>
      </c>
      <c r="AR14" s="39">
        <v>14</v>
      </c>
      <c r="AS14" s="38">
        <v>7313.8</v>
      </c>
      <c r="AT14" s="39">
        <v>10</v>
      </c>
      <c r="AU14" s="38">
        <v>3984.4</v>
      </c>
      <c r="AV14" s="39">
        <v>7</v>
      </c>
      <c r="AW14" s="38">
        <v>2272.6999999999998</v>
      </c>
      <c r="AX14" s="39">
        <v>15</v>
      </c>
      <c r="AY14" s="38">
        <v>6177.6</v>
      </c>
      <c r="AZ14" s="39">
        <v>13</v>
      </c>
      <c r="BA14" s="38">
        <v>6050.9</v>
      </c>
      <c r="BB14" s="39">
        <v>22</v>
      </c>
      <c r="BC14" s="38">
        <v>9258.7999999999993</v>
      </c>
      <c r="BD14" s="39">
        <v>17</v>
      </c>
      <c r="BE14" s="38">
        <v>5265.5</v>
      </c>
      <c r="BF14" s="39">
        <v>6</v>
      </c>
      <c r="BG14" s="38">
        <v>2803</v>
      </c>
      <c r="BH14" s="39">
        <v>14</v>
      </c>
      <c r="BI14" s="38">
        <v>6561.6</v>
      </c>
      <c r="BJ14" s="39">
        <v>12</v>
      </c>
      <c r="BK14" s="4">
        <v>5462.9</v>
      </c>
      <c r="BL14" s="12">
        <v>16</v>
      </c>
      <c r="BM14" s="43">
        <v>6964</v>
      </c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</row>
    <row r="15" spans="1:98" x14ac:dyDescent="0.25">
      <c r="B15" s="3" t="s">
        <v>7</v>
      </c>
      <c r="C15" s="11" t="s">
        <v>9</v>
      </c>
      <c r="D15" s="37">
        <v>25</v>
      </c>
      <c r="E15" s="38">
        <v>11437.6</v>
      </c>
      <c r="F15" s="39">
        <v>16</v>
      </c>
      <c r="G15" s="38">
        <v>6086.7</v>
      </c>
      <c r="H15" s="39">
        <v>30</v>
      </c>
      <c r="I15" s="38">
        <v>10746.2</v>
      </c>
      <c r="J15" s="40">
        <v>26</v>
      </c>
      <c r="K15" s="38">
        <v>12167.7</v>
      </c>
      <c r="L15" s="39">
        <v>29</v>
      </c>
      <c r="M15" s="38">
        <v>10814.8</v>
      </c>
      <c r="N15" s="39">
        <v>23</v>
      </c>
      <c r="O15" s="38">
        <v>8960.1</v>
      </c>
      <c r="P15" s="39">
        <v>23</v>
      </c>
      <c r="Q15" s="38">
        <v>9908.5</v>
      </c>
      <c r="R15" s="39">
        <v>24</v>
      </c>
      <c r="S15" s="38">
        <v>8939.7999999999993</v>
      </c>
      <c r="T15" s="39">
        <v>22</v>
      </c>
      <c r="U15" s="38">
        <v>11602.1</v>
      </c>
      <c r="V15" s="39">
        <v>35</v>
      </c>
      <c r="W15" s="38">
        <v>17153.099999999999</v>
      </c>
      <c r="X15" s="39">
        <v>29</v>
      </c>
      <c r="Y15" s="38">
        <v>13716.3</v>
      </c>
      <c r="Z15" s="39">
        <v>27</v>
      </c>
      <c r="AA15" s="38">
        <v>13894.5</v>
      </c>
      <c r="AB15" s="39">
        <v>21</v>
      </c>
      <c r="AC15" s="38">
        <v>9970.1</v>
      </c>
      <c r="AD15" s="39">
        <v>26</v>
      </c>
      <c r="AE15" s="38">
        <v>10989.4</v>
      </c>
      <c r="AF15" s="39">
        <v>29</v>
      </c>
      <c r="AG15" s="41">
        <v>12477.1</v>
      </c>
      <c r="AH15" s="42">
        <v>23</v>
      </c>
      <c r="AI15" s="38">
        <v>9684.4</v>
      </c>
      <c r="AJ15" s="39">
        <v>29</v>
      </c>
      <c r="AK15" s="38">
        <v>13370.6</v>
      </c>
      <c r="AL15" s="39">
        <v>27</v>
      </c>
      <c r="AM15" s="38">
        <v>11279.5</v>
      </c>
      <c r="AN15" s="39">
        <v>41</v>
      </c>
      <c r="AO15" s="38">
        <v>21022.5</v>
      </c>
      <c r="AP15" s="39">
        <v>0</v>
      </c>
      <c r="AQ15" s="38">
        <v>0</v>
      </c>
      <c r="AR15" s="39">
        <v>20</v>
      </c>
      <c r="AS15" s="38">
        <v>9264.7999999999993</v>
      </c>
      <c r="AT15" s="39">
        <v>15</v>
      </c>
      <c r="AU15" s="38">
        <v>9320.4</v>
      </c>
      <c r="AV15" s="39">
        <v>17</v>
      </c>
      <c r="AW15" s="38">
        <v>8390.4</v>
      </c>
      <c r="AX15" s="39">
        <v>39</v>
      </c>
      <c r="AY15" s="38">
        <v>17450.5</v>
      </c>
      <c r="AZ15" s="39">
        <v>23</v>
      </c>
      <c r="BA15" s="38">
        <v>13272.9</v>
      </c>
      <c r="BB15" s="39">
        <v>27</v>
      </c>
      <c r="BC15" s="38">
        <v>13334.7</v>
      </c>
      <c r="BD15" s="39">
        <v>28</v>
      </c>
      <c r="BE15" s="38">
        <v>11191.1</v>
      </c>
      <c r="BF15" s="39">
        <v>23</v>
      </c>
      <c r="BG15" s="38">
        <v>10777.2</v>
      </c>
      <c r="BH15" s="39">
        <v>16</v>
      </c>
      <c r="BI15" s="38">
        <v>10671.5</v>
      </c>
      <c r="BJ15" s="39">
        <v>28</v>
      </c>
      <c r="BK15" s="4">
        <v>10362.1</v>
      </c>
      <c r="BL15" s="12">
        <v>34</v>
      </c>
      <c r="BM15" s="43">
        <v>17325.3</v>
      </c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</row>
    <row r="16" spans="1:98" x14ac:dyDescent="0.25">
      <c r="B16" s="3" t="s">
        <v>14</v>
      </c>
      <c r="C16" s="11" t="s">
        <v>9</v>
      </c>
      <c r="D16" s="37">
        <v>9</v>
      </c>
      <c r="E16" s="38">
        <v>4840.3999999999996</v>
      </c>
      <c r="F16" s="39">
        <v>10</v>
      </c>
      <c r="G16" s="38">
        <v>4154.1000000000004</v>
      </c>
      <c r="H16" s="39">
        <v>20</v>
      </c>
      <c r="I16" s="38">
        <v>9995.2000000000007</v>
      </c>
      <c r="J16" s="40">
        <v>11</v>
      </c>
      <c r="K16" s="38">
        <v>6536.3</v>
      </c>
      <c r="L16" s="39">
        <v>9</v>
      </c>
      <c r="M16" s="38">
        <v>4870.3</v>
      </c>
      <c r="N16" s="39">
        <v>15</v>
      </c>
      <c r="O16" s="38">
        <v>6172.6</v>
      </c>
      <c r="P16" s="39">
        <v>11</v>
      </c>
      <c r="Q16" s="38">
        <v>4719.6000000000004</v>
      </c>
      <c r="R16" s="39">
        <v>6</v>
      </c>
      <c r="S16" s="38">
        <v>4624.6000000000004</v>
      </c>
      <c r="T16" s="39">
        <v>15</v>
      </c>
      <c r="U16" s="38">
        <v>6400.7</v>
      </c>
      <c r="V16" s="39">
        <v>12</v>
      </c>
      <c r="W16" s="38">
        <v>5451.7</v>
      </c>
      <c r="X16" s="39">
        <v>3</v>
      </c>
      <c r="Y16" s="38">
        <v>1271.3</v>
      </c>
      <c r="Z16" s="39">
        <v>5</v>
      </c>
      <c r="AA16" s="38">
        <v>2420.1999999999998</v>
      </c>
      <c r="AB16" s="39">
        <v>17</v>
      </c>
      <c r="AC16" s="38">
        <v>13071.1</v>
      </c>
      <c r="AD16" s="39">
        <v>12</v>
      </c>
      <c r="AE16" s="38">
        <v>6354.6</v>
      </c>
      <c r="AF16" s="39">
        <v>6</v>
      </c>
      <c r="AG16" s="41">
        <v>2122.6999999999998</v>
      </c>
      <c r="AH16" s="42">
        <v>5</v>
      </c>
      <c r="AI16" s="38">
        <v>2197.9</v>
      </c>
      <c r="AJ16" s="39">
        <v>18</v>
      </c>
      <c r="AK16" s="38">
        <v>6853.8</v>
      </c>
      <c r="AL16" s="39">
        <v>6</v>
      </c>
      <c r="AM16" s="38">
        <v>1427.9</v>
      </c>
      <c r="AN16" s="39">
        <v>12</v>
      </c>
      <c r="AO16" s="38">
        <v>6733.5</v>
      </c>
      <c r="AP16" s="39">
        <v>0</v>
      </c>
      <c r="AQ16" s="38">
        <v>0</v>
      </c>
      <c r="AR16" s="39">
        <v>7</v>
      </c>
      <c r="AS16" s="38">
        <v>3426</v>
      </c>
      <c r="AT16" s="39">
        <v>7</v>
      </c>
      <c r="AU16" s="38">
        <v>4760.8</v>
      </c>
      <c r="AV16" s="39">
        <v>7</v>
      </c>
      <c r="AW16" s="38">
        <v>4075</v>
      </c>
      <c r="AX16" s="39">
        <v>12</v>
      </c>
      <c r="AY16" s="38">
        <v>6676.9</v>
      </c>
      <c r="AZ16" s="39">
        <v>6</v>
      </c>
      <c r="BA16" s="38">
        <v>2727.2</v>
      </c>
      <c r="BB16" s="39">
        <v>11</v>
      </c>
      <c r="BC16" s="38">
        <v>7387.8</v>
      </c>
      <c r="BD16" s="39">
        <v>12</v>
      </c>
      <c r="BE16" s="38">
        <v>6849</v>
      </c>
      <c r="BF16" s="39">
        <v>2</v>
      </c>
      <c r="BG16" s="38">
        <v>734</v>
      </c>
      <c r="BH16" s="39">
        <v>8</v>
      </c>
      <c r="BI16" s="38">
        <v>7205.7</v>
      </c>
      <c r="BJ16" s="39">
        <v>9</v>
      </c>
      <c r="BK16" s="4">
        <v>4169.7</v>
      </c>
      <c r="BL16" s="12">
        <v>19</v>
      </c>
      <c r="BM16" s="43">
        <v>8244.2000000000007</v>
      </c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</row>
    <row r="17" spans="1:98" x14ac:dyDescent="0.25">
      <c r="B17" s="3" t="s">
        <v>21</v>
      </c>
      <c r="C17" s="11" t="s">
        <v>9</v>
      </c>
      <c r="D17" s="37">
        <v>5</v>
      </c>
      <c r="E17" s="38">
        <v>2346.8000000000002</v>
      </c>
      <c r="F17" s="39">
        <v>4</v>
      </c>
      <c r="G17" s="38">
        <v>1270.0999999999999</v>
      </c>
      <c r="H17" s="39">
        <v>2</v>
      </c>
      <c r="I17" s="38">
        <v>1185</v>
      </c>
      <c r="J17" s="40">
        <v>3</v>
      </c>
      <c r="K17" s="38">
        <v>1020.3</v>
      </c>
      <c r="L17" s="39">
        <v>3</v>
      </c>
      <c r="M17" s="38">
        <v>1342.1</v>
      </c>
      <c r="N17" s="39">
        <v>6</v>
      </c>
      <c r="O17" s="38">
        <v>2095.8000000000002</v>
      </c>
      <c r="P17" s="39">
        <v>4</v>
      </c>
      <c r="Q17" s="38">
        <v>2208.4</v>
      </c>
      <c r="R17" s="39">
        <v>3</v>
      </c>
      <c r="S17" s="38">
        <v>996.9</v>
      </c>
      <c r="T17" s="39">
        <v>6</v>
      </c>
      <c r="U17" s="38">
        <v>3158.1</v>
      </c>
      <c r="V17" s="39">
        <v>3</v>
      </c>
      <c r="W17" s="38">
        <v>1350.2</v>
      </c>
      <c r="X17" s="39">
        <v>2</v>
      </c>
      <c r="Y17" s="38">
        <v>671.1</v>
      </c>
      <c r="Z17" s="39">
        <v>1</v>
      </c>
      <c r="AA17" s="38">
        <v>98.1</v>
      </c>
      <c r="AB17" s="39">
        <v>6</v>
      </c>
      <c r="AC17" s="38">
        <v>2043.4</v>
      </c>
      <c r="AD17" s="39">
        <v>4</v>
      </c>
      <c r="AE17" s="38">
        <v>2896.8</v>
      </c>
      <c r="AF17" s="39">
        <v>6</v>
      </c>
      <c r="AG17" s="41">
        <v>3587.9</v>
      </c>
      <c r="AH17" s="42">
        <v>4</v>
      </c>
      <c r="AI17" s="38">
        <v>2131</v>
      </c>
      <c r="AJ17" s="39">
        <v>4</v>
      </c>
      <c r="AK17" s="38">
        <v>1296.4000000000001</v>
      </c>
      <c r="AL17" s="39">
        <v>4</v>
      </c>
      <c r="AM17" s="38">
        <v>1766.5</v>
      </c>
      <c r="AN17" s="39">
        <v>4</v>
      </c>
      <c r="AO17" s="38">
        <v>2586</v>
      </c>
      <c r="AP17" s="39">
        <v>0</v>
      </c>
      <c r="AQ17" s="38">
        <v>0</v>
      </c>
      <c r="AR17" s="39">
        <v>1</v>
      </c>
      <c r="AS17" s="38">
        <v>461.4</v>
      </c>
      <c r="AT17" s="39">
        <v>1</v>
      </c>
      <c r="AU17" s="38">
        <v>57.6</v>
      </c>
      <c r="AV17" s="39">
        <v>0</v>
      </c>
      <c r="AW17" s="38">
        <v>0</v>
      </c>
      <c r="AX17" s="39">
        <v>3</v>
      </c>
      <c r="AY17" s="38">
        <v>1618.3</v>
      </c>
      <c r="AZ17" s="39">
        <v>3</v>
      </c>
      <c r="BA17" s="38">
        <v>1158.3</v>
      </c>
      <c r="BB17" s="39">
        <v>1</v>
      </c>
      <c r="BC17" s="38">
        <v>656</v>
      </c>
      <c r="BD17" s="39">
        <v>4</v>
      </c>
      <c r="BE17" s="38">
        <v>689.1</v>
      </c>
      <c r="BF17" s="39">
        <v>2</v>
      </c>
      <c r="BG17" s="38">
        <v>1730.1</v>
      </c>
      <c r="BH17" s="39">
        <v>1</v>
      </c>
      <c r="BI17" s="38">
        <v>174.4</v>
      </c>
      <c r="BJ17" s="39">
        <v>2</v>
      </c>
      <c r="BK17" s="4">
        <v>572.20000000000005</v>
      </c>
      <c r="BL17" s="12">
        <v>4</v>
      </c>
      <c r="BM17" s="43">
        <v>2174.4</v>
      </c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</row>
    <row r="18" spans="1:98" x14ac:dyDescent="0.25">
      <c r="B18" s="3" t="s">
        <v>16</v>
      </c>
      <c r="C18" s="11" t="s">
        <v>9</v>
      </c>
      <c r="D18" s="37">
        <v>19</v>
      </c>
      <c r="E18" s="38">
        <v>10684.1</v>
      </c>
      <c r="F18" s="39">
        <v>31</v>
      </c>
      <c r="G18" s="38">
        <v>11008.7</v>
      </c>
      <c r="H18" s="39">
        <v>38</v>
      </c>
      <c r="I18" s="38">
        <v>18130.5</v>
      </c>
      <c r="J18" s="40">
        <v>32</v>
      </c>
      <c r="K18" s="38">
        <v>17007.900000000001</v>
      </c>
      <c r="L18" s="39">
        <v>37</v>
      </c>
      <c r="M18" s="38">
        <v>17796.599999999999</v>
      </c>
      <c r="N18" s="39">
        <v>28</v>
      </c>
      <c r="O18" s="38">
        <v>10477.5</v>
      </c>
      <c r="P18" s="39">
        <v>23</v>
      </c>
      <c r="Q18" s="38">
        <v>10712.4</v>
      </c>
      <c r="R18" s="39">
        <v>23</v>
      </c>
      <c r="S18" s="38">
        <v>9483.9</v>
      </c>
      <c r="T18" s="39">
        <v>35</v>
      </c>
      <c r="U18" s="38">
        <v>13040.3</v>
      </c>
      <c r="V18" s="39">
        <v>37</v>
      </c>
      <c r="W18" s="38">
        <v>18642.400000000001</v>
      </c>
      <c r="X18" s="39">
        <v>25</v>
      </c>
      <c r="Y18" s="38">
        <v>13784.8</v>
      </c>
      <c r="Z18" s="39">
        <v>39</v>
      </c>
      <c r="AA18" s="38">
        <v>18992.7</v>
      </c>
      <c r="AB18" s="39">
        <v>21</v>
      </c>
      <c r="AC18" s="38">
        <v>8916.2999999999993</v>
      </c>
      <c r="AD18" s="39">
        <v>18</v>
      </c>
      <c r="AE18" s="38">
        <v>8187.3</v>
      </c>
      <c r="AF18" s="39">
        <v>27</v>
      </c>
      <c r="AG18" s="41">
        <v>13528.2</v>
      </c>
      <c r="AH18" s="42">
        <v>43</v>
      </c>
      <c r="AI18" s="38">
        <v>20617.7</v>
      </c>
      <c r="AJ18" s="39">
        <v>48</v>
      </c>
      <c r="AK18" s="38">
        <v>23315.1</v>
      </c>
      <c r="AL18" s="39">
        <v>29</v>
      </c>
      <c r="AM18" s="38">
        <v>14342.9</v>
      </c>
      <c r="AN18" s="39">
        <v>32</v>
      </c>
      <c r="AO18" s="38">
        <v>18066.7</v>
      </c>
      <c r="AP18" s="39">
        <v>0</v>
      </c>
      <c r="AQ18" s="38">
        <v>0</v>
      </c>
      <c r="AR18" s="39">
        <v>23</v>
      </c>
      <c r="AS18" s="38">
        <v>10737.1</v>
      </c>
      <c r="AT18" s="39">
        <v>26</v>
      </c>
      <c r="AU18" s="38">
        <v>14584.3</v>
      </c>
      <c r="AV18" s="39">
        <v>31</v>
      </c>
      <c r="AW18" s="38">
        <v>15833.4</v>
      </c>
      <c r="AX18" s="39">
        <v>44</v>
      </c>
      <c r="AY18" s="38">
        <v>20223.5</v>
      </c>
      <c r="AZ18" s="39">
        <v>31</v>
      </c>
      <c r="BA18" s="38">
        <v>13204.1</v>
      </c>
      <c r="BB18" s="39">
        <v>43</v>
      </c>
      <c r="BC18" s="38">
        <v>21862.2</v>
      </c>
      <c r="BD18" s="39">
        <v>36</v>
      </c>
      <c r="BE18" s="38">
        <v>17266</v>
      </c>
      <c r="BF18" s="39">
        <v>23</v>
      </c>
      <c r="BG18" s="38">
        <v>11851.2</v>
      </c>
      <c r="BH18" s="39">
        <v>21</v>
      </c>
      <c r="BI18" s="38">
        <v>10433.1</v>
      </c>
      <c r="BJ18" s="39">
        <v>18</v>
      </c>
      <c r="BK18" s="4">
        <v>8071.5</v>
      </c>
      <c r="BL18" s="12">
        <v>46</v>
      </c>
      <c r="BM18" s="43">
        <v>25186.5</v>
      </c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</row>
    <row r="19" spans="1:98" x14ac:dyDescent="0.25">
      <c r="B19" s="3" t="s">
        <v>28</v>
      </c>
      <c r="C19" s="11" t="s">
        <v>29</v>
      </c>
      <c r="D19" s="37">
        <v>31</v>
      </c>
      <c r="E19" s="38">
        <v>5297.9</v>
      </c>
      <c r="F19" s="39">
        <v>33</v>
      </c>
      <c r="G19" s="38">
        <v>5682.2</v>
      </c>
      <c r="H19" s="39">
        <v>37</v>
      </c>
      <c r="I19" s="38">
        <v>4539</v>
      </c>
      <c r="J19" s="40">
        <v>37</v>
      </c>
      <c r="K19" s="38">
        <v>5026.3</v>
      </c>
      <c r="L19" s="39">
        <v>28</v>
      </c>
      <c r="M19" s="38">
        <v>4974.6000000000004</v>
      </c>
      <c r="N19" s="39">
        <v>32</v>
      </c>
      <c r="O19" s="38">
        <v>4412.8999999999996</v>
      </c>
      <c r="P19" s="39">
        <v>30</v>
      </c>
      <c r="Q19" s="38">
        <v>4032.3</v>
      </c>
      <c r="R19" s="39">
        <v>35</v>
      </c>
      <c r="S19" s="38">
        <v>5675.8</v>
      </c>
      <c r="T19" s="39">
        <v>30</v>
      </c>
      <c r="U19" s="38">
        <v>4420.6000000000004</v>
      </c>
      <c r="V19" s="39">
        <v>30</v>
      </c>
      <c r="W19" s="38">
        <v>4868.6000000000004</v>
      </c>
      <c r="X19" s="39">
        <v>34</v>
      </c>
      <c r="Y19" s="38">
        <v>4290.5</v>
      </c>
      <c r="Z19" s="39">
        <v>32</v>
      </c>
      <c r="AA19" s="38">
        <v>3672.4</v>
      </c>
      <c r="AB19" s="39">
        <v>30</v>
      </c>
      <c r="AC19" s="38">
        <v>5053.7</v>
      </c>
      <c r="AD19" s="39">
        <v>33</v>
      </c>
      <c r="AE19" s="38">
        <v>5759.3</v>
      </c>
      <c r="AF19" s="39">
        <v>34</v>
      </c>
      <c r="AG19" s="38">
        <v>6810.2</v>
      </c>
      <c r="AH19" s="39">
        <v>34</v>
      </c>
      <c r="AI19" s="38">
        <v>4430.3</v>
      </c>
      <c r="AJ19" s="39">
        <v>37</v>
      </c>
      <c r="AK19" s="38">
        <v>4599.6000000000004</v>
      </c>
      <c r="AL19" s="39">
        <v>38</v>
      </c>
      <c r="AM19" s="38">
        <v>6815.5</v>
      </c>
      <c r="AN19" s="39">
        <v>34</v>
      </c>
      <c r="AO19" s="38">
        <v>4635.3999999999996</v>
      </c>
      <c r="AP19" s="39">
        <v>0</v>
      </c>
      <c r="AQ19" s="38">
        <v>0</v>
      </c>
      <c r="AR19" s="39">
        <v>42</v>
      </c>
      <c r="AS19" s="38">
        <v>5541.7</v>
      </c>
      <c r="AT19" s="39">
        <v>31</v>
      </c>
      <c r="AU19" s="38">
        <v>3562.8</v>
      </c>
      <c r="AV19" s="39">
        <v>35</v>
      </c>
      <c r="AW19" s="38">
        <v>4128.6000000000004</v>
      </c>
      <c r="AX19" s="39">
        <v>39</v>
      </c>
      <c r="AY19" s="38">
        <v>4974.5</v>
      </c>
      <c r="AZ19" s="39">
        <v>35</v>
      </c>
      <c r="BA19" s="38">
        <v>5302</v>
      </c>
      <c r="BB19" s="39">
        <v>35</v>
      </c>
      <c r="BC19" s="38">
        <v>5514.1</v>
      </c>
      <c r="BD19" s="39">
        <v>30</v>
      </c>
      <c r="BE19" s="38">
        <v>4274</v>
      </c>
      <c r="BF19" s="39">
        <v>36</v>
      </c>
      <c r="BG19" s="38">
        <v>4384</v>
      </c>
      <c r="BH19" s="39">
        <v>29</v>
      </c>
      <c r="BI19" s="38">
        <v>3407</v>
      </c>
      <c r="BJ19" s="39">
        <v>35</v>
      </c>
      <c r="BK19" s="38">
        <v>4473.1000000000004</v>
      </c>
      <c r="BL19" s="39">
        <v>34</v>
      </c>
      <c r="BM19" s="43">
        <v>5325.2</v>
      </c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</row>
    <row r="20" spans="1:98" x14ac:dyDescent="0.25">
      <c r="B20" s="3" t="s">
        <v>30</v>
      </c>
      <c r="C20" s="11" t="s">
        <v>29</v>
      </c>
      <c r="D20" s="37">
        <v>29</v>
      </c>
      <c r="E20" s="38">
        <v>3994.5</v>
      </c>
      <c r="F20" s="39">
        <v>25</v>
      </c>
      <c r="G20" s="38">
        <v>4777.1000000000004</v>
      </c>
      <c r="H20" s="39">
        <v>22</v>
      </c>
      <c r="I20" s="38">
        <v>3540.8</v>
      </c>
      <c r="J20" s="40">
        <v>29</v>
      </c>
      <c r="K20" s="38">
        <v>4243.2</v>
      </c>
      <c r="L20" s="39">
        <v>44</v>
      </c>
      <c r="M20" s="38">
        <v>13025.2</v>
      </c>
      <c r="N20" s="39">
        <v>35</v>
      </c>
      <c r="O20" s="38">
        <v>9735.2000000000007</v>
      </c>
      <c r="P20" s="39">
        <v>27</v>
      </c>
      <c r="Q20" s="38">
        <v>3140.3</v>
      </c>
      <c r="R20" s="39">
        <v>26</v>
      </c>
      <c r="S20" s="38">
        <v>3115.9</v>
      </c>
      <c r="T20" s="39">
        <v>32</v>
      </c>
      <c r="U20" s="38">
        <v>4173.2</v>
      </c>
      <c r="V20" s="39">
        <v>32</v>
      </c>
      <c r="W20" s="38">
        <v>4914.8</v>
      </c>
      <c r="X20" s="39">
        <v>31</v>
      </c>
      <c r="Y20" s="38">
        <v>6490</v>
      </c>
      <c r="Z20" s="39">
        <v>30</v>
      </c>
      <c r="AA20" s="38">
        <v>7297.5</v>
      </c>
      <c r="AB20" s="39">
        <v>35</v>
      </c>
      <c r="AC20" s="38">
        <v>11752.6</v>
      </c>
      <c r="AD20" s="39">
        <v>25</v>
      </c>
      <c r="AE20" s="38">
        <v>4122.1000000000004</v>
      </c>
      <c r="AF20" s="39">
        <v>27</v>
      </c>
      <c r="AG20" s="38">
        <v>3229.1</v>
      </c>
      <c r="AH20" s="39">
        <v>25</v>
      </c>
      <c r="AI20" s="38">
        <v>2744.9</v>
      </c>
      <c r="AJ20" s="39">
        <v>31</v>
      </c>
      <c r="AK20" s="38">
        <v>8158.6</v>
      </c>
      <c r="AL20" s="39">
        <v>25</v>
      </c>
      <c r="AM20" s="38">
        <v>5476.2</v>
      </c>
      <c r="AN20" s="39">
        <v>29</v>
      </c>
      <c r="AO20" s="38">
        <v>8262.2000000000007</v>
      </c>
      <c r="AP20" s="39">
        <v>0</v>
      </c>
      <c r="AQ20" s="38">
        <v>0</v>
      </c>
      <c r="AR20" s="39">
        <v>27</v>
      </c>
      <c r="AS20" s="38">
        <v>4313.5</v>
      </c>
      <c r="AT20" s="39">
        <v>24</v>
      </c>
      <c r="AU20" s="38">
        <v>2852.4</v>
      </c>
      <c r="AV20" s="39">
        <v>22</v>
      </c>
      <c r="AW20" s="38">
        <v>2638.9</v>
      </c>
      <c r="AX20" s="39">
        <v>30</v>
      </c>
      <c r="AY20" s="38">
        <v>4652.7</v>
      </c>
      <c r="AZ20" s="39">
        <v>24</v>
      </c>
      <c r="BA20" s="38">
        <v>4244.6000000000004</v>
      </c>
      <c r="BB20" s="39">
        <v>39</v>
      </c>
      <c r="BC20" s="38">
        <v>12478.7</v>
      </c>
      <c r="BD20" s="39">
        <v>27</v>
      </c>
      <c r="BE20" s="38">
        <v>5816.5</v>
      </c>
      <c r="BF20" s="39">
        <v>25</v>
      </c>
      <c r="BG20" s="38">
        <v>3877.9</v>
      </c>
      <c r="BH20" s="39">
        <v>28</v>
      </c>
      <c r="BI20" s="38">
        <v>4145.3</v>
      </c>
      <c r="BJ20" s="39">
        <v>24</v>
      </c>
      <c r="BK20" s="38">
        <v>3059.2</v>
      </c>
      <c r="BL20" s="39">
        <v>25</v>
      </c>
      <c r="BM20" s="43">
        <v>3605.2</v>
      </c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</row>
    <row r="21" spans="1:98" x14ac:dyDescent="0.25">
      <c r="A21" s="2" t="s">
        <v>70</v>
      </c>
      <c r="D21" s="44">
        <v>156</v>
      </c>
      <c r="E21" s="14">
        <v>57677.000000000007</v>
      </c>
      <c r="F21" s="45">
        <v>154</v>
      </c>
      <c r="G21" s="14">
        <v>46884.6</v>
      </c>
      <c r="H21" s="45">
        <v>213</v>
      </c>
      <c r="I21" s="14">
        <v>77315.899999999994</v>
      </c>
      <c r="J21" s="46">
        <v>175</v>
      </c>
      <c r="K21" s="14">
        <v>64941.100000000006</v>
      </c>
      <c r="L21" s="45">
        <v>190</v>
      </c>
      <c r="M21" s="14">
        <v>73152</v>
      </c>
      <c r="N21" s="45">
        <v>193</v>
      </c>
      <c r="O21" s="14">
        <v>65540.400000000009</v>
      </c>
      <c r="P21" s="45">
        <v>154</v>
      </c>
      <c r="Q21" s="14">
        <v>50448.30000000001</v>
      </c>
      <c r="R21" s="45">
        <v>163</v>
      </c>
      <c r="S21" s="14">
        <v>52160.3</v>
      </c>
      <c r="T21" s="45">
        <v>175</v>
      </c>
      <c r="U21" s="14">
        <v>55736.1</v>
      </c>
      <c r="V21" s="45">
        <v>196</v>
      </c>
      <c r="W21" s="14">
        <v>75156</v>
      </c>
      <c r="X21" s="45">
        <v>168</v>
      </c>
      <c r="Y21" s="14">
        <v>61421.399999999994</v>
      </c>
      <c r="Z21" s="45">
        <v>188</v>
      </c>
      <c r="AA21" s="14">
        <v>72753.100000000006</v>
      </c>
      <c r="AB21" s="45">
        <v>177</v>
      </c>
      <c r="AC21" s="14">
        <v>72327.7</v>
      </c>
      <c r="AD21" s="45">
        <v>154</v>
      </c>
      <c r="AE21" s="14">
        <v>53585.900000000009</v>
      </c>
      <c r="AF21" s="45">
        <v>181</v>
      </c>
      <c r="AG21" s="14">
        <v>64591.6</v>
      </c>
      <c r="AH21" s="45">
        <v>158</v>
      </c>
      <c r="AI21" s="14">
        <v>52670.500000000007</v>
      </c>
      <c r="AJ21" s="45">
        <v>241</v>
      </c>
      <c r="AK21" s="47">
        <v>89994.400000000023</v>
      </c>
      <c r="AL21" s="45">
        <v>173</v>
      </c>
      <c r="AM21" s="14">
        <v>64125</v>
      </c>
      <c r="AN21" s="45">
        <v>202</v>
      </c>
      <c r="AO21" s="14">
        <v>85112.299999999988</v>
      </c>
      <c r="AP21" s="45">
        <v>0</v>
      </c>
      <c r="AQ21" s="14">
        <v>0</v>
      </c>
      <c r="AR21" s="45">
        <v>156</v>
      </c>
      <c r="AS21" s="14">
        <v>51102.799999999996</v>
      </c>
      <c r="AT21" s="45">
        <v>134</v>
      </c>
      <c r="AU21" s="14">
        <v>48232.9</v>
      </c>
      <c r="AV21" s="45">
        <v>148</v>
      </c>
      <c r="AW21" s="14">
        <v>50910.9</v>
      </c>
      <c r="AX21" s="45">
        <v>223</v>
      </c>
      <c r="AY21" s="14">
        <v>81312.900000000009</v>
      </c>
      <c r="AZ21" s="45">
        <v>164</v>
      </c>
      <c r="BA21" s="14">
        <v>60641</v>
      </c>
      <c r="BB21" s="45">
        <v>215</v>
      </c>
      <c r="BC21" s="14">
        <v>87720.1</v>
      </c>
      <c r="BD21" s="45">
        <v>204</v>
      </c>
      <c r="BE21" s="14">
        <v>74215.100000000006</v>
      </c>
      <c r="BF21" s="45">
        <v>133</v>
      </c>
      <c r="BG21" s="14">
        <v>41627.299999999996</v>
      </c>
      <c r="BH21" s="45">
        <v>141</v>
      </c>
      <c r="BI21" s="14">
        <v>54842.5</v>
      </c>
      <c r="BJ21" s="45">
        <v>154</v>
      </c>
      <c r="BK21" s="14">
        <v>46442.9</v>
      </c>
      <c r="BL21" s="45">
        <v>226</v>
      </c>
      <c r="BM21" s="48">
        <v>90154.699999999983</v>
      </c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</row>
    <row r="22" spans="1:98" x14ac:dyDescent="0.25">
      <c r="D22" s="37"/>
      <c r="F22" s="12"/>
      <c r="H22" s="12"/>
      <c r="J22" s="15"/>
      <c r="L22" s="12"/>
      <c r="N22" s="12"/>
      <c r="P22" s="12"/>
      <c r="R22" s="12"/>
      <c r="T22" s="12"/>
      <c r="V22" s="12"/>
      <c r="X22" s="12"/>
      <c r="Z22" s="12"/>
      <c r="AB22" s="12"/>
      <c r="AD22" s="12"/>
      <c r="AF22" s="12"/>
      <c r="AH22" s="12"/>
      <c r="AJ22" s="12"/>
      <c r="AL22" s="12"/>
      <c r="AN22" s="12"/>
      <c r="AP22" s="12"/>
      <c r="AR22" s="12"/>
      <c r="AT22" s="12"/>
      <c r="AV22" s="12"/>
      <c r="AX22" s="12"/>
      <c r="AZ22" s="12"/>
      <c r="BB22" s="12"/>
      <c r="BD22" s="12"/>
      <c r="BF22" s="12"/>
      <c r="BH22" s="12"/>
      <c r="BJ22" s="12"/>
      <c r="BL22" s="12"/>
      <c r="BM22" s="49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</row>
    <row r="23" spans="1:98" x14ac:dyDescent="0.25">
      <c r="A23" s="2" t="s">
        <v>23</v>
      </c>
      <c r="D23" s="37"/>
      <c r="F23" s="12"/>
      <c r="H23" s="12"/>
      <c r="J23" s="15"/>
      <c r="L23" s="12"/>
      <c r="N23" s="12"/>
      <c r="P23" s="12"/>
      <c r="R23" s="12"/>
      <c r="T23" s="12"/>
      <c r="V23" s="12"/>
      <c r="X23" s="12"/>
      <c r="Z23" s="12"/>
      <c r="AB23" s="12"/>
      <c r="AD23" s="12"/>
      <c r="AF23" s="12"/>
      <c r="AH23" s="12"/>
      <c r="AJ23" s="12"/>
      <c r="AL23" s="12"/>
      <c r="AN23" s="12"/>
      <c r="AP23" s="12"/>
      <c r="AR23" s="12"/>
      <c r="AT23" s="12"/>
      <c r="AV23" s="12"/>
      <c r="AX23" s="12"/>
      <c r="AZ23" s="12"/>
      <c r="BB23" s="12"/>
      <c r="BD23" s="12"/>
      <c r="BF23" s="12"/>
      <c r="BH23" s="12"/>
      <c r="BJ23" s="12"/>
      <c r="BL23" s="12"/>
      <c r="BM23" s="49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</row>
    <row r="24" spans="1:98" x14ac:dyDescent="0.25">
      <c r="B24" s="3" t="s">
        <v>71</v>
      </c>
      <c r="C24" s="11" t="s">
        <v>9</v>
      </c>
      <c r="D24" s="37">
        <v>1</v>
      </c>
      <c r="E24" s="3">
        <v>120.5</v>
      </c>
      <c r="F24" s="12">
        <v>1</v>
      </c>
      <c r="G24" s="4">
        <v>110.4</v>
      </c>
      <c r="H24" s="12">
        <v>5</v>
      </c>
      <c r="I24" s="4">
        <v>3229.1</v>
      </c>
      <c r="J24" s="15">
        <v>2</v>
      </c>
      <c r="K24" s="4">
        <v>988.4</v>
      </c>
      <c r="L24" s="12">
        <v>1</v>
      </c>
      <c r="M24" s="4">
        <v>116</v>
      </c>
      <c r="N24" s="12">
        <v>1</v>
      </c>
      <c r="O24" s="4">
        <v>116.6</v>
      </c>
      <c r="P24" s="12">
        <v>1</v>
      </c>
      <c r="Q24" s="4">
        <v>98.5</v>
      </c>
      <c r="R24" s="12">
        <v>1</v>
      </c>
      <c r="S24" s="4">
        <v>106.5</v>
      </c>
      <c r="T24" s="12">
        <v>3</v>
      </c>
      <c r="U24" s="4">
        <v>1621.3</v>
      </c>
      <c r="V24" s="12">
        <v>1</v>
      </c>
      <c r="W24" s="4">
        <v>126.6</v>
      </c>
      <c r="X24" s="12">
        <v>1</v>
      </c>
      <c r="Y24" s="4">
        <v>124.6</v>
      </c>
      <c r="Z24" s="12">
        <v>2</v>
      </c>
      <c r="AA24" s="4">
        <v>1107.5999999999999</v>
      </c>
      <c r="AB24" s="12">
        <v>1</v>
      </c>
      <c r="AC24" s="4">
        <v>109.6</v>
      </c>
      <c r="AD24" s="12">
        <v>1</v>
      </c>
      <c r="AE24" s="4">
        <v>99</v>
      </c>
      <c r="AF24" s="12">
        <v>1</v>
      </c>
      <c r="AG24" s="4">
        <v>99.4</v>
      </c>
      <c r="AH24" s="12">
        <v>1</v>
      </c>
      <c r="AI24" s="4">
        <v>111.3</v>
      </c>
      <c r="AJ24" s="12">
        <v>2</v>
      </c>
      <c r="AK24" s="4">
        <v>218.3</v>
      </c>
      <c r="AL24" s="12">
        <v>4</v>
      </c>
      <c r="AM24" s="4">
        <v>2299.5</v>
      </c>
      <c r="AN24" s="12">
        <v>2</v>
      </c>
      <c r="AO24" s="4">
        <v>143.30000000000001</v>
      </c>
      <c r="AP24" s="12">
        <v>0</v>
      </c>
      <c r="AQ24" s="4">
        <v>0</v>
      </c>
      <c r="AR24" s="12">
        <v>1</v>
      </c>
      <c r="AS24" s="4">
        <v>77.400000000000006</v>
      </c>
      <c r="AT24" s="12">
        <v>1</v>
      </c>
      <c r="AU24" s="4">
        <v>100.3</v>
      </c>
      <c r="AV24" s="12">
        <v>1</v>
      </c>
      <c r="AW24" s="4">
        <v>110.5</v>
      </c>
      <c r="AX24" s="12">
        <v>1</v>
      </c>
      <c r="AY24" s="4">
        <v>107.2</v>
      </c>
      <c r="AZ24" s="12">
        <v>1</v>
      </c>
      <c r="BA24" s="4">
        <v>116.4</v>
      </c>
      <c r="BB24" s="12">
        <v>2</v>
      </c>
      <c r="BC24" s="4">
        <v>617.6</v>
      </c>
      <c r="BD24" s="12">
        <v>1</v>
      </c>
      <c r="BE24" s="4">
        <v>116.4</v>
      </c>
      <c r="BF24" s="12">
        <v>2</v>
      </c>
      <c r="BG24" s="4">
        <v>631.1</v>
      </c>
      <c r="BH24" s="12">
        <v>1</v>
      </c>
      <c r="BI24" s="4">
        <v>91.9</v>
      </c>
      <c r="BJ24" s="12">
        <v>2</v>
      </c>
      <c r="BK24" s="4">
        <v>1090.5</v>
      </c>
      <c r="BL24" s="12">
        <v>1</v>
      </c>
      <c r="BM24" s="49">
        <v>80.400000000000006</v>
      </c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</row>
    <row r="25" spans="1:98" x14ac:dyDescent="0.25">
      <c r="B25" s="3" t="s">
        <v>25</v>
      </c>
      <c r="C25" s="11" t="s">
        <v>9</v>
      </c>
      <c r="D25" s="37">
        <v>0</v>
      </c>
      <c r="E25" s="3">
        <v>0</v>
      </c>
      <c r="F25" s="12">
        <v>0</v>
      </c>
      <c r="G25" s="4">
        <v>0</v>
      </c>
      <c r="H25" s="12">
        <v>0</v>
      </c>
      <c r="I25" s="4">
        <v>0</v>
      </c>
      <c r="J25" s="15">
        <v>0</v>
      </c>
      <c r="K25" s="4">
        <v>0</v>
      </c>
      <c r="L25" s="12">
        <v>0</v>
      </c>
      <c r="M25" s="4">
        <v>0</v>
      </c>
      <c r="N25" s="12">
        <v>0</v>
      </c>
      <c r="O25" s="4">
        <v>0</v>
      </c>
      <c r="P25" s="12">
        <v>0</v>
      </c>
      <c r="Q25" s="4">
        <v>0</v>
      </c>
      <c r="R25" s="12">
        <v>0</v>
      </c>
      <c r="S25" s="4">
        <v>0</v>
      </c>
      <c r="T25" s="12">
        <v>0</v>
      </c>
      <c r="U25" s="4">
        <v>0</v>
      </c>
      <c r="V25" s="12">
        <v>0</v>
      </c>
      <c r="W25" s="4">
        <v>0</v>
      </c>
      <c r="X25" s="12">
        <v>0</v>
      </c>
      <c r="Y25" s="4">
        <v>0</v>
      </c>
      <c r="Z25" s="12">
        <v>0</v>
      </c>
      <c r="AA25" s="4">
        <v>0</v>
      </c>
      <c r="AB25" s="12">
        <v>0</v>
      </c>
      <c r="AC25" s="4">
        <v>0</v>
      </c>
      <c r="AD25" s="12">
        <v>0</v>
      </c>
      <c r="AE25" s="4">
        <v>0</v>
      </c>
      <c r="AF25" s="12">
        <v>0</v>
      </c>
      <c r="AG25" s="4">
        <v>0</v>
      </c>
      <c r="AH25" s="12">
        <v>0</v>
      </c>
      <c r="AI25" s="4">
        <v>0</v>
      </c>
      <c r="AJ25" s="12">
        <v>0</v>
      </c>
      <c r="AK25" s="4">
        <v>0</v>
      </c>
      <c r="AL25" s="12">
        <v>0</v>
      </c>
      <c r="AM25" s="4">
        <v>0</v>
      </c>
      <c r="AN25" s="12">
        <v>0</v>
      </c>
      <c r="AO25" s="4">
        <v>0</v>
      </c>
      <c r="AP25" s="12">
        <v>0</v>
      </c>
      <c r="AQ25" s="4">
        <v>0</v>
      </c>
      <c r="AR25" s="12">
        <v>0</v>
      </c>
      <c r="AS25" s="4">
        <v>0</v>
      </c>
      <c r="AT25" s="12">
        <v>0</v>
      </c>
      <c r="AU25" s="4">
        <v>0</v>
      </c>
      <c r="AV25" s="12">
        <v>0</v>
      </c>
      <c r="AW25" s="4">
        <v>0</v>
      </c>
      <c r="AX25" s="12">
        <v>0</v>
      </c>
      <c r="AY25" s="4">
        <v>0</v>
      </c>
      <c r="AZ25" s="12">
        <v>0</v>
      </c>
      <c r="BA25" s="4">
        <v>0</v>
      </c>
      <c r="BB25" s="12">
        <v>0</v>
      </c>
      <c r="BC25" s="4">
        <v>0</v>
      </c>
      <c r="BD25" s="12">
        <v>0</v>
      </c>
      <c r="BE25" s="4">
        <v>0</v>
      </c>
      <c r="BF25" s="12">
        <v>0</v>
      </c>
      <c r="BG25" s="4">
        <v>0</v>
      </c>
      <c r="BH25" s="12">
        <v>0</v>
      </c>
      <c r="BI25" s="4">
        <v>0</v>
      </c>
      <c r="BJ25" s="12">
        <v>0</v>
      </c>
      <c r="BK25" s="4">
        <v>0</v>
      </c>
      <c r="BL25" s="12">
        <v>0</v>
      </c>
      <c r="BM25" s="49">
        <v>0</v>
      </c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</row>
    <row r="26" spans="1:98" x14ac:dyDescent="0.25">
      <c r="B26" s="3" t="s">
        <v>72</v>
      </c>
      <c r="C26" s="11" t="s">
        <v>9</v>
      </c>
      <c r="D26" s="37">
        <v>0</v>
      </c>
      <c r="E26" s="4">
        <v>0</v>
      </c>
      <c r="F26" s="12">
        <v>1</v>
      </c>
      <c r="G26" s="4">
        <v>500</v>
      </c>
      <c r="H26" s="12">
        <v>2</v>
      </c>
      <c r="I26" s="4">
        <v>1000</v>
      </c>
      <c r="J26" s="15">
        <v>2</v>
      </c>
      <c r="K26" s="4">
        <v>1571.5</v>
      </c>
      <c r="L26" s="12">
        <v>2</v>
      </c>
      <c r="M26" s="4">
        <v>580.70000000000005</v>
      </c>
      <c r="N26" s="12">
        <v>2</v>
      </c>
      <c r="O26" s="4">
        <v>670.1</v>
      </c>
      <c r="P26" s="12">
        <v>0</v>
      </c>
      <c r="Q26" s="4">
        <v>0</v>
      </c>
      <c r="R26" s="12">
        <v>1</v>
      </c>
      <c r="S26" s="4">
        <v>150</v>
      </c>
      <c r="T26" s="12">
        <v>0</v>
      </c>
      <c r="U26" s="4">
        <v>0</v>
      </c>
      <c r="V26" s="12">
        <v>0</v>
      </c>
      <c r="W26" s="4">
        <v>0</v>
      </c>
      <c r="X26" s="12">
        <v>2</v>
      </c>
      <c r="Y26" s="4">
        <v>746.9</v>
      </c>
      <c r="Z26" s="12">
        <v>2</v>
      </c>
      <c r="AA26" s="4">
        <v>1473.5</v>
      </c>
      <c r="AB26" s="12">
        <v>1</v>
      </c>
      <c r="AC26" s="4">
        <v>186</v>
      </c>
      <c r="AD26" s="12">
        <v>2</v>
      </c>
      <c r="AE26" s="4">
        <v>572.20000000000005</v>
      </c>
      <c r="AF26" s="12">
        <v>1</v>
      </c>
      <c r="AG26" s="4">
        <v>111.9</v>
      </c>
      <c r="AH26" s="12">
        <v>0</v>
      </c>
      <c r="AI26" s="4">
        <v>0</v>
      </c>
      <c r="AJ26" s="12">
        <v>2</v>
      </c>
      <c r="AK26" s="4">
        <v>662.4</v>
      </c>
      <c r="AL26" s="12">
        <v>0</v>
      </c>
      <c r="AM26" s="4">
        <v>0</v>
      </c>
      <c r="AN26" s="12">
        <v>2</v>
      </c>
      <c r="AO26" s="4">
        <v>1337.9</v>
      </c>
      <c r="AP26" s="12">
        <v>0</v>
      </c>
      <c r="AQ26" s="4">
        <v>0</v>
      </c>
      <c r="AR26" s="12">
        <v>0</v>
      </c>
      <c r="AS26" s="4">
        <v>0</v>
      </c>
      <c r="AT26" s="12">
        <v>1</v>
      </c>
      <c r="AU26" s="4">
        <v>200</v>
      </c>
      <c r="AV26" s="12">
        <v>3</v>
      </c>
      <c r="AW26" s="4">
        <v>1526.2</v>
      </c>
      <c r="AX26" s="12">
        <v>3</v>
      </c>
      <c r="AY26" s="4">
        <v>1553.6</v>
      </c>
      <c r="AZ26" s="12">
        <v>2</v>
      </c>
      <c r="BA26" s="4">
        <v>1334.5</v>
      </c>
      <c r="BB26" s="12">
        <v>0</v>
      </c>
      <c r="BC26" s="4">
        <v>0</v>
      </c>
      <c r="BD26" s="12">
        <v>0</v>
      </c>
      <c r="BE26" s="4">
        <v>0</v>
      </c>
      <c r="BF26" s="12">
        <v>0</v>
      </c>
      <c r="BG26" s="4">
        <v>0</v>
      </c>
      <c r="BH26" s="12">
        <v>1</v>
      </c>
      <c r="BI26" s="4">
        <v>500</v>
      </c>
      <c r="BJ26" s="12">
        <v>1</v>
      </c>
      <c r="BK26" s="4">
        <v>300</v>
      </c>
      <c r="BL26" s="12">
        <v>3</v>
      </c>
      <c r="BM26" s="49">
        <v>1169.0999999999999</v>
      </c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</row>
    <row r="27" spans="1:98" x14ac:dyDescent="0.25">
      <c r="B27" s="3" t="s">
        <v>31</v>
      </c>
      <c r="C27" s="11" t="s">
        <v>29</v>
      </c>
      <c r="D27" s="37">
        <v>1</v>
      </c>
      <c r="E27" s="4">
        <v>135.19999999999999</v>
      </c>
      <c r="F27" s="12">
        <v>4</v>
      </c>
      <c r="G27" s="4">
        <v>1240.3</v>
      </c>
      <c r="H27" s="12">
        <v>2</v>
      </c>
      <c r="I27" s="4">
        <v>236.1</v>
      </c>
      <c r="J27" s="15">
        <v>3</v>
      </c>
      <c r="K27" s="4">
        <v>1805.9</v>
      </c>
      <c r="L27" s="12">
        <v>3</v>
      </c>
      <c r="M27" s="4">
        <v>378.8</v>
      </c>
      <c r="N27" s="12">
        <v>4</v>
      </c>
      <c r="O27" s="4">
        <v>502.1</v>
      </c>
      <c r="P27" s="12">
        <v>3</v>
      </c>
      <c r="Q27" s="4">
        <v>417.9</v>
      </c>
      <c r="R27" s="12">
        <v>3</v>
      </c>
      <c r="S27" s="4">
        <v>271.89999999999998</v>
      </c>
      <c r="T27" s="12">
        <v>7</v>
      </c>
      <c r="U27" s="4">
        <v>2626.6</v>
      </c>
      <c r="V27" s="12">
        <v>3</v>
      </c>
      <c r="W27" s="4">
        <v>354.5</v>
      </c>
      <c r="X27" s="12">
        <v>2</v>
      </c>
      <c r="Y27" s="4">
        <v>238.3</v>
      </c>
      <c r="Z27" s="12">
        <v>4</v>
      </c>
      <c r="AA27" s="4">
        <v>435.9</v>
      </c>
      <c r="AB27" s="12">
        <v>2</v>
      </c>
      <c r="AC27" s="4">
        <v>200.1</v>
      </c>
      <c r="AD27" s="12">
        <v>1</v>
      </c>
      <c r="AE27" s="4">
        <v>125</v>
      </c>
      <c r="AF27" s="12">
        <v>4</v>
      </c>
      <c r="AG27" s="4">
        <v>349.3</v>
      </c>
      <c r="AH27" s="12">
        <v>2</v>
      </c>
      <c r="AI27" s="4">
        <v>264.60000000000002</v>
      </c>
      <c r="AJ27" s="12">
        <v>3</v>
      </c>
      <c r="AK27" s="4">
        <v>629.20000000000005</v>
      </c>
      <c r="AL27" s="12">
        <v>1</v>
      </c>
      <c r="AM27" s="4">
        <v>120.2</v>
      </c>
      <c r="AN27" s="12">
        <v>1</v>
      </c>
      <c r="AO27" s="4">
        <v>101.5</v>
      </c>
      <c r="AP27" s="12">
        <v>1</v>
      </c>
      <c r="AQ27" s="4">
        <v>196.6</v>
      </c>
      <c r="AR27" s="12">
        <v>4</v>
      </c>
      <c r="AS27" s="4">
        <v>889</v>
      </c>
      <c r="AT27" s="12">
        <v>3</v>
      </c>
      <c r="AU27" s="4">
        <v>345.2</v>
      </c>
      <c r="AV27" s="12">
        <v>5</v>
      </c>
      <c r="AW27" s="4">
        <v>593</v>
      </c>
      <c r="AX27" s="12">
        <v>2</v>
      </c>
      <c r="AY27" s="4">
        <v>248</v>
      </c>
      <c r="AZ27" s="12">
        <v>3</v>
      </c>
      <c r="BA27" s="4">
        <v>277.60000000000002</v>
      </c>
      <c r="BB27" s="12">
        <v>4</v>
      </c>
      <c r="BC27" s="4">
        <v>938.2</v>
      </c>
      <c r="BD27" s="12">
        <v>3</v>
      </c>
      <c r="BE27" s="4">
        <v>313.2</v>
      </c>
      <c r="BF27" s="12">
        <v>4</v>
      </c>
      <c r="BG27" s="4">
        <v>393.5</v>
      </c>
      <c r="BH27" s="12">
        <v>3</v>
      </c>
      <c r="BI27" s="4">
        <v>202.8</v>
      </c>
      <c r="BJ27" s="12">
        <v>6</v>
      </c>
      <c r="BK27" s="4">
        <v>1472</v>
      </c>
      <c r="BL27" s="12">
        <v>3</v>
      </c>
      <c r="BM27" s="49">
        <v>273.5</v>
      </c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</row>
    <row r="28" spans="1:98" x14ac:dyDescent="0.25">
      <c r="A28" s="2" t="s">
        <v>26</v>
      </c>
      <c r="D28" s="44">
        <v>2</v>
      </c>
      <c r="E28" s="14">
        <v>255.7</v>
      </c>
      <c r="F28" s="45">
        <v>6</v>
      </c>
      <c r="G28" s="14">
        <v>1850.6999999999998</v>
      </c>
      <c r="H28" s="45">
        <v>9</v>
      </c>
      <c r="I28" s="14">
        <v>4465.2000000000007</v>
      </c>
      <c r="J28" s="46">
        <v>7</v>
      </c>
      <c r="K28" s="14">
        <v>4365.8</v>
      </c>
      <c r="L28" s="45">
        <v>6</v>
      </c>
      <c r="M28" s="14">
        <v>1075.5</v>
      </c>
      <c r="N28" s="45">
        <v>7</v>
      </c>
      <c r="O28" s="14">
        <v>1288.8000000000002</v>
      </c>
      <c r="P28" s="45">
        <v>4</v>
      </c>
      <c r="Q28" s="14">
        <v>516.4</v>
      </c>
      <c r="R28" s="45">
        <v>5</v>
      </c>
      <c r="S28" s="14">
        <v>528.4</v>
      </c>
      <c r="T28" s="45">
        <v>10</v>
      </c>
      <c r="U28" s="14">
        <v>4247.8999999999996</v>
      </c>
      <c r="V28" s="45">
        <v>4</v>
      </c>
      <c r="W28" s="14">
        <v>481.1</v>
      </c>
      <c r="X28" s="45">
        <v>5</v>
      </c>
      <c r="Y28" s="14">
        <v>1109.8</v>
      </c>
      <c r="Z28" s="45">
        <v>8</v>
      </c>
      <c r="AA28" s="14">
        <v>3017</v>
      </c>
      <c r="AB28" s="45">
        <v>4</v>
      </c>
      <c r="AC28" s="14">
        <v>495.70000000000005</v>
      </c>
      <c r="AD28" s="45">
        <v>4</v>
      </c>
      <c r="AE28" s="14">
        <v>796.2</v>
      </c>
      <c r="AF28" s="45">
        <v>6</v>
      </c>
      <c r="AG28" s="14">
        <v>560.6</v>
      </c>
      <c r="AH28" s="45">
        <v>3</v>
      </c>
      <c r="AI28" s="14">
        <v>375.90000000000003</v>
      </c>
      <c r="AJ28" s="45">
        <v>7</v>
      </c>
      <c r="AK28" s="14">
        <v>1509.9</v>
      </c>
      <c r="AL28" s="45">
        <v>5</v>
      </c>
      <c r="AM28" s="14">
        <v>2419.6999999999998</v>
      </c>
      <c r="AN28" s="45">
        <v>5</v>
      </c>
      <c r="AO28" s="14">
        <v>1582.7</v>
      </c>
      <c r="AP28" s="45">
        <v>1</v>
      </c>
      <c r="AQ28" s="14">
        <v>196.6</v>
      </c>
      <c r="AR28" s="45">
        <v>5</v>
      </c>
      <c r="AS28" s="14">
        <v>966.4</v>
      </c>
      <c r="AT28" s="45">
        <v>5</v>
      </c>
      <c r="AU28" s="14">
        <v>645.5</v>
      </c>
      <c r="AV28" s="45">
        <v>9</v>
      </c>
      <c r="AW28" s="14">
        <v>2229.6999999999998</v>
      </c>
      <c r="AX28" s="45">
        <v>6</v>
      </c>
      <c r="AY28" s="14">
        <v>1908.8</v>
      </c>
      <c r="AZ28" s="45">
        <v>6</v>
      </c>
      <c r="BA28" s="14">
        <v>1728.5</v>
      </c>
      <c r="BB28" s="45">
        <v>6</v>
      </c>
      <c r="BC28" s="14">
        <v>1555.8000000000002</v>
      </c>
      <c r="BD28" s="45">
        <v>4</v>
      </c>
      <c r="BE28" s="14">
        <v>429.6</v>
      </c>
      <c r="BF28" s="45">
        <v>6</v>
      </c>
      <c r="BG28" s="14">
        <v>1024.5999999999999</v>
      </c>
      <c r="BH28" s="45">
        <v>5</v>
      </c>
      <c r="BI28" s="14">
        <v>794.7</v>
      </c>
      <c r="BJ28" s="45">
        <v>9</v>
      </c>
      <c r="BK28" s="14">
        <v>2862.5</v>
      </c>
      <c r="BL28" s="45">
        <v>7</v>
      </c>
      <c r="BM28" s="48">
        <v>1523</v>
      </c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</row>
    <row r="29" spans="1:98" x14ac:dyDescent="0.25">
      <c r="D29" s="37"/>
      <c r="F29" s="12"/>
      <c r="H29" s="12"/>
      <c r="J29" s="15"/>
      <c r="L29" s="12"/>
      <c r="N29" s="12"/>
      <c r="P29" s="12"/>
      <c r="R29" s="12"/>
      <c r="T29" s="12"/>
      <c r="V29" s="12"/>
      <c r="X29" s="12"/>
      <c r="Z29" s="12"/>
      <c r="AB29" s="12"/>
      <c r="AD29" s="12"/>
      <c r="AF29" s="12"/>
      <c r="AH29" s="12"/>
      <c r="AJ29" s="12"/>
      <c r="AL29" s="12"/>
      <c r="AN29" s="12"/>
      <c r="AP29" s="12"/>
      <c r="AR29" s="12"/>
      <c r="AT29" s="12"/>
      <c r="AV29" s="12"/>
      <c r="AX29" s="12"/>
      <c r="AZ29" s="12"/>
      <c r="BB29" s="12"/>
      <c r="BD29" s="12"/>
      <c r="BF29" s="12"/>
      <c r="BH29" s="12"/>
      <c r="BL29" s="12"/>
      <c r="BM29" s="49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</row>
    <row r="30" spans="1:98" x14ac:dyDescent="0.25">
      <c r="A30" s="2" t="s">
        <v>73</v>
      </c>
      <c r="D30" s="37"/>
      <c r="F30" s="12"/>
      <c r="H30" s="12"/>
      <c r="J30" s="15"/>
      <c r="L30" s="12"/>
      <c r="N30" s="12"/>
      <c r="P30" s="12"/>
      <c r="R30" s="12"/>
      <c r="T30" s="12"/>
      <c r="V30" s="12"/>
      <c r="X30" s="12"/>
      <c r="Z30" s="12"/>
      <c r="AB30" s="12"/>
      <c r="AD30" s="12"/>
      <c r="AF30" s="12"/>
      <c r="AH30" s="12"/>
      <c r="AJ30" s="12"/>
      <c r="AL30" s="12"/>
      <c r="AN30" s="12"/>
      <c r="AP30" s="12"/>
      <c r="AR30" s="12"/>
      <c r="AT30" s="12"/>
      <c r="AV30" s="12"/>
      <c r="AX30" s="12"/>
      <c r="AZ30" s="12"/>
      <c r="BB30" s="12"/>
      <c r="BD30" s="12"/>
      <c r="BF30" s="12"/>
      <c r="BH30" s="12"/>
      <c r="BL30" s="12"/>
      <c r="BM30" s="49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</row>
    <row r="31" spans="1:98" x14ac:dyDescent="0.25">
      <c r="B31" s="3" t="s">
        <v>34</v>
      </c>
      <c r="C31" s="11" t="s">
        <v>9</v>
      </c>
      <c r="D31" s="37">
        <v>7</v>
      </c>
      <c r="E31" s="4">
        <v>3361.7</v>
      </c>
      <c r="F31" s="12">
        <v>6</v>
      </c>
      <c r="G31" s="4">
        <v>4309</v>
      </c>
      <c r="H31" s="12">
        <v>8</v>
      </c>
      <c r="I31" s="4">
        <v>4127.6000000000004</v>
      </c>
      <c r="J31" s="15">
        <v>8</v>
      </c>
      <c r="K31" s="4">
        <v>5621.7</v>
      </c>
      <c r="L31" s="12">
        <v>4</v>
      </c>
      <c r="M31" s="4">
        <v>1783</v>
      </c>
      <c r="N31" s="12">
        <v>6</v>
      </c>
      <c r="O31" s="4">
        <v>2980</v>
      </c>
      <c r="P31" s="12">
        <v>5</v>
      </c>
      <c r="Q31" s="4">
        <v>2416.4</v>
      </c>
      <c r="R31" s="12">
        <v>4</v>
      </c>
      <c r="S31" s="4">
        <v>2439.8000000000002</v>
      </c>
      <c r="T31" s="12">
        <v>3</v>
      </c>
      <c r="U31" s="4">
        <v>1051.3</v>
      </c>
      <c r="V31" s="12">
        <v>6</v>
      </c>
      <c r="W31" s="4">
        <v>2581.5</v>
      </c>
      <c r="X31" s="12">
        <v>4</v>
      </c>
      <c r="Y31" s="4">
        <v>1006.9</v>
      </c>
      <c r="Z31" s="12">
        <v>4</v>
      </c>
      <c r="AA31" s="4">
        <v>2561.9</v>
      </c>
      <c r="AB31" s="12">
        <v>6</v>
      </c>
      <c r="AC31" s="4">
        <v>2541.4</v>
      </c>
      <c r="AD31" s="12">
        <v>5</v>
      </c>
      <c r="AE31" s="4">
        <v>1859.9</v>
      </c>
      <c r="AF31" s="12">
        <v>4</v>
      </c>
      <c r="AG31" s="4">
        <v>2812.7</v>
      </c>
      <c r="AH31" s="12">
        <v>7</v>
      </c>
      <c r="AI31" s="4">
        <v>3327</v>
      </c>
      <c r="AJ31" s="12">
        <v>7</v>
      </c>
      <c r="AK31" s="4">
        <v>3676.1</v>
      </c>
      <c r="AL31" s="12">
        <v>3</v>
      </c>
      <c r="AM31" s="4">
        <v>1577</v>
      </c>
      <c r="AN31" s="12">
        <v>10</v>
      </c>
      <c r="AO31" s="4">
        <v>6310.5</v>
      </c>
      <c r="AP31" s="12">
        <v>0</v>
      </c>
      <c r="AQ31" s="4">
        <v>0</v>
      </c>
      <c r="AR31" s="12">
        <v>4</v>
      </c>
      <c r="AS31" s="4">
        <v>1968.1</v>
      </c>
      <c r="AT31" s="12">
        <v>1</v>
      </c>
      <c r="AU31" s="4">
        <v>612</v>
      </c>
      <c r="AV31" s="12">
        <v>4</v>
      </c>
      <c r="AW31" s="4">
        <v>2080</v>
      </c>
      <c r="AX31" s="12">
        <v>3</v>
      </c>
      <c r="AY31" s="4">
        <v>1745.7</v>
      </c>
      <c r="AZ31" s="12">
        <v>5</v>
      </c>
      <c r="BA31" s="4">
        <v>3548.4</v>
      </c>
      <c r="BB31" s="12">
        <v>6</v>
      </c>
      <c r="BC31" s="4">
        <v>3445</v>
      </c>
      <c r="BD31" s="12">
        <v>6</v>
      </c>
      <c r="BE31" s="4">
        <v>3261.3</v>
      </c>
      <c r="BF31" s="12">
        <v>2</v>
      </c>
      <c r="BG31" s="4">
        <v>900</v>
      </c>
      <c r="BH31" s="12">
        <v>4</v>
      </c>
      <c r="BI31" s="4">
        <v>3150.8</v>
      </c>
      <c r="BJ31" s="4">
        <v>5</v>
      </c>
      <c r="BK31" s="4">
        <v>1997.1</v>
      </c>
      <c r="BL31" s="12">
        <v>7</v>
      </c>
      <c r="BM31" s="49">
        <v>4196.6000000000004</v>
      </c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</row>
    <row r="32" spans="1:98" x14ac:dyDescent="0.25">
      <c r="B32" s="3" t="s">
        <v>74</v>
      </c>
      <c r="C32" s="11" t="s">
        <v>9</v>
      </c>
      <c r="D32" s="37"/>
      <c r="E32" s="4">
        <v>0</v>
      </c>
      <c r="F32" s="12">
        <v>3</v>
      </c>
      <c r="G32" s="4">
        <v>360.9</v>
      </c>
      <c r="H32" s="12">
        <v>0</v>
      </c>
      <c r="I32" s="4">
        <v>0</v>
      </c>
      <c r="J32" s="15">
        <v>0</v>
      </c>
      <c r="K32" s="4">
        <v>0</v>
      </c>
      <c r="L32" s="12">
        <v>0</v>
      </c>
      <c r="M32" s="4">
        <v>0</v>
      </c>
      <c r="N32" s="12">
        <v>0</v>
      </c>
      <c r="O32" s="4">
        <v>0</v>
      </c>
      <c r="P32" s="12">
        <v>0</v>
      </c>
      <c r="Q32" s="4">
        <v>0</v>
      </c>
      <c r="R32" s="12">
        <v>0</v>
      </c>
      <c r="S32" s="4">
        <v>0</v>
      </c>
      <c r="T32" s="12">
        <v>0</v>
      </c>
      <c r="U32" s="4">
        <v>0</v>
      </c>
      <c r="V32" s="12">
        <v>0</v>
      </c>
      <c r="W32" s="4">
        <v>0</v>
      </c>
      <c r="X32" s="12">
        <v>0</v>
      </c>
      <c r="Y32" s="4">
        <v>0</v>
      </c>
      <c r="Z32" s="12">
        <v>0</v>
      </c>
      <c r="AA32" s="4">
        <v>0</v>
      </c>
      <c r="AB32" s="12">
        <v>1</v>
      </c>
      <c r="AC32" s="4">
        <v>500</v>
      </c>
      <c r="AD32" s="12">
        <v>0</v>
      </c>
      <c r="AE32" s="4">
        <v>0</v>
      </c>
      <c r="AF32" s="12">
        <v>0</v>
      </c>
      <c r="AG32" s="4">
        <v>0</v>
      </c>
      <c r="AH32" s="12">
        <v>0</v>
      </c>
      <c r="AI32" s="4">
        <v>0</v>
      </c>
      <c r="AJ32" s="12">
        <v>0</v>
      </c>
      <c r="AK32" s="4">
        <v>0</v>
      </c>
      <c r="AL32" s="12">
        <v>0</v>
      </c>
      <c r="AM32" s="4">
        <v>0</v>
      </c>
      <c r="AN32" s="12">
        <v>0</v>
      </c>
      <c r="AO32" s="4">
        <v>0</v>
      </c>
      <c r="AP32" s="12">
        <v>0</v>
      </c>
      <c r="AQ32" s="4">
        <v>0</v>
      </c>
      <c r="AR32" s="12">
        <v>0</v>
      </c>
      <c r="AS32" s="4">
        <v>0</v>
      </c>
      <c r="AT32" s="12">
        <v>0</v>
      </c>
      <c r="AU32" s="4">
        <v>0</v>
      </c>
      <c r="AV32" s="12">
        <v>0</v>
      </c>
      <c r="AW32" s="4">
        <v>0</v>
      </c>
      <c r="AX32" s="12">
        <v>4</v>
      </c>
      <c r="AY32" s="4">
        <v>528.6</v>
      </c>
      <c r="AZ32" s="12">
        <v>0</v>
      </c>
      <c r="BA32" s="4">
        <v>0</v>
      </c>
      <c r="BB32" s="12">
        <v>0</v>
      </c>
      <c r="BC32" s="4">
        <v>0</v>
      </c>
      <c r="BD32" s="12">
        <v>0</v>
      </c>
      <c r="BE32" s="4">
        <v>0</v>
      </c>
      <c r="BF32" s="12">
        <v>0</v>
      </c>
      <c r="BG32" s="4">
        <v>0</v>
      </c>
      <c r="BH32" s="12">
        <v>0</v>
      </c>
      <c r="BI32" s="4">
        <v>0</v>
      </c>
      <c r="BJ32" s="4">
        <v>0</v>
      </c>
      <c r="BK32" s="4">
        <v>0</v>
      </c>
      <c r="BL32" s="12">
        <v>0</v>
      </c>
      <c r="BM32" s="49">
        <v>0</v>
      </c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</row>
    <row r="33" spans="1:98" x14ac:dyDescent="0.25">
      <c r="B33" s="3" t="s">
        <v>75</v>
      </c>
      <c r="C33" s="11" t="s">
        <v>29</v>
      </c>
      <c r="D33" s="37">
        <v>2</v>
      </c>
      <c r="E33" s="4">
        <v>207.6</v>
      </c>
      <c r="F33" s="12">
        <v>0</v>
      </c>
      <c r="G33" s="4">
        <v>0</v>
      </c>
      <c r="H33" s="12">
        <v>4</v>
      </c>
      <c r="I33" s="4">
        <v>550.1</v>
      </c>
      <c r="J33" s="15">
        <v>5</v>
      </c>
      <c r="K33" s="4">
        <v>653.1</v>
      </c>
      <c r="L33" s="12">
        <v>5</v>
      </c>
      <c r="M33" s="4">
        <v>719.3</v>
      </c>
      <c r="N33" s="12">
        <v>4</v>
      </c>
      <c r="O33" s="4">
        <v>504.9</v>
      </c>
      <c r="P33" s="12">
        <v>4</v>
      </c>
      <c r="Q33" s="4">
        <v>549.9</v>
      </c>
      <c r="R33" s="12">
        <v>3</v>
      </c>
      <c r="S33" s="4">
        <v>336.5</v>
      </c>
      <c r="T33" s="12">
        <v>3</v>
      </c>
      <c r="U33" s="4">
        <v>384.4</v>
      </c>
      <c r="V33" s="12">
        <v>5</v>
      </c>
      <c r="W33" s="4">
        <v>606.29999999999995</v>
      </c>
      <c r="X33" s="12">
        <v>4</v>
      </c>
      <c r="Y33" s="4">
        <v>555.4</v>
      </c>
      <c r="Z33" s="12">
        <v>3</v>
      </c>
      <c r="AA33" s="4">
        <v>496.9</v>
      </c>
      <c r="AB33" s="12">
        <v>2</v>
      </c>
      <c r="AC33" s="4">
        <v>261.3</v>
      </c>
      <c r="AD33" s="12">
        <v>2</v>
      </c>
      <c r="AE33" s="4">
        <v>231.2</v>
      </c>
      <c r="AF33" s="12">
        <v>4</v>
      </c>
      <c r="AG33" s="4">
        <v>624.79999999999995</v>
      </c>
      <c r="AH33" s="12">
        <v>3</v>
      </c>
      <c r="AI33" s="4">
        <v>372.3</v>
      </c>
      <c r="AJ33" s="12">
        <v>4</v>
      </c>
      <c r="AK33" s="4">
        <v>554.9</v>
      </c>
      <c r="AL33" s="12">
        <v>5</v>
      </c>
      <c r="AM33" s="4">
        <v>705.2</v>
      </c>
      <c r="AN33" s="12">
        <v>1</v>
      </c>
      <c r="AO33" s="4">
        <v>140</v>
      </c>
      <c r="AP33" s="12">
        <v>2</v>
      </c>
      <c r="AQ33" s="4">
        <v>186.2</v>
      </c>
      <c r="AR33" s="12">
        <v>3</v>
      </c>
      <c r="AS33" s="4">
        <v>393.1</v>
      </c>
      <c r="AT33" s="12">
        <v>3</v>
      </c>
      <c r="AU33" s="4">
        <v>505.8</v>
      </c>
      <c r="AV33" s="12">
        <v>3</v>
      </c>
      <c r="AW33" s="4">
        <v>353.6</v>
      </c>
      <c r="AX33" s="12">
        <v>0</v>
      </c>
      <c r="AY33" s="4">
        <v>0</v>
      </c>
      <c r="AZ33" s="12">
        <v>4</v>
      </c>
      <c r="BA33" s="4">
        <v>406.3</v>
      </c>
      <c r="BB33" s="12">
        <v>4</v>
      </c>
      <c r="BC33" s="4">
        <v>571.9</v>
      </c>
      <c r="BD33" s="12">
        <v>5</v>
      </c>
      <c r="BE33" s="4">
        <v>558.6</v>
      </c>
      <c r="BF33" s="12">
        <v>3</v>
      </c>
      <c r="BG33" s="4">
        <v>441.9</v>
      </c>
      <c r="BH33" s="12">
        <v>3</v>
      </c>
      <c r="BI33" s="4">
        <v>355</v>
      </c>
      <c r="BJ33" s="4">
        <v>3</v>
      </c>
      <c r="BK33" s="4">
        <v>337.5</v>
      </c>
      <c r="BL33" s="12">
        <v>7</v>
      </c>
      <c r="BM33" s="49">
        <v>853.9</v>
      </c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</row>
    <row r="34" spans="1:98" x14ac:dyDescent="0.25">
      <c r="A34" s="2" t="s">
        <v>76</v>
      </c>
      <c r="D34" s="44">
        <v>9</v>
      </c>
      <c r="E34" s="14">
        <v>3569.2999999999997</v>
      </c>
      <c r="F34" s="45">
        <v>9</v>
      </c>
      <c r="G34" s="14">
        <v>4669.8999999999996</v>
      </c>
      <c r="H34" s="45">
        <v>12</v>
      </c>
      <c r="I34" s="14">
        <v>4677.7000000000007</v>
      </c>
      <c r="J34" s="46">
        <v>13</v>
      </c>
      <c r="K34" s="14">
        <v>6274.8</v>
      </c>
      <c r="L34" s="45">
        <v>9</v>
      </c>
      <c r="M34" s="14">
        <v>2502.3000000000002</v>
      </c>
      <c r="N34" s="45">
        <v>10</v>
      </c>
      <c r="O34" s="14">
        <v>3484.9</v>
      </c>
      <c r="P34" s="45">
        <v>9</v>
      </c>
      <c r="Q34" s="14">
        <v>2966.3</v>
      </c>
      <c r="R34" s="45">
        <v>7</v>
      </c>
      <c r="S34" s="14">
        <v>2776.3</v>
      </c>
      <c r="T34" s="45">
        <v>6</v>
      </c>
      <c r="U34" s="14">
        <v>1435.6999999999998</v>
      </c>
      <c r="V34" s="45">
        <v>11</v>
      </c>
      <c r="W34" s="14">
        <v>3187.8</v>
      </c>
      <c r="X34" s="45">
        <v>8</v>
      </c>
      <c r="Y34" s="14">
        <v>1562.3</v>
      </c>
      <c r="Z34" s="45">
        <v>7</v>
      </c>
      <c r="AA34" s="14">
        <v>3058.8</v>
      </c>
      <c r="AB34" s="45">
        <v>9</v>
      </c>
      <c r="AC34" s="14">
        <v>3302.7000000000003</v>
      </c>
      <c r="AD34" s="45">
        <v>7</v>
      </c>
      <c r="AE34" s="14">
        <v>2091.1</v>
      </c>
      <c r="AF34" s="45">
        <v>8</v>
      </c>
      <c r="AG34" s="14">
        <v>3437.5</v>
      </c>
      <c r="AH34" s="45">
        <v>10</v>
      </c>
      <c r="AI34" s="14">
        <v>3699.3</v>
      </c>
      <c r="AJ34" s="45">
        <v>11</v>
      </c>
      <c r="AK34" s="14">
        <v>4231</v>
      </c>
      <c r="AL34" s="45">
        <v>8</v>
      </c>
      <c r="AM34" s="14">
        <v>2282.1999999999998</v>
      </c>
      <c r="AN34" s="45">
        <v>11</v>
      </c>
      <c r="AO34" s="14">
        <v>6450.5</v>
      </c>
      <c r="AP34" s="45">
        <v>2</v>
      </c>
      <c r="AQ34" s="14">
        <v>186.2</v>
      </c>
      <c r="AR34" s="45">
        <v>7</v>
      </c>
      <c r="AS34" s="14">
        <v>2361.1999999999998</v>
      </c>
      <c r="AT34" s="45">
        <v>4</v>
      </c>
      <c r="AU34" s="14">
        <v>1117.8</v>
      </c>
      <c r="AV34" s="45">
        <v>7</v>
      </c>
      <c r="AW34" s="14">
        <v>2433.6</v>
      </c>
      <c r="AX34" s="45">
        <v>7</v>
      </c>
      <c r="AY34" s="14">
        <v>2274.3000000000002</v>
      </c>
      <c r="AZ34" s="45">
        <v>9</v>
      </c>
      <c r="BA34" s="14">
        <v>3954.7000000000003</v>
      </c>
      <c r="BB34" s="45">
        <v>10</v>
      </c>
      <c r="BC34" s="14">
        <v>4016.9</v>
      </c>
      <c r="BD34" s="45">
        <v>11</v>
      </c>
      <c r="BE34" s="14">
        <v>3819.9</v>
      </c>
      <c r="BF34" s="45">
        <v>5</v>
      </c>
      <c r="BG34" s="14">
        <v>1341.9</v>
      </c>
      <c r="BH34" s="45">
        <v>7</v>
      </c>
      <c r="BI34" s="14">
        <v>3505.8</v>
      </c>
      <c r="BJ34" s="14">
        <v>8</v>
      </c>
      <c r="BK34" s="14">
        <v>2334.6</v>
      </c>
      <c r="BL34" s="45">
        <v>14</v>
      </c>
      <c r="BM34" s="48">
        <v>5050.5</v>
      </c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</row>
    <row r="35" spans="1:98" x14ac:dyDescent="0.25">
      <c r="D35" s="37"/>
      <c r="F35" s="12"/>
      <c r="H35" s="12"/>
      <c r="J35" s="15"/>
      <c r="L35" s="12"/>
      <c r="N35" s="12"/>
      <c r="P35" s="12"/>
      <c r="R35" s="12"/>
      <c r="T35" s="12"/>
      <c r="V35" s="12"/>
      <c r="X35" s="12"/>
      <c r="Z35" s="12"/>
      <c r="AB35" s="12"/>
      <c r="AD35" s="12"/>
      <c r="AF35" s="12"/>
      <c r="AH35" s="12"/>
      <c r="AJ35" s="12"/>
      <c r="AL35" s="12"/>
      <c r="AN35" s="12"/>
      <c r="AP35" s="12"/>
      <c r="AR35" s="12"/>
      <c r="AT35" s="12"/>
      <c r="AV35" s="12"/>
      <c r="AX35" s="12"/>
      <c r="AZ35" s="12"/>
      <c r="BB35" s="12"/>
      <c r="BD35" s="12"/>
      <c r="BF35" s="12"/>
      <c r="BH35" s="12"/>
      <c r="BL35" s="12"/>
      <c r="BM35" s="49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</row>
    <row r="36" spans="1:98" x14ac:dyDescent="0.25">
      <c r="A36" s="2" t="s">
        <v>77</v>
      </c>
      <c r="C36" s="11" t="s">
        <v>9</v>
      </c>
      <c r="D36" s="37">
        <v>0</v>
      </c>
      <c r="E36" s="4">
        <v>0</v>
      </c>
      <c r="F36" s="12">
        <v>0</v>
      </c>
      <c r="G36" s="4">
        <v>0</v>
      </c>
      <c r="H36" s="12">
        <v>3</v>
      </c>
      <c r="I36" s="4">
        <v>2437.1</v>
      </c>
      <c r="J36" s="15">
        <v>0</v>
      </c>
      <c r="K36" s="4">
        <v>0</v>
      </c>
      <c r="L36" s="12">
        <v>0</v>
      </c>
      <c r="M36" s="4">
        <v>0</v>
      </c>
      <c r="N36" s="12">
        <v>0</v>
      </c>
      <c r="O36" s="4">
        <v>0</v>
      </c>
      <c r="P36" s="12">
        <v>0</v>
      </c>
      <c r="Q36" s="4">
        <v>0</v>
      </c>
      <c r="R36" s="12">
        <v>0</v>
      </c>
      <c r="S36" s="4">
        <v>0</v>
      </c>
      <c r="T36" s="12">
        <v>0</v>
      </c>
      <c r="U36" s="4">
        <v>0</v>
      </c>
      <c r="V36" s="12">
        <v>2</v>
      </c>
      <c r="W36" s="4">
        <v>1200</v>
      </c>
      <c r="X36" s="12">
        <v>0</v>
      </c>
      <c r="Y36" s="4">
        <v>0</v>
      </c>
      <c r="Z36" s="12">
        <v>0</v>
      </c>
      <c r="AA36" s="4">
        <v>0</v>
      </c>
      <c r="AB36" s="12">
        <v>0</v>
      </c>
      <c r="AC36" s="4">
        <v>0</v>
      </c>
      <c r="AD36" s="12">
        <v>0</v>
      </c>
      <c r="AE36" s="4">
        <v>0</v>
      </c>
      <c r="AF36" s="12">
        <v>0</v>
      </c>
      <c r="AG36" s="4">
        <v>0</v>
      </c>
      <c r="AH36" s="12">
        <v>0</v>
      </c>
      <c r="AI36" s="4">
        <v>0</v>
      </c>
      <c r="AJ36" s="12">
        <v>2</v>
      </c>
      <c r="AK36" s="4">
        <v>1604.4</v>
      </c>
      <c r="AL36" s="12">
        <v>0</v>
      </c>
      <c r="AM36" s="4">
        <v>0</v>
      </c>
      <c r="AN36" s="12">
        <v>0</v>
      </c>
      <c r="AO36" s="4">
        <v>0</v>
      </c>
      <c r="AP36" s="12">
        <v>0</v>
      </c>
      <c r="AQ36" s="4">
        <v>0</v>
      </c>
      <c r="AR36" s="12">
        <v>0</v>
      </c>
      <c r="AS36" s="4">
        <v>0</v>
      </c>
      <c r="AT36" s="12">
        <v>0</v>
      </c>
      <c r="AU36" s="4">
        <v>0</v>
      </c>
      <c r="AV36" s="12">
        <v>0</v>
      </c>
      <c r="AW36" s="4">
        <v>0</v>
      </c>
      <c r="AX36" s="12">
        <v>0</v>
      </c>
      <c r="AY36" s="4">
        <v>0</v>
      </c>
      <c r="AZ36" s="12">
        <v>1</v>
      </c>
      <c r="BA36" s="4">
        <v>700</v>
      </c>
      <c r="BB36" s="12">
        <v>0</v>
      </c>
      <c r="BC36" s="4">
        <v>0</v>
      </c>
      <c r="BD36" s="12">
        <v>0</v>
      </c>
      <c r="BE36" s="4">
        <v>0</v>
      </c>
      <c r="BF36" s="12">
        <v>0</v>
      </c>
      <c r="BG36" s="4">
        <v>0</v>
      </c>
      <c r="BH36" s="12">
        <v>0</v>
      </c>
      <c r="BI36" s="4">
        <v>0</v>
      </c>
      <c r="BJ36" s="4">
        <v>0</v>
      </c>
      <c r="BK36" s="4">
        <v>0</v>
      </c>
      <c r="BL36" s="12">
        <v>1</v>
      </c>
      <c r="BM36" s="49">
        <v>1000</v>
      </c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</row>
    <row r="37" spans="1:98" x14ac:dyDescent="0.25">
      <c r="A37" s="2" t="s">
        <v>38</v>
      </c>
      <c r="C37" s="11" t="s">
        <v>9</v>
      </c>
      <c r="D37" s="37">
        <v>15</v>
      </c>
      <c r="E37" s="4">
        <v>2101.8000000000002</v>
      </c>
      <c r="F37" s="12">
        <v>24</v>
      </c>
      <c r="G37" s="4">
        <v>2563.1999999999998</v>
      </c>
      <c r="H37" s="12">
        <v>18</v>
      </c>
      <c r="I37" s="4">
        <v>2717.3</v>
      </c>
      <c r="J37" s="15">
        <v>18</v>
      </c>
      <c r="K37" s="4">
        <v>2021.8</v>
      </c>
      <c r="L37" s="12">
        <v>19</v>
      </c>
      <c r="M37" s="4">
        <v>2080.1999999999998</v>
      </c>
      <c r="N37" s="12">
        <v>18</v>
      </c>
      <c r="O37" s="4">
        <v>2266.1999999999998</v>
      </c>
      <c r="P37" s="12">
        <v>22</v>
      </c>
      <c r="Q37" s="4">
        <v>2421</v>
      </c>
      <c r="R37" s="12">
        <v>17</v>
      </c>
      <c r="S37" s="4">
        <v>1396.6</v>
      </c>
      <c r="T37" s="12">
        <v>19</v>
      </c>
      <c r="U37" s="4">
        <v>2355.4</v>
      </c>
      <c r="V37" s="12">
        <v>16</v>
      </c>
      <c r="W37" s="4">
        <v>2148</v>
      </c>
      <c r="X37" s="12">
        <v>22</v>
      </c>
      <c r="Y37" s="4">
        <v>2933.3</v>
      </c>
      <c r="Z37" s="12">
        <v>18</v>
      </c>
      <c r="AA37" s="4">
        <v>1782.2</v>
      </c>
      <c r="AB37" s="12">
        <v>18</v>
      </c>
      <c r="AC37" s="4">
        <v>3368.8</v>
      </c>
      <c r="AD37" s="12">
        <v>17</v>
      </c>
      <c r="AE37" s="4">
        <v>2445.1999999999998</v>
      </c>
      <c r="AF37" s="12">
        <v>20</v>
      </c>
      <c r="AG37" s="4">
        <v>2354.1</v>
      </c>
      <c r="AH37" s="12">
        <v>22</v>
      </c>
      <c r="AI37" s="4">
        <v>1564.5</v>
      </c>
      <c r="AJ37" s="12">
        <v>27</v>
      </c>
      <c r="AK37" s="4">
        <v>3661.9</v>
      </c>
      <c r="AL37" s="12">
        <v>19</v>
      </c>
      <c r="AM37" s="4">
        <v>1584.9</v>
      </c>
      <c r="AN37" s="12">
        <v>13</v>
      </c>
      <c r="AO37" s="4">
        <v>1869.3</v>
      </c>
      <c r="AP37" s="12">
        <v>2</v>
      </c>
      <c r="AQ37" s="4">
        <v>258</v>
      </c>
      <c r="AR37" s="12">
        <v>15</v>
      </c>
      <c r="AS37" s="4">
        <v>1563.8</v>
      </c>
      <c r="AT37" s="12">
        <v>12</v>
      </c>
      <c r="AU37" s="4">
        <v>1133.2</v>
      </c>
      <c r="AV37" s="12">
        <v>20</v>
      </c>
      <c r="AW37" s="4">
        <v>1766.4</v>
      </c>
      <c r="AX37" s="12">
        <v>21</v>
      </c>
      <c r="AY37" s="4">
        <v>2541.1999999999998</v>
      </c>
      <c r="AZ37" s="12">
        <v>21</v>
      </c>
      <c r="BA37" s="4">
        <v>1627.3</v>
      </c>
      <c r="BB37" s="12">
        <v>14</v>
      </c>
      <c r="BC37" s="4">
        <v>1299</v>
      </c>
      <c r="BD37" s="12">
        <v>20</v>
      </c>
      <c r="BE37" s="4">
        <v>3053.1</v>
      </c>
      <c r="BF37" s="12">
        <v>19</v>
      </c>
      <c r="BG37" s="4">
        <v>1436.1</v>
      </c>
      <c r="BH37" s="12">
        <v>11</v>
      </c>
      <c r="BI37" s="4">
        <v>1586.5</v>
      </c>
      <c r="BJ37" s="4">
        <v>13</v>
      </c>
      <c r="BK37" s="4">
        <v>891.1</v>
      </c>
      <c r="BL37" s="12">
        <v>23</v>
      </c>
      <c r="BM37" s="49">
        <v>2684.8</v>
      </c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</row>
    <row r="38" spans="1:98" x14ac:dyDescent="0.25">
      <c r="A38" s="2" t="s">
        <v>78</v>
      </c>
      <c r="C38" s="11" t="s">
        <v>9</v>
      </c>
      <c r="D38" s="37">
        <v>3</v>
      </c>
      <c r="E38" s="4">
        <v>315</v>
      </c>
      <c r="F38" s="12">
        <v>1</v>
      </c>
      <c r="G38" s="4">
        <v>170.1</v>
      </c>
      <c r="H38" s="12">
        <v>2</v>
      </c>
      <c r="I38" s="4">
        <v>228.4</v>
      </c>
      <c r="J38" s="15">
        <v>2</v>
      </c>
      <c r="K38" s="4">
        <v>292.2</v>
      </c>
      <c r="L38" s="12">
        <v>3</v>
      </c>
      <c r="M38" s="4">
        <v>233.9</v>
      </c>
      <c r="N38" s="12">
        <v>4</v>
      </c>
      <c r="O38" s="4">
        <v>493.8</v>
      </c>
      <c r="P38" s="12">
        <v>3</v>
      </c>
      <c r="Q38" s="4">
        <v>315.3</v>
      </c>
      <c r="R38" s="12">
        <v>7</v>
      </c>
      <c r="S38" s="4">
        <v>309.10000000000002</v>
      </c>
      <c r="T38" s="12">
        <v>4</v>
      </c>
      <c r="U38" s="4">
        <v>340.7</v>
      </c>
      <c r="V38" s="12">
        <v>3</v>
      </c>
      <c r="W38" s="4">
        <v>292.60000000000002</v>
      </c>
      <c r="X38" s="12">
        <v>3</v>
      </c>
      <c r="Y38" s="4">
        <v>431.2</v>
      </c>
      <c r="Z38" s="12">
        <v>3</v>
      </c>
      <c r="AA38" s="4">
        <v>287.10000000000002</v>
      </c>
      <c r="AB38" s="12">
        <v>2</v>
      </c>
      <c r="AC38" s="4">
        <v>171.1</v>
      </c>
      <c r="AD38" s="12">
        <v>5</v>
      </c>
      <c r="AE38" s="4">
        <v>273.39999999999998</v>
      </c>
      <c r="AF38" s="12">
        <v>4</v>
      </c>
      <c r="AG38" s="4">
        <v>472.9</v>
      </c>
      <c r="AH38" s="12">
        <v>2</v>
      </c>
      <c r="AI38" s="4">
        <v>243.4</v>
      </c>
      <c r="AJ38" s="12">
        <v>4</v>
      </c>
      <c r="AK38" s="4">
        <v>175.6</v>
      </c>
      <c r="AL38" s="12">
        <v>1</v>
      </c>
      <c r="AM38" s="4">
        <v>148.1</v>
      </c>
      <c r="AN38" s="12">
        <v>1</v>
      </c>
      <c r="AO38" s="4">
        <v>95.6</v>
      </c>
      <c r="AP38" s="12">
        <v>0</v>
      </c>
      <c r="AQ38" s="4">
        <v>0</v>
      </c>
      <c r="AR38" s="12">
        <v>1</v>
      </c>
      <c r="AS38" s="4">
        <v>131.69999999999999</v>
      </c>
      <c r="AT38" s="12">
        <v>1</v>
      </c>
      <c r="AU38" s="4">
        <v>155.1</v>
      </c>
      <c r="AV38" s="12">
        <v>2</v>
      </c>
      <c r="AW38" s="4">
        <v>95.7</v>
      </c>
      <c r="AX38" s="12">
        <v>2</v>
      </c>
      <c r="AY38" s="4">
        <v>221</v>
      </c>
      <c r="AZ38" s="12">
        <v>1</v>
      </c>
      <c r="BA38" s="4">
        <v>10</v>
      </c>
      <c r="BB38" s="12">
        <v>1</v>
      </c>
      <c r="BC38" s="4">
        <v>59.2</v>
      </c>
      <c r="BD38" s="12">
        <v>2</v>
      </c>
      <c r="BE38" s="4">
        <v>161.69999999999999</v>
      </c>
      <c r="BF38" s="12">
        <v>1</v>
      </c>
      <c r="BG38" s="4">
        <v>84.9</v>
      </c>
      <c r="BH38" s="12">
        <v>3</v>
      </c>
      <c r="BI38" s="4">
        <v>921.8</v>
      </c>
      <c r="BJ38" s="4">
        <v>3</v>
      </c>
      <c r="BK38" s="4">
        <v>744.4</v>
      </c>
      <c r="BL38" s="12">
        <v>3</v>
      </c>
      <c r="BM38" s="49">
        <v>324</v>
      </c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</row>
    <row r="39" spans="1:98" x14ac:dyDescent="0.25">
      <c r="A39" s="2" t="s">
        <v>79</v>
      </c>
      <c r="C39" s="11" t="s">
        <v>9</v>
      </c>
      <c r="D39" s="37">
        <v>0</v>
      </c>
      <c r="E39" s="4">
        <v>0</v>
      </c>
      <c r="F39" s="12">
        <v>0</v>
      </c>
      <c r="G39" s="4">
        <v>0</v>
      </c>
      <c r="H39" s="12">
        <v>0</v>
      </c>
      <c r="I39" s="4">
        <v>0</v>
      </c>
      <c r="J39" s="15">
        <v>0</v>
      </c>
      <c r="K39" s="4">
        <v>0</v>
      </c>
      <c r="L39" s="12">
        <v>0</v>
      </c>
      <c r="M39" s="4">
        <v>0</v>
      </c>
      <c r="N39" s="12">
        <v>0</v>
      </c>
      <c r="O39" s="4">
        <v>0</v>
      </c>
      <c r="P39" s="12">
        <v>0</v>
      </c>
      <c r="Q39" s="4">
        <v>0</v>
      </c>
      <c r="R39" s="12">
        <v>0</v>
      </c>
      <c r="S39" s="4">
        <v>0</v>
      </c>
      <c r="T39" s="12">
        <v>0</v>
      </c>
      <c r="U39" s="4">
        <v>0</v>
      </c>
      <c r="V39" s="12">
        <v>0</v>
      </c>
      <c r="W39" s="4">
        <v>0</v>
      </c>
      <c r="X39" s="12">
        <v>0</v>
      </c>
      <c r="Y39" s="4">
        <v>0</v>
      </c>
      <c r="Z39" s="12">
        <v>0</v>
      </c>
      <c r="AA39" s="4">
        <v>0</v>
      </c>
      <c r="AB39" s="12">
        <v>0</v>
      </c>
      <c r="AC39" s="4">
        <v>0</v>
      </c>
      <c r="AD39" s="12">
        <v>0</v>
      </c>
      <c r="AE39" s="4">
        <v>0</v>
      </c>
      <c r="AF39" s="12">
        <v>0</v>
      </c>
      <c r="AG39" s="4">
        <v>0</v>
      </c>
      <c r="AH39" s="12">
        <v>0</v>
      </c>
      <c r="AI39" s="4">
        <v>0</v>
      </c>
      <c r="AJ39" s="12">
        <v>0</v>
      </c>
      <c r="AK39" s="4">
        <v>0</v>
      </c>
      <c r="AL39" s="12">
        <v>0</v>
      </c>
      <c r="AM39" s="4">
        <v>0</v>
      </c>
      <c r="AN39" s="12">
        <v>0</v>
      </c>
      <c r="AO39" s="4">
        <v>0</v>
      </c>
      <c r="AP39" s="12">
        <v>0</v>
      </c>
      <c r="AQ39" s="4">
        <v>0</v>
      </c>
      <c r="AR39" s="12">
        <v>0</v>
      </c>
      <c r="AS39" s="4">
        <v>0</v>
      </c>
      <c r="AT39" s="12">
        <v>0</v>
      </c>
      <c r="AU39" s="4">
        <v>0</v>
      </c>
      <c r="AV39" s="12">
        <v>0</v>
      </c>
      <c r="AW39" s="4">
        <v>0</v>
      </c>
      <c r="AX39" s="12">
        <v>0</v>
      </c>
      <c r="AY39" s="4">
        <v>0</v>
      </c>
      <c r="AZ39" s="12">
        <v>0</v>
      </c>
      <c r="BA39" s="4">
        <v>0</v>
      </c>
      <c r="BB39" s="12">
        <v>0</v>
      </c>
      <c r="BC39" s="4">
        <v>0</v>
      </c>
      <c r="BD39" s="12">
        <v>0</v>
      </c>
      <c r="BE39" s="4">
        <v>0</v>
      </c>
      <c r="BF39" s="12">
        <v>0</v>
      </c>
      <c r="BG39" s="4">
        <v>0</v>
      </c>
      <c r="BH39" s="12">
        <v>0</v>
      </c>
      <c r="BI39" s="4">
        <v>0</v>
      </c>
      <c r="BJ39" s="4">
        <v>0</v>
      </c>
      <c r="BK39" s="4">
        <v>0</v>
      </c>
      <c r="BL39" s="12">
        <v>0</v>
      </c>
      <c r="BM39" s="49">
        <v>0</v>
      </c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</row>
    <row r="40" spans="1:98" x14ac:dyDescent="0.25">
      <c r="A40" s="2" t="s">
        <v>44</v>
      </c>
      <c r="C40" s="11" t="s">
        <v>9</v>
      </c>
      <c r="D40" s="37">
        <v>3</v>
      </c>
      <c r="E40" s="4">
        <v>2225.4</v>
      </c>
      <c r="F40" s="12">
        <v>2</v>
      </c>
      <c r="G40" s="4">
        <v>301</v>
      </c>
      <c r="H40" s="12">
        <v>2</v>
      </c>
      <c r="I40" s="4">
        <v>230.7</v>
      </c>
      <c r="J40" s="15">
        <v>4</v>
      </c>
      <c r="K40" s="4">
        <v>1974.5</v>
      </c>
      <c r="L40" s="12">
        <v>4</v>
      </c>
      <c r="M40" s="4">
        <v>1499.7</v>
      </c>
      <c r="N40" s="12">
        <v>3</v>
      </c>
      <c r="O40" s="4">
        <v>612.79999999999995</v>
      </c>
      <c r="P40" s="12">
        <v>4</v>
      </c>
      <c r="Q40" s="4">
        <v>1742.4</v>
      </c>
      <c r="R40" s="12">
        <v>3</v>
      </c>
      <c r="S40" s="4">
        <v>308</v>
      </c>
      <c r="T40" s="12">
        <v>1</v>
      </c>
      <c r="U40" s="4">
        <v>138.5</v>
      </c>
      <c r="V40" s="12">
        <v>6</v>
      </c>
      <c r="W40" s="4">
        <v>1997.5</v>
      </c>
      <c r="X40" s="12">
        <v>3</v>
      </c>
      <c r="Y40" s="4">
        <v>417.6</v>
      </c>
      <c r="Z40" s="12">
        <v>0</v>
      </c>
      <c r="AA40" s="4">
        <v>0</v>
      </c>
      <c r="AB40" s="12">
        <v>4</v>
      </c>
      <c r="AC40" s="4">
        <v>857.6</v>
      </c>
      <c r="AD40" s="12">
        <v>3</v>
      </c>
      <c r="AE40" s="4">
        <v>1100</v>
      </c>
      <c r="AF40" s="12">
        <v>3</v>
      </c>
      <c r="AG40" s="4">
        <v>710.1</v>
      </c>
      <c r="AH40" s="12">
        <v>6</v>
      </c>
      <c r="AI40" s="4">
        <v>1835.2</v>
      </c>
      <c r="AJ40" s="12">
        <v>1</v>
      </c>
      <c r="AK40" s="4">
        <v>316</v>
      </c>
      <c r="AL40" s="12">
        <v>2</v>
      </c>
      <c r="AM40" s="4">
        <v>700</v>
      </c>
      <c r="AN40" s="12">
        <v>5</v>
      </c>
      <c r="AO40" s="4">
        <v>1103.0999999999999</v>
      </c>
      <c r="AP40" s="12">
        <v>1</v>
      </c>
      <c r="AQ40" s="4">
        <v>194.2</v>
      </c>
      <c r="AR40" s="12">
        <v>4</v>
      </c>
      <c r="AS40" s="4">
        <v>1410.4</v>
      </c>
      <c r="AT40" s="12">
        <v>6</v>
      </c>
      <c r="AU40" s="4">
        <v>830.8</v>
      </c>
      <c r="AV40" s="12">
        <v>2</v>
      </c>
      <c r="AW40" s="4">
        <v>663.9</v>
      </c>
      <c r="AX40" s="12">
        <v>6</v>
      </c>
      <c r="AY40" s="4">
        <v>1099.0999999999999</v>
      </c>
      <c r="AZ40" s="12">
        <v>2</v>
      </c>
      <c r="BA40" s="4">
        <v>199.3</v>
      </c>
      <c r="BB40" s="12">
        <v>5</v>
      </c>
      <c r="BC40" s="4">
        <v>1558.8</v>
      </c>
      <c r="BD40" s="12">
        <v>2</v>
      </c>
      <c r="BE40" s="4">
        <v>164.3</v>
      </c>
      <c r="BF40" s="12">
        <v>4</v>
      </c>
      <c r="BG40" s="4">
        <v>1198.3</v>
      </c>
      <c r="BH40" s="12">
        <v>2</v>
      </c>
      <c r="BI40" s="4">
        <v>517.70000000000005</v>
      </c>
      <c r="BJ40" s="4">
        <v>3</v>
      </c>
      <c r="BK40" s="4">
        <v>1021</v>
      </c>
      <c r="BL40" s="12">
        <v>3</v>
      </c>
      <c r="BM40" s="49">
        <v>725.2</v>
      </c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</row>
    <row r="41" spans="1:98" x14ac:dyDescent="0.25">
      <c r="C41" s="2"/>
      <c r="D41" s="37"/>
      <c r="F41" s="12"/>
      <c r="H41" s="12"/>
      <c r="J41" s="15"/>
      <c r="L41" s="12"/>
      <c r="N41" s="12"/>
      <c r="P41" s="12"/>
      <c r="R41" s="12"/>
      <c r="T41" s="12"/>
      <c r="V41" s="12"/>
      <c r="X41" s="12"/>
      <c r="Z41" s="12"/>
      <c r="AB41" s="12"/>
      <c r="AD41" s="12"/>
      <c r="AF41" s="12"/>
      <c r="AH41" s="12"/>
      <c r="AJ41" s="12"/>
      <c r="AL41" s="12"/>
      <c r="AN41" s="12"/>
      <c r="AP41" s="12"/>
      <c r="AR41" s="12"/>
      <c r="AT41" s="12"/>
      <c r="AV41" s="12"/>
      <c r="AX41" s="12"/>
      <c r="AZ41" s="12"/>
      <c r="BB41" s="12"/>
      <c r="BD41" s="12"/>
      <c r="BF41" s="12"/>
      <c r="BH41" s="12"/>
      <c r="BL41" s="12"/>
      <c r="BM41" s="49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</row>
    <row r="42" spans="1:98" x14ac:dyDescent="0.25">
      <c r="A42" s="2" t="s">
        <v>80</v>
      </c>
      <c r="D42" s="50">
        <v>188</v>
      </c>
      <c r="E42" s="51">
        <v>66144.200000000012</v>
      </c>
      <c r="F42" s="52">
        <v>196</v>
      </c>
      <c r="G42" s="51">
        <v>56439.5</v>
      </c>
      <c r="H42" s="52">
        <v>259</v>
      </c>
      <c r="I42" s="51">
        <v>92072.299999999988</v>
      </c>
      <c r="J42" s="53">
        <v>219</v>
      </c>
      <c r="K42" s="51">
        <v>79870.200000000012</v>
      </c>
      <c r="L42" s="52">
        <v>231</v>
      </c>
      <c r="M42" s="51">
        <v>80543.600000000006</v>
      </c>
      <c r="N42" s="52">
        <v>235</v>
      </c>
      <c r="O42" s="51">
        <v>73686.900000000009</v>
      </c>
      <c r="P42" s="52">
        <v>196</v>
      </c>
      <c r="Q42" s="51">
        <v>58409.700000000012</v>
      </c>
      <c r="R42" s="52">
        <v>202</v>
      </c>
      <c r="S42" s="51">
        <v>57478.700000000004</v>
      </c>
      <c r="T42" s="52">
        <v>215</v>
      </c>
      <c r="U42" s="51">
        <v>64254.3</v>
      </c>
      <c r="V42" s="52">
        <v>238</v>
      </c>
      <c r="W42" s="51">
        <v>84463</v>
      </c>
      <c r="X42" s="52">
        <v>209</v>
      </c>
      <c r="Y42" s="51">
        <v>67875.599999999991</v>
      </c>
      <c r="Z42" s="52">
        <v>224</v>
      </c>
      <c r="AA42" s="51">
        <v>80898.200000000012</v>
      </c>
      <c r="AB42" s="52">
        <v>214</v>
      </c>
      <c r="AC42" s="51">
        <v>80523.599999999991</v>
      </c>
      <c r="AD42" s="52">
        <v>190</v>
      </c>
      <c r="AE42" s="51">
        <v>60291.80000000001</v>
      </c>
      <c r="AF42" s="52">
        <v>222</v>
      </c>
      <c r="AG42" s="51">
        <v>72126.8</v>
      </c>
      <c r="AH42" s="52">
        <v>201</v>
      </c>
      <c r="AI42" s="51">
        <v>60388.80000000001</v>
      </c>
      <c r="AJ42" s="52">
        <v>293</v>
      </c>
      <c r="AK42" s="51">
        <v>101493.20000000003</v>
      </c>
      <c r="AL42" s="52">
        <v>208</v>
      </c>
      <c r="AM42" s="51">
        <v>71259.899999999994</v>
      </c>
      <c r="AN42" s="52">
        <v>237</v>
      </c>
      <c r="AO42" s="51">
        <v>96213.499999999985</v>
      </c>
      <c r="AP42" s="52">
        <v>6</v>
      </c>
      <c r="AQ42" s="51">
        <v>835</v>
      </c>
      <c r="AR42" s="52">
        <v>188</v>
      </c>
      <c r="AS42" s="51">
        <v>57536.299999999996</v>
      </c>
      <c r="AT42" s="52">
        <v>162</v>
      </c>
      <c r="AU42" s="51">
        <v>52115.3</v>
      </c>
      <c r="AV42" s="52">
        <v>188</v>
      </c>
      <c r="AW42" s="51">
        <v>58100.2</v>
      </c>
      <c r="AX42" s="52">
        <v>265</v>
      </c>
      <c r="AY42" s="51">
        <v>89357.3</v>
      </c>
      <c r="AZ42" s="52">
        <v>204</v>
      </c>
      <c r="BA42" s="51">
        <v>68860.800000000003</v>
      </c>
      <c r="BB42" s="52">
        <v>251</v>
      </c>
      <c r="BC42" s="51">
        <v>96209.8</v>
      </c>
      <c r="BD42" s="52">
        <v>243</v>
      </c>
      <c r="BE42" s="51">
        <v>81843.700000000012</v>
      </c>
      <c r="BF42" s="52">
        <v>168</v>
      </c>
      <c r="BG42" s="51">
        <v>46713.1</v>
      </c>
      <c r="BH42" s="52">
        <v>169</v>
      </c>
      <c r="BI42" s="51">
        <v>62169</v>
      </c>
      <c r="BJ42" s="51">
        <v>190</v>
      </c>
      <c r="BK42" s="51">
        <v>54296.5</v>
      </c>
      <c r="BL42" s="52">
        <v>277</v>
      </c>
      <c r="BM42" s="54">
        <v>101462.19999999998</v>
      </c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</row>
    <row r="43" spans="1:98" x14ac:dyDescent="0.25">
      <c r="D43" s="12"/>
      <c r="F43" s="12"/>
      <c r="H43" s="12"/>
      <c r="J43" s="15"/>
      <c r="L43" s="12"/>
      <c r="N43" s="12"/>
      <c r="U43" s="14"/>
      <c r="V43" s="14"/>
      <c r="AD43" s="12"/>
      <c r="AJ43" s="12"/>
      <c r="AL43" s="12"/>
      <c r="AT43" s="12"/>
      <c r="BB43" s="12"/>
      <c r="BD43" s="12"/>
      <c r="BH43" s="12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</row>
    <row r="44" spans="1:98" x14ac:dyDescent="0.25">
      <c r="D44" s="12"/>
      <c r="F44" s="12"/>
      <c r="H44" s="12"/>
      <c r="J44" s="15"/>
      <c r="N44" s="12"/>
      <c r="AD44" s="12"/>
      <c r="AJ44" s="12"/>
      <c r="AL44" s="12"/>
      <c r="AT44" s="12"/>
      <c r="BB44" s="12"/>
      <c r="BD44" s="12"/>
      <c r="BH44" s="12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</row>
    <row r="45" spans="1:98" x14ac:dyDescent="0.25">
      <c r="D45" s="12"/>
      <c r="F45" s="12"/>
      <c r="H45" s="12"/>
      <c r="J45" s="15"/>
      <c r="AD45" s="12"/>
      <c r="BB45" s="12"/>
      <c r="BD45" s="12"/>
      <c r="BH45" s="12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</row>
    <row r="46" spans="1:98" x14ac:dyDescent="0.25">
      <c r="D46" s="12"/>
      <c r="F46" s="12"/>
      <c r="H46" s="12"/>
      <c r="J46" s="15"/>
      <c r="AD46" s="12"/>
      <c r="BB46" s="12"/>
      <c r="BD46" s="12"/>
      <c r="BH46" s="12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</row>
    <row r="47" spans="1:98" x14ac:dyDescent="0.25">
      <c r="D47" s="12"/>
      <c r="F47" s="12"/>
      <c r="H47" s="12"/>
      <c r="J47" s="15"/>
      <c r="AD47" s="12"/>
      <c r="BB47" s="12"/>
      <c r="BD47" s="12"/>
      <c r="BH47" s="12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</row>
    <row r="48" spans="1:98" x14ac:dyDescent="0.25">
      <c r="D48" s="12"/>
      <c r="F48" s="12"/>
      <c r="H48" s="12"/>
      <c r="J48" s="15"/>
      <c r="AD48" s="12"/>
      <c r="BB48" s="12"/>
      <c r="BD48" s="12"/>
      <c r="BH48" s="12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</row>
    <row r="49" spans="4:98" x14ac:dyDescent="0.25">
      <c r="D49" s="12"/>
      <c r="F49" s="12"/>
      <c r="H49" s="12"/>
      <c r="J49" s="15"/>
      <c r="BB49" s="12"/>
      <c r="BD49" s="12"/>
      <c r="BH49" s="12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</row>
    <row r="50" spans="4:98" x14ac:dyDescent="0.25">
      <c r="D50" s="12"/>
      <c r="F50" s="12"/>
      <c r="H50" s="12"/>
      <c r="J50" s="15"/>
      <c r="BB50" s="12"/>
      <c r="BD50" s="12"/>
      <c r="BH50" s="12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</row>
    <row r="51" spans="4:98" x14ac:dyDescent="0.25">
      <c r="D51" s="12"/>
      <c r="F51" s="12"/>
      <c r="H51" s="12"/>
      <c r="BB51" s="12"/>
      <c r="BD51" s="12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</row>
    <row r="52" spans="4:98" x14ac:dyDescent="0.25">
      <c r="F52" s="12"/>
      <c r="H52" s="12"/>
      <c r="BB52" s="12"/>
      <c r="BD52" s="12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</row>
    <row r="53" spans="4:98" x14ac:dyDescent="0.25">
      <c r="F53" s="12"/>
      <c r="H53" s="12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</row>
    <row r="54" spans="4:98" x14ac:dyDescent="0.25">
      <c r="F54" s="12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</row>
    <row r="55" spans="4:98" x14ac:dyDescent="0.25"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</row>
    <row r="56" spans="4:98" x14ac:dyDescent="0.25"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</row>
  </sheetData>
  <mergeCells count="31">
    <mergeCell ref="Z3:AA3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AX3:AY3"/>
    <mergeCell ref="AB3:AC3"/>
    <mergeCell ref="AD3:AE3"/>
    <mergeCell ref="AF3:AG3"/>
    <mergeCell ref="AH3:AI3"/>
    <mergeCell ref="AJ3:AK3"/>
    <mergeCell ref="AL3:AM3"/>
    <mergeCell ref="AN3:AO3"/>
    <mergeCell ref="AP3:AQ3"/>
    <mergeCell ref="AR3:AS3"/>
    <mergeCell ref="AT3:AU3"/>
    <mergeCell ref="AV3:AW3"/>
    <mergeCell ref="BL3:BM3"/>
    <mergeCell ref="AZ3:BA3"/>
    <mergeCell ref="BB3:BC3"/>
    <mergeCell ref="BD3:BE3"/>
    <mergeCell ref="BF3:BG3"/>
    <mergeCell ref="BH3:BI3"/>
    <mergeCell ref="BJ3:BK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7DFE9-F45B-42F6-8C99-AFE0E418F0CC}">
  <sheetPr codeName="Sheet6"/>
  <dimension ref="A1:CQ56"/>
  <sheetViews>
    <sheetView showGridLines="0" workbookViewId="0"/>
  </sheetViews>
  <sheetFormatPr defaultRowHeight="15" x14ac:dyDescent="0.25"/>
  <cols>
    <col min="1" max="1" width="3.42578125" customWidth="1"/>
    <col min="2" max="2" width="26.7109375" customWidth="1"/>
    <col min="3" max="3" width="19.7109375" customWidth="1"/>
    <col min="4" max="4" width="12.7109375" customWidth="1"/>
    <col min="5" max="6" width="11.28515625" style="17" customWidth="1"/>
    <col min="7" max="8" width="11.7109375" style="17" customWidth="1"/>
    <col min="9" max="76" width="11.42578125" style="17" customWidth="1"/>
    <col min="77" max="77" width="10.42578125" style="17" bestFit="1" customWidth="1"/>
    <col min="78" max="79" width="9.140625" style="17"/>
  </cols>
  <sheetData>
    <row r="1" spans="1:95" x14ac:dyDescent="0.25">
      <c r="A1" s="16" t="s">
        <v>65</v>
      </c>
    </row>
    <row r="2" spans="1:95" x14ac:dyDescent="0.25">
      <c r="A2" t="s">
        <v>81</v>
      </c>
      <c r="E2" s="18"/>
      <c r="F2" s="18"/>
      <c r="G2" s="18"/>
      <c r="H2" s="18"/>
    </row>
    <row r="3" spans="1:95" s="19" customFormat="1" x14ac:dyDescent="0.25">
      <c r="D3" s="157">
        <v>45839</v>
      </c>
      <c r="E3" s="155"/>
      <c r="F3" s="155">
        <v>45840</v>
      </c>
      <c r="G3" s="155"/>
      <c r="H3" s="155">
        <v>45841</v>
      </c>
      <c r="I3" s="155"/>
      <c r="J3" s="155">
        <v>45842</v>
      </c>
      <c r="K3" s="155"/>
      <c r="L3" s="155">
        <v>45843</v>
      </c>
      <c r="M3" s="155"/>
      <c r="N3" s="155">
        <v>45844</v>
      </c>
      <c r="O3" s="155"/>
      <c r="P3" s="155">
        <v>45845</v>
      </c>
      <c r="Q3" s="155"/>
      <c r="R3" s="155">
        <v>45846</v>
      </c>
      <c r="S3" s="155"/>
      <c r="T3" s="155">
        <v>45847</v>
      </c>
      <c r="U3" s="155"/>
      <c r="V3" s="155">
        <v>45848</v>
      </c>
      <c r="W3" s="155"/>
      <c r="X3" s="155">
        <v>45849</v>
      </c>
      <c r="Y3" s="155"/>
      <c r="Z3" s="155">
        <v>45850</v>
      </c>
      <c r="AA3" s="155"/>
      <c r="AB3" s="155">
        <v>45851</v>
      </c>
      <c r="AC3" s="155"/>
      <c r="AD3" s="155">
        <v>45852</v>
      </c>
      <c r="AE3" s="155"/>
      <c r="AF3" s="155">
        <v>45853</v>
      </c>
      <c r="AG3" s="155"/>
      <c r="AH3" s="155">
        <v>45854</v>
      </c>
      <c r="AI3" s="155"/>
      <c r="AJ3" s="155">
        <v>45855</v>
      </c>
      <c r="AK3" s="155"/>
      <c r="AL3" s="155">
        <v>45856</v>
      </c>
      <c r="AM3" s="155"/>
      <c r="AN3" s="155">
        <v>45857</v>
      </c>
      <c r="AO3" s="155"/>
      <c r="AP3" s="155">
        <v>45858</v>
      </c>
      <c r="AQ3" s="155"/>
      <c r="AR3" s="155">
        <v>45859</v>
      </c>
      <c r="AS3" s="155"/>
      <c r="AT3" s="155">
        <v>45860</v>
      </c>
      <c r="AU3" s="155"/>
      <c r="AV3" s="155">
        <v>45861</v>
      </c>
      <c r="AW3" s="155"/>
      <c r="AX3" s="155">
        <v>45862</v>
      </c>
      <c r="AY3" s="155"/>
      <c r="AZ3" s="155">
        <v>45863</v>
      </c>
      <c r="BA3" s="155"/>
      <c r="BB3" s="155">
        <v>45864</v>
      </c>
      <c r="BC3" s="155"/>
      <c r="BD3" s="155">
        <v>45865</v>
      </c>
      <c r="BE3" s="155"/>
      <c r="BF3" s="155">
        <v>45866</v>
      </c>
      <c r="BG3" s="155"/>
      <c r="BH3" s="155">
        <v>45867</v>
      </c>
      <c r="BI3" s="155"/>
      <c r="BJ3" s="155">
        <v>45868</v>
      </c>
      <c r="BK3" s="155"/>
      <c r="BL3" s="155">
        <v>45869</v>
      </c>
      <c r="BM3" s="156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1"/>
      <c r="CA3" s="21"/>
    </row>
    <row r="4" spans="1:95" x14ac:dyDescent="0.25">
      <c r="C4" s="19" t="s">
        <v>2</v>
      </c>
      <c r="D4" s="22" t="s">
        <v>66</v>
      </c>
      <c r="E4" s="23" t="s">
        <v>67</v>
      </c>
      <c r="F4" s="22" t="s">
        <v>66</v>
      </c>
      <c r="G4" s="23" t="s">
        <v>67</v>
      </c>
      <c r="H4" s="22" t="s">
        <v>66</v>
      </c>
      <c r="I4" s="23" t="s">
        <v>67</v>
      </c>
      <c r="J4" s="22" t="s">
        <v>66</v>
      </c>
      <c r="K4" s="23" t="s">
        <v>67</v>
      </c>
      <c r="L4" s="22" t="s">
        <v>66</v>
      </c>
      <c r="M4" s="23" t="s">
        <v>67</v>
      </c>
      <c r="N4" s="22" t="s">
        <v>66</v>
      </c>
      <c r="O4" s="23" t="s">
        <v>67</v>
      </c>
      <c r="P4" s="22" t="s">
        <v>66</v>
      </c>
      <c r="Q4" s="23" t="s">
        <v>67</v>
      </c>
      <c r="R4" s="22" t="s">
        <v>66</v>
      </c>
      <c r="S4" s="23" t="s">
        <v>67</v>
      </c>
      <c r="T4" s="22" t="s">
        <v>66</v>
      </c>
      <c r="U4" s="23" t="s">
        <v>67</v>
      </c>
      <c r="V4" s="22" t="s">
        <v>66</v>
      </c>
      <c r="W4" s="23" t="s">
        <v>67</v>
      </c>
      <c r="X4" s="22" t="s">
        <v>66</v>
      </c>
      <c r="Y4" s="23" t="s">
        <v>67</v>
      </c>
      <c r="Z4" s="22" t="s">
        <v>66</v>
      </c>
      <c r="AA4" s="23" t="s">
        <v>67</v>
      </c>
      <c r="AB4" s="22" t="s">
        <v>66</v>
      </c>
      <c r="AC4" s="23" t="s">
        <v>67</v>
      </c>
      <c r="AD4" s="22" t="s">
        <v>66</v>
      </c>
      <c r="AE4" s="23" t="s">
        <v>67</v>
      </c>
      <c r="AF4" s="22" t="s">
        <v>66</v>
      </c>
      <c r="AG4" s="23" t="s">
        <v>67</v>
      </c>
      <c r="AH4" s="22" t="s">
        <v>66</v>
      </c>
      <c r="AI4" s="23" t="s">
        <v>67</v>
      </c>
      <c r="AJ4" s="22" t="s">
        <v>66</v>
      </c>
      <c r="AK4" s="23" t="s">
        <v>67</v>
      </c>
      <c r="AL4" s="22" t="s">
        <v>66</v>
      </c>
      <c r="AM4" s="23" t="s">
        <v>67</v>
      </c>
      <c r="AN4" s="22" t="s">
        <v>66</v>
      </c>
      <c r="AO4" s="23" t="s">
        <v>67</v>
      </c>
      <c r="AP4" s="22" t="s">
        <v>66</v>
      </c>
      <c r="AQ4" s="23" t="s">
        <v>67</v>
      </c>
      <c r="AR4" s="22" t="s">
        <v>66</v>
      </c>
      <c r="AS4" s="23" t="s">
        <v>67</v>
      </c>
      <c r="AT4" s="22" t="s">
        <v>66</v>
      </c>
      <c r="AU4" s="23" t="s">
        <v>67</v>
      </c>
      <c r="AV4" s="22" t="s">
        <v>66</v>
      </c>
      <c r="AW4" s="23" t="s">
        <v>67</v>
      </c>
      <c r="AX4" s="22" t="s">
        <v>66</v>
      </c>
      <c r="AY4" s="23" t="s">
        <v>67</v>
      </c>
      <c r="AZ4" s="22" t="s">
        <v>66</v>
      </c>
      <c r="BA4" s="23" t="s">
        <v>67</v>
      </c>
      <c r="BB4" s="22" t="s">
        <v>66</v>
      </c>
      <c r="BC4" s="23" t="s">
        <v>67</v>
      </c>
      <c r="BD4" s="22" t="s">
        <v>66</v>
      </c>
      <c r="BE4" s="23" t="s">
        <v>67</v>
      </c>
      <c r="BF4" s="22" t="s">
        <v>66</v>
      </c>
      <c r="BG4" s="23" t="s">
        <v>67</v>
      </c>
      <c r="BH4" s="22" t="s">
        <v>66</v>
      </c>
      <c r="BI4" s="23" t="s">
        <v>67</v>
      </c>
      <c r="BJ4" s="22" t="s">
        <v>66</v>
      </c>
      <c r="BK4" s="23" t="s">
        <v>67</v>
      </c>
      <c r="BL4" s="22" t="s">
        <v>66</v>
      </c>
      <c r="BM4" s="23" t="s">
        <v>67</v>
      </c>
      <c r="BN4" s="22"/>
      <c r="BO4" s="23"/>
      <c r="BP4" s="22"/>
      <c r="BQ4" s="23"/>
      <c r="BR4" s="22"/>
      <c r="BS4" s="23"/>
      <c r="BT4" s="22"/>
      <c r="BU4" s="23"/>
      <c r="BV4" s="22"/>
      <c r="BW4" s="23"/>
      <c r="BX4" s="22"/>
      <c r="BY4" s="23"/>
      <c r="BZ4" s="22"/>
      <c r="CA4" s="23"/>
      <c r="CB4" s="22"/>
      <c r="CC4" s="23"/>
      <c r="CD4" s="17"/>
      <c r="CE4" s="17"/>
      <c r="CF4" s="17"/>
      <c r="CG4" s="17"/>
      <c r="CH4" s="17"/>
      <c r="CI4" s="17"/>
      <c r="CJ4" s="17"/>
      <c r="CK4" s="17"/>
      <c r="CL4" s="17"/>
      <c r="CM4" s="17"/>
      <c r="CN4" s="17"/>
      <c r="CO4" s="17"/>
      <c r="CP4" s="17"/>
      <c r="CQ4" s="17"/>
    </row>
    <row r="5" spans="1:95" x14ac:dyDescent="0.25">
      <c r="A5" s="16" t="s">
        <v>68</v>
      </c>
      <c r="D5" s="17"/>
      <c r="BL5" s="24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</row>
    <row r="6" spans="1:95" x14ac:dyDescent="0.25">
      <c r="B6" t="s">
        <v>82</v>
      </c>
      <c r="C6" s="25" t="s">
        <v>9</v>
      </c>
      <c r="D6" s="55">
        <v>7</v>
      </c>
      <c r="E6" s="56">
        <v>3481.1</v>
      </c>
      <c r="F6" s="57">
        <v>2</v>
      </c>
      <c r="G6" s="56">
        <v>1466.2</v>
      </c>
      <c r="H6" s="57">
        <v>3</v>
      </c>
      <c r="I6" s="56">
        <v>651.79999999999995</v>
      </c>
      <c r="J6" s="57">
        <v>5</v>
      </c>
      <c r="K6" s="56">
        <v>1686.4</v>
      </c>
      <c r="L6" s="57">
        <v>2</v>
      </c>
      <c r="M6" s="56">
        <v>800</v>
      </c>
      <c r="N6" s="57">
        <v>4</v>
      </c>
      <c r="O6" s="56">
        <v>2166.1</v>
      </c>
      <c r="P6" s="57">
        <v>1</v>
      </c>
      <c r="Q6" s="56">
        <v>500</v>
      </c>
      <c r="R6" s="57">
        <v>2</v>
      </c>
      <c r="S6" s="56">
        <v>1570.6</v>
      </c>
      <c r="T6" s="57">
        <v>1</v>
      </c>
      <c r="U6" s="56">
        <v>500</v>
      </c>
      <c r="V6" s="57">
        <v>6</v>
      </c>
      <c r="W6" s="56">
        <v>2799.5</v>
      </c>
      <c r="X6" s="57">
        <v>3</v>
      </c>
      <c r="Y6" s="56">
        <v>2138.3000000000002</v>
      </c>
      <c r="Z6" s="57">
        <v>4</v>
      </c>
      <c r="AA6" s="56">
        <v>1743.5</v>
      </c>
      <c r="AB6" s="57">
        <v>6</v>
      </c>
      <c r="AC6" s="56">
        <v>3954.7</v>
      </c>
      <c r="AD6" s="57">
        <v>3</v>
      </c>
      <c r="AE6" s="56">
        <v>1900</v>
      </c>
      <c r="AF6" s="57">
        <v>1</v>
      </c>
      <c r="AG6" s="58">
        <v>500</v>
      </c>
      <c r="AH6" s="57">
        <v>4</v>
      </c>
      <c r="AI6" s="56">
        <v>1388.3</v>
      </c>
      <c r="AJ6" s="57">
        <v>7</v>
      </c>
      <c r="AK6" s="56">
        <v>2926.7</v>
      </c>
      <c r="AL6" s="57">
        <v>5</v>
      </c>
      <c r="AM6" s="56">
        <v>2598.8000000000002</v>
      </c>
      <c r="AN6" s="57">
        <v>4</v>
      </c>
      <c r="AO6" s="56">
        <v>3063.5</v>
      </c>
      <c r="AP6" s="57">
        <v>0</v>
      </c>
      <c r="AQ6" s="56">
        <v>0</v>
      </c>
      <c r="AR6" s="57">
        <v>2</v>
      </c>
      <c r="AS6" s="56">
        <v>1000</v>
      </c>
      <c r="AT6" s="57">
        <v>2</v>
      </c>
      <c r="AU6" s="56">
        <v>618.29999999999995</v>
      </c>
      <c r="AV6" s="57">
        <v>2</v>
      </c>
      <c r="AW6" s="56">
        <v>573.20000000000005</v>
      </c>
      <c r="AX6" s="57">
        <v>6</v>
      </c>
      <c r="AY6" s="56">
        <v>3323.6</v>
      </c>
      <c r="AZ6" s="57">
        <v>0</v>
      </c>
      <c r="BA6" s="56">
        <v>0</v>
      </c>
      <c r="BB6" s="57">
        <v>2</v>
      </c>
      <c r="BC6" s="56">
        <v>490.5</v>
      </c>
      <c r="BD6" s="57">
        <v>4</v>
      </c>
      <c r="BE6" s="56">
        <v>931.7</v>
      </c>
      <c r="BF6" s="57">
        <v>2</v>
      </c>
      <c r="BG6" s="56">
        <v>524.20000000000005</v>
      </c>
      <c r="BH6" s="57">
        <v>1</v>
      </c>
      <c r="BI6" s="56">
        <v>801.6</v>
      </c>
      <c r="BJ6" s="57">
        <v>5</v>
      </c>
      <c r="BK6" s="56">
        <v>1869.2</v>
      </c>
      <c r="BL6" s="57">
        <v>2</v>
      </c>
      <c r="BM6" s="59">
        <v>1127.0999999999999</v>
      </c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</row>
    <row r="7" spans="1:95" x14ac:dyDescent="0.25">
      <c r="B7" t="s">
        <v>83</v>
      </c>
      <c r="C7" s="25" t="s">
        <v>9</v>
      </c>
      <c r="D7" s="60">
        <v>7</v>
      </c>
      <c r="E7" s="61">
        <v>2822.8</v>
      </c>
      <c r="F7" s="62">
        <v>4</v>
      </c>
      <c r="G7" s="61">
        <v>2200</v>
      </c>
      <c r="H7" s="62">
        <v>5</v>
      </c>
      <c r="I7" s="61">
        <v>3126</v>
      </c>
      <c r="J7" s="62">
        <v>7</v>
      </c>
      <c r="K7" s="61">
        <v>3807.2</v>
      </c>
      <c r="L7" s="62">
        <v>5</v>
      </c>
      <c r="M7" s="61">
        <v>2103.6999999999998</v>
      </c>
      <c r="N7" s="62">
        <v>6</v>
      </c>
      <c r="O7" s="61">
        <v>3032.8</v>
      </c>
      <c r="P7" s="62">
        <v>2</v>
      </c>
      <c r="Q7" s="61">
        <v>724.4</v>
      </c>
      <c r="R7" s="62">
        <v>10</v>
      </c>
      <c r="S7" s="61">
        <v>4442.6000000000004</v>
      </c>
      <c r="T7" s="62">
        <v>1</v>
      </c>
      <c r="U7" s="61">
        <v>500</v>
      </c>
      <c r="V7" s="62">
        <v>10</v>
      </c>
      <c r="W7" s="61">
        <v>5451.6</v>
      </c>
      <c r="X7" s="62">
        <v>5</v>
      </c>
      <c r="Y7" s="61">
        <v>3022.1</v>
      </c>
      <c r="Z7" s="62">
        <v>5</v>
      </c>
      <c r="AA7" s="61">
        <v>2337.1</v>
      </c>
      <c r="AB7" s="62">
        <v>1</v>
      </c>
      <c r="AC7" s="61">
        <v>500</v>
      </c>
      <c r="AD7" s="62">
        <v>1</v>
      </c>
      <c r="AE7" s="61">
        <v>39</v>
      </c>
      <c r="AF7" s="62">
        <v>7</v>
      </c>
      <c r="AG7" s="63">
        <v>3965.4</v>
      </c>
      <c r="AH7" s="62">
        <v>2</v>
      </c>
      <c r="AI7" s="61">
        <v>1171</v>
      </c>
      <c r="AJ7" s="62">
        <v>3</v>
      </c>
      <c r="AK7" s="61">
        <v>1573.3</v>
      </c>
      <c r="AL7" s="62">
        <v>8</v>
      </c>
      <c r="AM7" s="61">
        <v>4552.1000000000004</v>
      </c>
      <c r="AN7" s="62">
        <v>8</v>
      </c>
      <c r="AO7" s="61">
        <v>4461.1000000000004</v>
      </c>
      <c r="AP7" s="62">
        <v>0</v>
      </c>
      <c r="AQ7" s="61">
        <v>0</v>
      </c>
      <c r="AR7" s="62">
        <v>4</v>
      </c>
      <c r="AS7" s="61">
        <v>1982.4</v>
      </c>
      <c r="AT7" s="62">
        <v>9</v>
      </c>
      <c r="AU7" s="61">
        <v>6731.5</v>
      </c>
      <c r="AV7" s="62">
        <v>5</v>
      </c>
      <c r="AW7" s="61">
        <v>2484.3000000000002</v>
      </c>
      <c r="AX7" s="62">
        <v>7</v>
      </c>
      <c r="AY7" s="61">
        <v>4609.1000000000004</v>
      </c>
      <c r="AZ7" s="62">
        <v>7</v>
      </c>
      <c r="BA7" s="61">
        <v>5058.3999999999996</v>
      </c>
      <c r="BB7" s="62">
        <v>5</v>
      </c>
      <c r="BC7" s="61">
        <v>2051.4</v>
      </c>
      <c r="BD7" s="62">
        <v>4</v>
      </c>
      <c r="BE7" s="61">
        <v>2062.1</v>
      </c>
      <c r="BF7" s="62">
        <v>5</v>
      </c>
      <c r="BG7" s="61">
        <v>2454</v>
      </c>
      <c r="BH7" s="62">
        <v>6</v>
      </c>
      <c r="BI7" s="61">
        <v>3993.5</v>
      </c>
      <c r="BJ7" s="62">
        <v>3</v>
      </c>
      <c r="BK7" s="61">
        <v>1629.8</v>
      </c>
      <c r="BL7" s="62">
        <v>8</v>
      </c>
      <c r="BM7" s="64">
        <v>4262.7</v>
      </c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</row>
    <row r="8" spans="1:95" x14ac:dyDescent="0.25">
      <c r="B8" t="s">
        <v>10</v>
      </c>
      <c r="C8" s="25" t="s">
        <v>9</v>
      </c>
      <c r="D8" s="60">
        <v>7</v>
      </c>
      <c r="E8" s="61">
        <v>5224.1000000000004</v>
      </c>
      <c r="F8" s="62">
        <v>12</v>
      </c>
      <c r="G8" s="61">
        <v>5777.1</v>
      </c>
      <c r="H8" s="62">
        <v>9</v>
      </c>
      <c r="I8" s="61">
        <v>5234.7</v>
      </c>
      <c r="J8" s="62">
        <v>8</v>
      </c>
      <c r="K8" s="61">
        <v>5618.7</v>
      </c>
      <c r="L8" s="62">
        <v>6</v>
      </c>
      <c r="M8" s="61">
        <v>2378.9</v>
      </c>
      <c r="N8" s="62">
        <v>5</v>
      </c>
      <c r="O8" s="61">
        <v>3556.2</v>
      </c>
      <c r="P8" s="62">
        <v>9</v>
      </c>
      <c r="Q8" s="61">
        <v>4071.8</v>
      </c>
      <c r="R8" s="62">
        <v>9</v>
      </c>
      <c r="S8" s="61">
        <v>6061.8</v>
      </c>
      <c r="T8" s="62">
        <v>12</v>
      </c>
      <c r="U8" s="61">
        <v>6161.8</v>
      </c>
      <c r="V8" s="62">
        <v>3</v>
      </c>
      <c r="W8" s="61">
        <v>1800</v>
      </c>
      <c r="X8" s="62">
        <v>10</v>
      </c>
      <c r="Y8" s="61">
        <v>8600.6</v>
      </c>
      <c r="Z8" s="62">
        <v>4</v>
      </c>
      <c r="AA8" s="61">
        <v>2243</v>
      </c>
      <c r="AB8" s="62">
        <v>2</v>
      </c>
      <c r="AC8" s="61">
        <v>1715.3</v>
      </c>
      <c r="AD8" s="62">
        <v>2</v>
      </c>
      <c r="AE8" s="61">
        <v>814.2</v>
      </c>
      <c r="AF8" s="62">
        <v>5</v>
      </c>
      <c r="AG8" s="63">
        <v>3273.6</v>
      </c>
      <c r="AH8" s="62">
        <v>7</v>
      </c>
      <c r="AI8" s="61">
        <v>4780</v>
      </c>
      <c r="AJ8" s="62">
        <v>6</v>
      </c>
      <c r="AK8" s="61">
        <v>2502.1999999999998</v>
      </c>
      <c r="AL8" s="62">
        <v>15</v>
      </c>
      <c r="AM8" s="61">
        <v>12741.5</v>
      </c>
      <c r="AN8" s="62">
        <v>10</v>
      </c>
      <c r="AO8" s="61">
        <v>6168.5</v>
      </c>
      <c r="AP8" s="62">
        <v>3</v>
      </c>
      <c r="AQ8" s="61">
        <v>808.6</v>
      </c>
      <c r="AR8" s="62">
        <v>7</v>
      </c>
      <c r="AS8" s="61">
        <v>4655.7</v>
      </c>
      <c r="AT8" s="62">
        <v>3</v>
      </c>
      <c r="AU8" s="61">
        <v>2280.1999999999998</v>
      </c>
      <c r="AV8" s="62">
        <v>5</v>
      </c>
      <c r="AW8" s="61">
        <v>2200</v>
      </c>
      <c r="AX8" s="62">
        <v>5</v>
      </c>
      <c r="AY8" s="61">
        <v>3040.2</v>
      </c>
      <c r="AZ8" s="62">
        <v>5</v>
      </c>
      <c r="BA8" s="61">
        <v>3693</v>
      </c>
      <c r="BB8" s="62">
        <v>4</v>
      </c>
      <c r="BC8" s="61">
        <v>3373.3</v>
      </c>
      <c r="BD8" s="62">
        <v>7</v>
      </c>
      <c r="BE8" s="61">
        <v>4738.5</v>
      </c>
      <c r="BF8" s="62">
        <v>3</v>
      </c>
      <c r="BG8" s="61">
        <v>2300</v>
      </c>
      <c r="BH8" s="62">
        <v>4</v>
      </c>
      <c r="BI8" s="61">
        <v>3265.5</v>
      </c>
      <c r="BJ8" s="62">
        <v>10</v>
      </c>
      <c r="BK8" s="61">
        <v>5827</v>
      </c>
      <c r="BL8" s="62">
        <v>10</v>
      </c>
      <c r="BM8" s="64">
        <v>4292.8999999999996</v>
      </c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</row>
    <row r="9" spans="1:95" x14ac:dyDescent="0.25">
      <c r="B9" t="s">
        <v>84</v>
      </c>
      <c r="C9" s="25" t="s">
        <v>9</v>
      </c>
      <c r="D9" s="60">
        <v>0</v>
      </c>
      <c r="E9" s="61">
        <v>0</v>
      </c>
      <c r="F9" s="62">
        <v>1</v>
      </c>
      <c r="G9" s="61">
        <v>620</v>
      </c>
      <c r="H9" s="62">
        <v>0</v>
      </c>
      <c r="I9" s="61">
        <v>0</v>
      </c>
      <c r="J9" s="62">
        <v>0</v>
      </c>
      <c r="K9" s="61">
        <v>0</v>
      </c>
      <c r="L9" s="62">
        <v>1</v>
      </c>
      <c r="M9" s="61">
        <v>500</v>
      </c>
      <c r="N9" s="62">
        <v>1</v>
      </c>
      <c r="O9" s="61">
        <v>500</v>
      </c>
      <c r="P9" s="62">
        <v>1</v>
      </c>
      <c r="Q9" s="61">
        <v>852.3</v>
      </c>
      <c r="R9" s="62">
        <v>2</v>
      </c>
      <c r="S9" s="61">
        <v>1144.3</v>
      </c>
      <c r="T9" s="62">
        <v>1</v>
      </c>
      <c r="U9" s="61">
        <v>500</v>
      </c>
      <c r="V9" s="62">
        <v>1</v>
      </c>
      <c r="W9" s="61">
        <v>694.2</v>
      </c>
      <c r="X9" s="62">
        <v>0</v>
      </c>
      <c r="Y9" s="61">
        <v>0</v>
      </c>
      <c r="Z9" s="62">
        <v>1</v>
      </c>
      <c r="AA9" s="61">
        <v>500</v>
      </c>
      <c r="AB9" s="62">
        <v>0</v>
      </c>
      <c r="AC9" s="61">
        <v>0</v>
      </c>
      <c r="AD9" s="62">
        <v>1</v>
      </c>
      <c r="AE9" s="61">
        <v>500</v>
      </c>
      <c r="AF9" s="62">
        <v>1</v>
      </c>
      <c r="AG9" s="63">
        <v>800</v>
      </c>
      <c r="AH9" s="62">
        <v>2</v>
      </c>
      <c r="AI9" s="61">
        <v>1000</v>
      </c>
      <c r="AJ9" s="62">
        <v>1</v>
      </c>
      <c r="AK9" s="61">
        <v>500</v>
      </c>
      <c r="AL9" s="62">
        <v>0</v>
      </c>
      <c r="AM9" s="61">
        <v>0</v>
      </c>
      <c r="AN9" s="62">
        <v>2</v>
      </c>
      <c r="AO9" s="61">
        <v>1000</v>
      </c>
      <c r="AP9" s="62">
        <v>0</v>
      </c>
      <c r="AQ9" s="61">
        <v>0</v>
      </c>
      <c r="AR9" s="62">
        <v>0</v>
      </c>
      <c r="AS9" s="61">
        <v>0</v>
      </c>
      <c r="AT9" s="62">
        <v>3</v>
      </c>
      <c r="AU9" s="61">
        <v>1700</v>
      </c>
      <c r="AV9" s="62">
        <v>0</v>
      </c>
      <c r="AW9" s="61">
        <v>0</v>
      </c>
      <c r="AX9" s="62">
        <v>1</v>
      </c>
      <c r="AY9" s="61">
        <v>500</v>
      </c>
      <c r="AZ9" s="62">
        <v>2</v>
      </c>
      <c r="BA9" s="61">
        <v>1000</v>
      </c>
      <c r="BB9" s="62">
        <v>1</v>
      </c>
      <c r="BC9" s="61">
        <v>500</v>
      </c>
      <c r="BD9" s="62">
        <v>0</v>
      </c>
      <c r="BE9" s="61">
        <v>0</v>
      </c>
      <c r="BF9" s="62">
        <v>0</v>
      </c>
      <c r="BG9" s="61">
        <v>0</v>
      </c>
      <c r="BH9" s="62">
        <v>0</v>
      </c>
      <c r="BI9" s="61">
        <v>0</v>
      </c>
      <c r="BJ9" s="62">
        <v>0</v>
      </c>
      <c r="BK9" s="61">
        <v>0</v>
      </c>
      <c r="BL9" s="24">
        <v>1</v>
      </c>
      <c r="BM9" s="65">
        <v>500</v>
      </c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</row>
    <row r="10" spans="1:95" x14ac:dyDescent="0.25">
      <c r="B10" t="s">
        <v>11</v>
      </c>
      <c r="C10" s="25" t="s">
        <v>9</v>
      </c>
      <c r="D10" s="60">
        <v>2</v>
      </c>
      <c r="E10" s="61">
        <v>1571.7</v>
      </c>
      <c r="F10" s="62">
        <v>5</v>
      </c>
      <c r="G10" s="61">
        <v>2834.9</v>
      </c>
      <c r="H10" s="62">
        <v>0</v>
      </c>
      <c r="I10" s="61">
        <v>0</v>
      </c>
      <c r="J10" s="62">
        <v>2</v>
      </c>
      <c r="K10" s="61">
        <v>2291.1</v>
      </c>
      <c r="L10" s="62">
        <v>5</v>
      </c>
      <c r="M10" s="61">
        <v>3112.5</v>
      </c>
      <c r="N10" s="62">
        <v>0</v>
      </c>
      <c r="O10" s="61">
        <v>0</v>
      </c>
      <c r="P10" s="62">
        <v>0</v>
      </c>
      <c r="Q10" s="61">
        <v>0</v>
      </c>
      <c r="R10" s="62">
        <v>1</v>
      </c>
      <c r="S10" s="61">
        <v>400</v>
      </c>
      <c r="T10" s="62">
        <v>2</v>
      </c>
      <c r="U10" s="61">
        <v>900</v>
      </c>
      <c r="V10" s="62">
        <v>2</v>
      </c>
      <c r="W10" s="61">
        <v>1000</v>
      </c>
      <c r="X10" s="62">
        <v>5</v>
      </c>
      <c r="Y10" s="61">
        <v>1508.6</v>
      </c>
      <c r="Z10" s="62">
        <v>2</v>
      </c>
      <c r="AA10" s="61">
        <v>1872.1</v>
      </c>
      <c r="AB10" s="62">
        <v>5</v>
      </c>
      <c r="AC10" s="61">
        <v>3857.6</v>
      </c>
      <c r="AD10" s="62">
        <v>3</v>
      </c>
      <c r="AE10" s="61">
        <v>1524.7</v>
      </c>
      <c r="AF10" s="62">
        <v>1</v>
      </c>
      <c r="AG10" s="63">
        <v>860.8</v>
      </c>
      <c r="AH10" s="62">
        <v>2</v>
      </c>
      <c r="AI10" s="17">
        <v>1956.3</v>
      </c>
      <c r="AJ10" s="62">
        <v>8</v>
      </c>
      <c r="AK10" s="61">
        <v>4183.8</v>
      </c>
      <c r="AL10" s="62">
        <v>4</v>
      </c>
      <c r="AM10" s="61">
        <v>1913.4</v>
      </c>
      <c r="AN10" s="62">
        <v>0</v>
      </c>
      <c r="AO10" s="61">
        <v>0</v>
      </c>
      <c r="AP10" s="62">
        <v>0</v>
      </c>
      <c r="AQ10" s="61">
        <v>0</v>
      </c>
      <c r="AR10" s="62">
        <v>4</v>
      </c>
      <c r="AS10" s="61">
        <v>2500</v>
      </c>
      <c r="AT10" s="62">
        <v>2</v>
      </c>
      <c r="AU10" s="61">
        <v>1027</v>
      </c>
      <c r="AV10" s="62">
        <v>3</v>
      </c>
      <c r="AW10" s="61">
        <v>2153.5</v>
      </c>
      <c r="AX10" s="62">
        <v>5</v>
      </c>
      <c r="AY10" s="61">
        <v>2625.5</v>
      </c>
      <c r="AZ10" s="62">
        <v>1</v>
      </c>
      <c r="BA10" s="61">
        <v>200</v>
      </c>
      <c r="BB10" s="62">
        <v>5</v>
      </c>
      <c r="BC10" s="61">
        <v>3027.6</v>
      </c>
      <c r="BD10" s="62">
        <v>2</v>
      </c>
      <c r="BE10" s="61">
        <v>600</v>
      </c>
      <c r="BF10" s="62">
        <v>2</v>
      </c>
      <c r="BG10" s="61">
        <v>1000</v>
      </c>
      <c r="BH10" s="62">
        <v>5</v>
      </c>
      <c r="BI10" s="61">
        <v>3958.7</v>
      </c>
      <c r="BJ10" s="62">
        <v>0</v>
      </c>
      <c r="BK10" s="61">
        <v>0</v>
      </c>
      <c r="BL10" s="62">
        <v>5</v>
      </c>
      <c r="BM10" s="64">
        <v>2626.9</v>
      </c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</row>
    <row r="11" spans="1:95" x14ac:dyDescent="0.25">
      <c r="B11" t="s">
        <v>85</v>
      </c>
      <c r="C11" s="25" t="s">
        <v>9</v>
      </c>
      <c r="D11" s="60">
        <v>7</v>
      </c>
      <c r="E11" s="61">
        <v>3367.5</v>
      </c>
      <c r="F11" s="62">
        <v>2</v>
      </c>
      <c r="G11" s="61">
        <v>1000</v>
      </c>
      <c r="H11" s="62">
        <v>1</v>
      </c>
      <c r="I11" s="61">
        <v>278.10000000000002</v>
      </c>
      <c r="J11" s="62">
        <v>2</v>
      </c>
      <c r="K11" s="61">
        <v>1968.3</v>
      </c>
      <c r="L11" s="62">
        <v>3</v>
      </c>
      <c r="M11" s="61">
        <v>1089.4000000000001</v>
      </c>
      <c r="N11" s="62">
        <v>3</v>
      </c>
      <c r="O11" s="61">
        <v>1651.9</v>
      </c>
      <c r="P11" s="62">
        <v>1</v>
      </c>
      <c r="Q11" s="61">
        <v>500</v>
      </c>
      <c r="R11" s="62">
        <v>4</v>
      </c>
      <c r="S11" s="61">
        <v>3143.3</v>
      </c>
      <c r="T11" s="62">
        <v>1</v>
      </c>
      <c r="U11" s="61">
        <v>500</v>
      </c>
      <c r="V11" s="62">
        <v>2</v>
      </c>
      <c r="W11" s="61">
        <v>1282.0999999999999</v>
      </c>
      <c r="X11" s="62">
        <v>3</v>
      </c>
      <c r="Y11" s="61">
        <v>1792.7</v>
      </c>
      <c r="Z11" s="62">
        <v>2</v>
      </c>
      <c r="AA11" s="61">
        <v>685.5</v>
      </c>
      <c r="AB11" s="27">
        <v>3</v>
      </c>
      <c r="AC11" s="61">
        <v>1757.6</v>
      </c>
      <c r="AD11" s="62">
        <v>0</v>
      </c>
      <c r="AE11" s="61">
        <v>0</v>
      </c>
      <c r="AF11" s="62">
        <v>2</v>
      </c>
      <c r="AG11" s="63">
        <v>769.2</v>
      </c>
      <c r="AH11" s="62">
        <v>2</v>
      </c>
      <c r="AI11" s="17">
        <v>1161.9000000000001</v>
      </c>
      <c r="AJ11" s="62">
        <v>5</v>
      </c>
      <c r="AK11" s="61">
        <v>1772.4</v>
      </c>
      <c r="AL11" s="62">
        <v>3</v>
      </c>
      <c r="AM11" s="61">
        <v>1227.8</v>
      </c>
      <c r="AN11" s="62">
        <v>2</v>
      </c>
      <c r="AO11" s="61">
        <v>1099.0999999999999</v>
      </c>
      <c r="AP11" s="62">
        <v>0</v>
      </c>
      <c r="AQ11" s="61">
        <v>0</v>
      </c>
      <c r="AR11" s="62">
        <v>1</v>
      </c>
      <c r="AS11" s="61">
        <v>500</v>
      </c>
      <c r="AT11" s="62">
        <v>2</v>
      </c>
      <c r="AU11" s="61">
        <v>953.1</v>
      </c>
      <c r="AV11" s="62">
        <v>2</v>
      </c>
      <c r="AW11" s="61">
        <v>612.20000000000005</v>
      </c>
      <c r="AX11" s="62">
        <v>2</v>
      </c>
      <c r="AY11" s="61">
        <v>1281.5999999999999</v>
      </c>
      <c r="AZ11" s="62">
        <v>0</v>
      </c>
      <c r="BA11" s="61">
        <v>0</v>
      </c>
      <c r="BB11" s="62">
        <v>5</v>
      </c>
      <c r="BC11" s="61">
        <v>1701.7</v>
      </c>
      <c r="BD11" s="62">
        <v>3</v>
      </c>
      <c r="BE11" s="61">
        <v>896</v>
      </c>
      <c r="BF11" s="62">
        <v>2</v>
      </c>
      <c r="BG11" s="61">
        <v>665.6</v>
      </c>
      <c r="BH11" s="62">
        <v>2</v>
      </c>
      <c r="BI11" s="17">
        <v>1313.2</v>
      </c>
      <c r="BJ11" s="62">
        <v>2</v>
      </c>
      <c r="BK11" s="61">
        <v>1000</v>
      </c>
      <c r="BL11" s="62">
        <v>5</v>
      </c>
      <c r="BM11" s="64">
        <v>1942</v>
      </c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</row>
    <row r="12" spans="1:95" x14ac:dyDescent="0.25">
      <c r="B12" t="s">
        <v>69</v>
      </c>
      <c r="C12" s="25" t="s">
        <v>9</v>
      </c>
      <c r="D12" s="60">
        <v>4</v>
      </c>
      <c r="E12" s="61">
        <v>2346.4</v>
      </c>
      <c r="F12" s="62">
        <v>1</v>
      </c>
      <c r="G12" s="61">
        <v>500</v>
      </c>
      <c r="H12" s="62">
        <v>9</v>
      </c>
      <c r="I12" s="61">
        <v>4807.8</v>
      </c>
      <c r="J12" s="62">
        <v>5</v>
      </c>
      <c r="K12" s="61">
        <v>3672.6</v>
      </c>
      <c r="L12" s="62">
        <v>3</v>
      </c>
      <c r="M12" s="61">
        <v>1981.4</v>
      </c>
      <c r="N12" s="62">
        <v>1</v>
      </c>
      <c r="O12" s="61">
        <v>769.2</v>
      </c>
      <c r="P12" s="62">
        <v>5</v>
      </c>
      <c r="Q12" s="61">
        <v>2210</v>
      </c>
      <c r="R12" s="62">
        <v>7</v>
      </c>
      <c r="S12" s="61">
        <v>4297.8999999999996</v>
      </c>
      <c r="T12" s="62">
        <v>5</v>
      </c>
      <c r="U12" s="61">
        <v>1900.2</v>
      </c>
      <c r="V12" s="62">
        <v>12</v>
      </c>
      <c r="W12" s="61">
        <v>6315.4</v>
      </c>
      <c r="X12" s="62">
        <v>3</v>
      </c>
      <c r="Y12" s="61">
        <v>1966.1</v>
      </c>
      <c r="Z12" s="62">
        <v>6</v>
      </c>
      <c r="AA12" s="61">
        <v>3433</v>
      </c>
      <c r="AB12" s="62">
        <v>6</v>
      </c>
      <c r="AC12" s="61">
        <v>2897.1</v>
      </c>
      <c r="AD12" s="62">
        <v>1</v>
      </c>
      <c r="AE12" s="61">
        <v>500</v>
      </c>
      <c r="AF12" s="62">
        <v>3</v>
      </c>
      <c r="AG12" s="63">
        <v>1792.1</v>
      </c>
      <c r="AH12" s="62">
        <v>7</v>
      </c>
      <c r="AI12" s="17">
        <v>3400</v>
      </c>
      <c r="AJ12" s="62">
        <v>11</v>
      </c>
      <c r="AK12" s="61">
        <v>5981.9</v>
      </c>
      <c r="AL12" s="62">
        <v>7</v>
      </c>
      <c r="AM12" s="61">
        <v>5612.1</v>
      </c>
      <c r="AN12" s="62">
        <v>4</v>
      </c>
      <c r="AO12" s="61">
        <v>3385.6</v>
      </c>
      <c r="AP12" s="62">
        <v>0</v>
      </c>
      <c r="AQ12" s="61">
        <v>0</v>
      </c>
      <c r="AR12" s="62">
        <v>10</v>
      </c>
      <c r="AS12" s="61">
        <v>6172</v>
      </c>
      <c r="AT12" s="62">
        <v>3</v>
      </c>
      <c r="AU12" s="61">
        <v>1375.2</v>
      </c>
      <c r="AV12" s="62">
        <v>2</v>
      </c>
      <c r="AW12" s="61">
        <v>1300</v>
      </c>
      <c r="AX12" s="62">
        <v>8</v>
      </c>
      <c r="AY12" s="61">
        <v>4076.2</v>
      </c>
      <c r="AZ12" s="62">
        <v>6</v>
      </c>
      <c r="BA12" s="61">
        <v>3684.2</v>
      </c>
      <c r="BB12" s="62">
        <v>5</v>
      </c>
      <c r="BC12" s="61">
        <v>3620.8</v>
      </c>
      <c r="BD12" s="62">
        <v>5</v>
      </c>
      <c r="BE12" s="61">
        <v>2458.9</v>
      </c>
      <c r="BF12" s="62">
        <v>7</v>
      </c>
      <c r="BG12" s="61">
        <v>2616.6999999999998</v>
      </c>
      <c r="BH12" s="62">
        <v>5</v>
      </c>
      <c r="BI12" s="17">
        <v>1627.3</v>
      </c>
      <c r="BJ12" s="62">
        <v>9</v>
      </c>
      <c r="BK12" s="61">
        <v>5400</v>
      </c>
      <c r="BL12" s="62">
        <v>11</v>
      </c>
      <c r="BM12" s="64">
        <v>5486.4</v>
      </c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</row>
    <row r="13" spans="1:95" x14ac:dyDescent="0.25">
      <c r="B13" t="s">
        <v>13</v>
      </c>
      <c r="C13" s="25" t="s">
        <v>9</v>
      </c>
      <c r="D13" s="66">
        <v>9</v>
      </c>
      <c r="E13" s="61">
        <v>4333.3</v>
      </c>
      <c r="F13" s="27">
        <v>7</v>
      </c>
      <c r="G13" s="61">
        <v>3514.7</v>
      </c>
      <c r="H13" s="27">
        <v>14</v>
      </c>
      <c r="I13" s="17">
        <v>6710.1</v>
      </c>
      <c r="J13" s="27">
        <v>7</v>
      </c>
      <c r="K13" s="61">
        <v>5507.7</v>
      </c>
      <c r="L13" s="27">
        <v>15</v>
      </c>
      <c r="M13" s="61">
        <v>7240.4</v>
      </c>
      <c r="N13" s="27">
        <v>15</v>
      </c>
      <c r="O13" s="61">
        <v>8123.8</v>
      </c>
      <c r="P13" s="27">
        <v>8</v>
      </c>
      <c r="Q13" s="61">
        <v>5686.9</v>
      </c>
      <c r="R13" s="27">
        <v>10</v>
      </c>
      <c r="S13" s="61">
        <v>7624.8</v>
      </c>
      <c r="T13" s="27">
        <v>4</v>
      </c>
      <c r="U13" s="61">
        <v>2971.6</v>
      </c>
      <c r="V13" s="27">
        <v>13</v>
      </c>
      <c r="W13" s="61">
        <v>6110.5</v>
      </c>
      <c r="X13" s="27">
        <v>7</v>
      </c>
      <c r="Y13" s="61">
        <v>4657</v>
      </c>
      <c r="Z13" s="27">
        <v>9</v>
      </c>
      <c r="AA13" s="61">
        <v>4733.7</v>
      </c>
      <c r="AB13" s="62">
        <v>4</v>
      </c>
      <c r="AC13" s="61">
        <v>3066.6</v>
      </c>
      <c r="AD13" s="27">
        <v>6</v>
      </c>
      <c r="AE13" s="61">
        <v>2549</v>
      </c>
      <c r="AF13" s="27">
        <v>12</v>
      </c>
      <c r="AG13" s="63">
        <v>7386</v>
      </c>
      <c r="AH13" s="27">
        <v>6</v>
      </c>
      <c r="AI13" s="17">
        <v>4104.8999999999996</v>
      </c>
      <c r="AJ13" s="27">
        <v>12</v>
      </c>
      <c r="AK13" s="61">
        <v>6639.3</v>
      </c>
      <c r="AL13" s="27">
        <v>7</v>
      </c>
      <c r="AM13" s="61">
        <v>3848.1</v>
      </c>
      <c r="AN13" s="27">
        <v>16</v>
      </c>
      <c r="AO13" s="61">
        <v>12302.6</v>
      </c>
      <c r="AP13" s="27">
        <v>1</v>
      </c>
      <c r="AQ13" s="61">
        <v>1407.6</v>
      </c>
      <c r="AR13" s="27">
        <v>4</v>
      </c>
      <c r="AS13" s="61">
        <v>2465.6</v>
      </c>
      <c r="AT13" s="27">
        <v>14</v>
      </c>
      <c r="AU13" s="61">
        <v>6793.5</v>
      </c>
      <c r="AV13" s="27">
        <v>5</v>
      </c>
      <c r="AW13" s="61">
        <v>2149.1999999999998</v>
      </c>
      <c r="AX13" s="27">
        <v>11</v>
      </c>
      <c r="AY13" s="61">
        <v>5816.9</v>
      </c>
      <c r="AZ13" s="27">
        <v>7</v>
      </c>
      <c r="BA13" s="61">
        <v>4073.5</v>
      </c>
      <c r="BB13" s="27">
        <v>10</v>
      </c>
      <c r="BC13" s="61">
        <v>8972.7999999999993</v>
      </c>
      <c r="BD13" s="27">
        <v>16</v>
      </c>
      <c r="BE13" s="61">
        <v>13075.8</v>
      </c>
      <c r="BF13" s="27">
        <v>7</v>
      </c>
      <c r="BG13" s="61">
        <v>4190.8999999999996</v>
      </c>
      <c r="BH13" s="27">
        <v>6</v>
      </c>
      <c r="BI13" s="17">
        <v>3955.9</v>
      </c>
      <c r="BJ13" s="27">
        <v>3</v>
      </c>
      <c r="BK13" s="61">
        <v>1180.2</v>
      </c>
      <c r="BL13" s="27">
        <v>8</v>
      </c>
      <c r="BM13" s="64">
        <v>4957</v>
      </c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</row>
    <row r="14" spans="1:95" x14ac:dyDescent="0.25">
      <c r="B14" t="s">
        <v>86</v>
      </c>
      <c r="C14" s="25" t="s">
        <v>9</v>
      </c>
      <c r="D14" s="60">
        <v>13</v>
      </c>
      <c r="E14" s="61">
        <v>8052.3</v>
      </c>
      <c r="F14" s="62">
        <v>6</v>
      </c>
      <c r="G14" s="61">
        <v>6098</v>
      </c>
      <c r="H14" s="62">
        <v>20</v>
      </c>
      <c r="I14" s="61">
        <v>10816.9</v>
      </c>
      <c r="J14" s="62">
        <v>18</v>
      </c>
      <c r="K14" s="61">
        <v>9965.2999999999993</v>
      </c>
      <c r="L14" s="62">
        <v>20</v>
      </c>
      <c r="M14" s="61">
        <v>12676.9</v>
      </c>
      <c r="N14" s="62">
        <v>17</v>
      </c>
      <c r="O14" s="61">
        <v>9706.1</v>
      </c>
      <c r="P14" s="62">
        <v>8</v>
      </c>
      <c r="Q14" s="61">
        <v>3284.8</v>
      </c>
      <c r="R14" s="62">
        <v>18</v>
      </c>
      <c r="S14" s="61">
        <v>13688.8</v>
      </c>
      <c r="T14" s="62">
        <v>10</v>
      </c>
      <c r="U14" s="61">
        <v>5300</v>
      </c>
      <c r="V14" s="62">
        <v>18</v>
      </c>
      <c r="W14" s="61">
        <v>9161.6</v>
      </c>
      <c r="X14" s="62">
        <v>14</v>
      </c>
      <c r="Y14" s="61">
        <v>8699.1</v>
      </c>
      <c r="Z14" s="62">
        <v>24</v>
      </c>
      <c r="AA14" s="61">
        <v>12106.1</v>
      </c>
      <c r="AB14" s="62">
        <v>14</v>
      </c>
      <c r="AC14" s="61">
        <v>7301.4</v>
      </c>
      <c r="AD14" s="62">
        <v>6</v>
      </c>
      <c r="AE14" s="61">
        <v>2541.3000000000002</v>
      </c>
      <c r="AF14" s="62">
        <v>17</v>
      </c>
      <c r="AG14" s="63">
        <v>11594.2</v>
      </c>
      <c r="AH14" s="62">
        <v>13</v>
      </c>
      <c r="AI14" s="17">
        <v>8776.2999999999993</v>
      </c>
      <c r="AJ14" s="62">
        <v>15</v>
      </c>
      <c r="AK14" s="61">
        <v>7278.8</v>
      </c>
      <c r="AL14" s="62">
        <v>15</v>
      </c>
      <c r="AM14" s="61">
        <v>8661.2999999999993</v>
      </c>
      <c r="AN14" s="62">
        <v>16</v>
      </c>
      <c r="AO14" s="61">
        <v>8782.2999999999993</v>
      </c>
      <c r="AP14" s="62">
        <v>1</v>
      </c>
      <c r="AQ14" s="61">
        <v>500</v>
      </c>
      <c r="AR14" s="62">
        <v>9</v>
      </c>
      <c r="AS14" s="61">
        <v>6094.4</v>
      </c>
      <c r="AT14" s="62">
        <v>9</v>
      </c>
      <c r="AU14" s="61">
        <v>5534</v>
      </c>
      <c r="AV14" s="62">
        <v>12</v>
      </c>
      <c r="AW14" s="61">
        <v>5319.4</v>
      </c>
      <c r="AX14" s="62">
        <v>15</v>
      </c>
      <c r="AY14" s="61">
        <v>7934</v>
      </c>
      <c r="AZ14" s="62">
        <v>11</v>
      </c>
      <c r="BA14" s="61">
        <v>6114.8</v>
      </c>
      <c r="BB14" s="62">
        <v>20</v>
      </c>
      <c r="BC14" s="61">
        <v>8091.6</v>
      </c>
      <c r="BD14" s="62">
        <v>13</v>
      </c>
      <c r="BE14" s="61">
        <v>5488.8</v>
      </c>
      <c r="BF14" s="62">
        <v>12</v>
      </c>
      <c r="BG14" s="61">
        <v>6981.3</v>
      </c>
      <c r="BH14" s="62">
        <v>13</v>
      </c>
      <c r="BI14" s="17">
        <v>9434.5</v>
      </c>
      <c r="BJ14" s="62">
        <v>8</v>
      </c>
      <c r="BK14" s="61">
        <v>5277.2</v>
      </c>
      <c r="BL14" s="62">
        <v>10</v>
      </c>
      <c r="BM14" s="64">
        <v>5169</v>
      </c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</row>
    <row r="15" spans="1:95" x14ac:dyDescent="0.25">
      <c r="B15" t="s">
        <v>7</v>
      </c>
      <c r="C15" s="25" t="s">
        <v>9</v>
      </c>
      <c r="D15" s="60">
        <v>25</v>
      </c>
      <c r="E15" s="61">
        <v>14893.2</v>
      </c>
      <c r="F15" s="62">
        <v>17</v>
      </c>
      <c r="G15" s="61">
        <v>7348.8</v>
      </c>
      <c r="H15" s="62">
        <v>43</v>
      </c>
      <c r="I15" s="61">
        <v>22693.200000000001</v>
      </c>
      <c r="J15" s="62">
        <v>26</v>
      </c>
      <c r="K15" s="61">
        <v>18579.400000000001</v>
      </c>
      <c r="L15" s="62">
        <v>27</v>
      </c>
      <c r="M15" s="61">
        <v>16096.5</v>
      </c>
      <c r="N15" s="62">
        <v>32</v>
      </c>
      <c r="O15" s="61">
        <v>20605.2</v>
      </c>
      <c r="P15" s="62">
        <v>19</v>
      </c>
      <c r="Q15" s="61">
        <v>9171.2999999999993</v>
      </c>
      <c r="R15" s="62">
        <v>26</v>
      </c>
      <c r="S15" s="61">
        <v>17636.3</v>
      </c>
      <c r="T15" s="62">
        <v>28</v>
      </c>
      <c r="U15" s="61">
        <v>16183.1</v>
      </c>
      <c r="V15" s="62">
        <v>28</v>
      </c>
      <c r="W15" s="61">
        <v>14465</v>
      </c>
      <c r="X15" s="62">
        <v>25</v>
      </c>
      <c r="Y15" s="61">
        <v>17122.3</v>
      </c>
      <c r="Z15" s="62">
        <v>33</v>
      </c>
      <c r="AA15" s="61">
        <v>17339.2</v>
      </c>
      <c r="AB15" s="62">
        <v>27</v>
      </c>
      <c r="AC15" s="61">
        <v>15811.9</v>
      </c>
      <c r="AD15" s="62">
        <v>22</v>
      </c>
      <c r="AE15" s="61">
        <v>12062.5</v>
      </c>
      <c r="AF15" s="62">
        <v>24</v>
      </c>
      <c r="AG15" s="63">
        <v>12853.4</v>
      </c>
      <c r="AH15" s="62">
        <v>25</v>
      </c>
      <c r="AI15" s="17">
        <v>13118.5</v>
      </c>
      <c r="AJ15" s="62">
        <v>40</v>
      </c>
      <c r="AK15" s="61">
        <v>21767.599999999999</v>
      </c>
      <c r="AL15" s="62">
        <v>21</v>
      </c>
      <c r="AM15" s="61">
        <v>13971.5</v>
      </c>
      <c r="AN15" s="62">
        <v>33</v>
      </c>
      <c r="AO15" s="61">
        <v>24236.7</v>
      </c>
      <c r="AP15" s="62">
        <v>5</v>
      </c>
      <c r="AQ15" s="61">
        <v>4213.8999999999996</v>
      </c>
      <c r="AR15" s="62">
        <v>29</v>
      </c>
      <c r="AS15" s="61">
        <v>15022.9</v>
      </c>
      <c r="AT15" s="62">
        <v>31</v>
      </c>
      <c r="AU15" s="61">
        <v>21109.7</v>
      </c>
      <c r="AV15" s="62">
        <v>29</v>
      </c>
      <c r="AW15" s="61">
        <v>12681.6</v>
      </c>
      <c r="AX15" s="62">
        <v>27</v>
      </c>
      <c r="AY15" s="61">
        <v>14417.1</v>
      </c>
      <c r="AZ15" s="62">
        <v>31</v>
      </c>
      <c r="BA15" s="61">
        <v>20251.2</v>
      </c>
      <c r="BB15" s="62">
        <v>33</v>
      </c>
      <c r="BC15" s="61">
        <v>19766.599999999999</v>
      </c>
      <c r="BD15" s="62">
        <v>32</v>
      </c>
      <c r="BE15" s="61">
        <v>15657.9</v>
      </c>
      <c r="BF15" s="62">
        <v>24</v>
      </c>
      <c r="BG15" s="61">
        <v>12164.2</v>
      </c>
      <c r="BH15" s="62">
        <v>22</v>
      </c>
      <c r="BI15" s="17">
        <v>12720.2</v>
      </c>
      <c r="BJ15" s="62">
        <v>21</v>
      </c>
      <c r="BK15" s="61">
        <v>10811.2</v>
      </c>
      <c r="BL15" s="62">
        <v>27</v>
      </c>
      <c r="BM15" s="64">
        <v>15353.5</v>
      </c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</row>
    <row r="16" spans="1:95" x14ac:dyDescent="0.25">
      <c r="B16" t="s">
        <v>14</v>
      </c>
      <c r="C16" s="25" t="s">
        <v>9</v>
      </c>
      <c r="D16" s="60">
        <v>7</v>
      </c>
      <c r="E16" s="61">
        <v>4494.3999999999996</v>
      </c>
      <c r="F16" s="62">
        <v>8</v>
      </c>
      <c r="G16" s="61">
        <v>4634.5</v>
      </c>
      <c r="H16" s="62">
        <v>17</v>
      </c>
      <c r="I16" s="61">
        <v>9475.7999999999993</v>
      </c>
      <c r="J16" s="62">
        <v>18</v>
      </c>
      <c r="K16" s="61">
        <v>11095.3</v>
      </c>
      <c r="L16" s="62">
        <v>12</v>
      </c>
      <c r="M16" s="61">
        <v>7946.4</v>
      </c>
      <c r="N16" s="62">
        <v>14</v>
      </c>
      <c r="O16" s="61">
        <v>10954.3</v>
      </c>
      <c r="P16" s="62">
        <v>16</v>
      </c>
      <c r="Q16" s="61">
        <v>8388.7000000000007</v>
      </c>
      <c r="R16" s="62">
        <v>11</v>
      </c>
      <c r="S16" s="61">
        <v>7852.1</v>
      </c>
      <c r="T16" s="62">
        <v>11</v>
      </c>
      <c r="U16" s="61">
        <v>6826.6</v>
      </c>
      <c r="V16" s="62">
        <v>15</v>
      </c>
      <c r="W16" s="61">
        <v>9120.2999999999993</v>
      </c>
      <c r="X16" s="62">
        <v>19</v>
      </c>
      <c r="Y16" s="61">
        <v>13175.3</v>
      </c>
      <c r="Z16" s="62">
        <v>14</v>
      </c>
      <c r="AA16" s="61">
        <v>9610.7999999999993</v>
      </c>
      <c r="AB16" s="62">
        <v>10</v>
      </c>
      <c r="AC16" s="61">
        <v>8756</v>
      </c>
      <c r="AD16" s="62">
        <v>7</v>
      </c>
      <c r="AE16" s="61">
        <v>3560.5</v>
      </c>
      <c r="AF16" s="62">
        <v>13</v>
      </c>
      <c r="AG16" s="63">
        <v>8249.7999999999993</v>
      </c>
      <c r="AH16" s="62">
        <v>9</v>
      </c>
      <c r="AI16" s="17">
        <v>5369</v>
      </c>
      <c r="AJ16" s="62">
        <v>15</v>
      </c>
      <c r="AK16" s="61">
        <v>8219.9</v>
      </c>
      <c r="AL16" s="62">
        <v>18</v>
      </c>
      <c r="AM16" s="61">
        <v>13796.9</v>
      </c>
      <c r="AN16" s="62">
        <v>17</v>
      </c>
      <c r="AO16" s="61">
        <v>13454.1</v>
      </c>
      <c r="AP16" s="62">
        <v>1</v>
      </c>
      <c r="AQ16" s="61">
        <v>696.1</v>
      </c>
      <c r="AR16" s="62">
        <v>10</v>
      </c>
      <c r="AS16" s="61">
        <v>5829.5</v>
      </c>
      <c r="AT16" s="62">
        <v>12</v>
      </c>
      <c r="AU16" s="61">
        <v>8377.7999999999993</v>
      </c>
      <c r="AV16" s="62">
        <v>10</v>
      </c>
      <c r="AW16" s="61">
        <v>5619.7</v>
      </c>
      <c r="AX16" s="62">
        <v>12</v>
      </c>
      <c r="AY16" s="61">
        <v>6452.3</v>
      </c>
      <c r="AZ16" s="62">
        <v>16</v>
      </c>
      <c r="BA16" s="61">
        <v>11834.8</v>
      </c>
      <c r="BB16" s="62">
        <v>16</v>
      </c>
      <c r="BC16" s="61">
        <v>9770.7000000000007</v>
      </c>
      <c r="BD16" s="62">
        <v>10</v>
      </c>
      <c r="BE16" s="61">
        <v>7258.5</v>
      </c>
      <c r="BF16" s="62">
        <v>14</v>
      </c>
      <c r="BG16" s="61">
        <v>6810</v>
      </c>
      <c r="BH16" s="62">
        <v>18</v>
      </c>
      <c r="BI16" s="17">
        <v>11750.6</v>
      </c>
      <c r="BJ16" s="62">
        <v>10</v>
      </c>
      <c r="BK16" s="61">
        <v>6346.5</v>
      </c>
      <c r="BL16" s="62">
        <v>16</v>
      </c>
      <c r="BM16" s="64">
        <v>6612</v>
      </c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</row>
    <row r="17" spans="1:95" x14ac:dyDescent="0.25">
      <c r="B17" t="s">
        <v>87</v>
      </c>
      <c r="C17" s="25" t="s">
        <v>9</v>
      </c>
      <c r="D17" s="60">
        <v>7</v>
      </c>
      <c r="E17" s="61">
        <v>5108.3999999999996</v>
      </c>
      <c r="F17" s="62">
        <v>4</v>
      </c>
      <c r="G17" s="61">
        <v>2833.1</v>
      </c>
      <c r="H17" s="62">
        <v>5</v>
      </c>
      <c r="I17" s="61">
        <v>3590.8</v>
      </c>
      <c r="J17" s="62">
        <v>7</v>
      </c>
      <c r="K17" s="61">
        <v>5540.1</v>
      </c>
      <c r="L17" s="62">
        <v>6</v>
      </c>
      <c r="M17" s="61">
        <v>3671.6</v>
      </c>
      <c r="N17" s="62">
        <v>4</v>
      </c>
      <c r="O17" s="61">
        <v>2155.3000000000002</v>
      </c>
      <c r="P17" s="62">
        <v>3</v>
      </c>
      <c r="Q17" s="61">
        <v>1300</v>
      </c>
      <c r="R17" s="62">
        <v>4</v>
      </c>
      <c r="S17" s="61">
        <v>2181.8000000000002</v>
      </c>
      <c r="T17" s="62">
        <v>2</v>
      </c>
      <c r="U17" s="61">
        <v>1498.5</v>
      </c>
      <c r="V17" s="62">
        <v>9</v>
      </c>
      <c r="W17" s="61">
        <v>4564.3</v>
      </c>
      <c r="X17" s="62">
        <v>9</v>
      </c>
      <c r="Y17" s="61">
        <v>6880</v>
      </c>
      <c r="Z17" s="62">
        <v>9</v>
      </c>
      <c r="AA17" s="61">
        <v>4500</v>
      </c>
      <c r="AB17" s="62">
        <v>8</v>
      </c>
      <c r="AC17" s="61">
        <v>4328.3999999999996</v>
      </c>
      <c r="AD17" s="62">
        <v>2</v>
      </c>
      <c r="AE17" s="61">
        <v>800</v>
      </c>
      <c r="AF17" s="62">
        <v>7</v>
      </c>
      <c r="AG17" s="63">
        <v>4904.8</v>
      </c>
      <c r="AH17" s="62">
        <v>6</v>
      </c>
      <c r="AI17" s="61">
        <v>3393.1</v>
      </c>
      <c r="AJ17" s="62">
        <v>4</v>
      </c>
      <c r="AK17" s="61">
        <v>2575.4</v>
      </c>
      <c r="AL17" s="62">
        <v>7</v>
      </c>
      <c r="AM17" s="61">
        <v>5038.1000000000004</v>
      </c>
      <c r="AN17" s="62">
        <v>11</v>
      </c>
      <c r="AO17" s="61">
        <v>4546.2</v>
      </c>
      <c r="AP17" s="62">
        <v>3</v>
      </c>
      <c r="AQ17" s="61">
        <v>1866.2</v>
      </c>
      <c r="AR17" s="62">
        <v>5</v>
      </c>
      <c r="AS17" s="61">
        <v>2823</v>
      </c>
      <c r="AT17" s="62">
        <v>8</v>
      </c>
      <c r="AU17" s="61">
        <v>5404.4</v>
      </c>
      <c r="AV17" s="62">
        <v>3</v>
      </c>
      <c r="AW17" s="61">
        <v>2781.7</v>
      </c>
      <c r="AX17" s="62">
        <v>5</v>
      </c>
      <c r="AY17" s="61">
        <v>1704.1</v>
      </c>
      <c r="AZ17" s="62">
        <v>4</v>
      </c>
      <c r="BA17" s="61">
        <v>2801.9</v>
      </c>
      <c r="BB17" s="62">
        <v>4</v>
      </c>
      <c r="BC17" s="61">
        <v>2961.3</v>
      </c>
      <c r="BD17" s="62">
        <v>5</v>
      </c>
      <c r="BE17" s="61">
        <v>3565.9</v>
      </c>
      <c r="BF17" s="62">
        <v>1</v>
      </c>
      <c r="BG17" s="61">
        <v>500</v>
      </c>
      <c r="BH17" s="62">
        <v>7</v>
      </c>
      <c r="BI17" s="17">
        <v>3424.4</v>
      </c>
      <c r="BJ17" s="62">
        <v>4</v>
      </c>
      <c r="BK17" s="61">
        <v>2213.1</v>
      </c>
      <c r="BL17" s="62">
        <v>4</v>
      </c>
      <c r="BM17" s="64">
        <v>2145.9</v>
      </c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</row>
    <row r="18" spans="1:95" x14ac:dyDescent="0.25">
      <c r="B18" t="s">
        <v>88</v>
      </c>
      <c r="C18" s="25" t="s">
        <v>9</v>
      </c>
      <c r="D18" s="60">
        <v>31</v>
      </c>
      <c r="E18" s="61">
        <v>21600.2</v>
      </c>
      <c r="F18" s="62">
        <v>28</v>
      </c>
      <c r="G18" s="61">
        <v>14870.9</v>
      </c>
      <c r="H18" s="62">
        <v>37</v>
      </c>
      <c r="I18" s="61">
        <v>17823.7</v>
      </c>
      <c r="J18" s="62">
        <v>41</v>
      </c>
      <c r="K18" s="61">
        <v>24111.4</v>
      </c>
      <c r="L18" s="62">
        <v>43</v>
      </c>
      <c r="M18" s="61">
        <v>22335.1</v>
      </c>
      <c r="N18" s="62">
        <v>38</v>
      </c>
      <c r="O18" s="61">
        <v>20309.5</v>
      </c>
      <c r="P18" s="62">
        <v>26</v>
      </c>
      <c r="Q18" s="61">
        <v>13305.8</v>
      </c>
      <c r="R18" s="62">
        <v>35</v>
      </c>
      <c r="S18" s="61">
        <v>20564.2</v>
      </c>
      <c r="T18" s="62">
        <v>23</v>
      </c>
      <c r="U18" s="61">
        <v>13006</v>
      </c>
      <c r="V18" s="62">
        <v>33</v>
      </c>
      <c r="W18" s="61">
        <v>17811.900000000001</v>
      </c>
      <c r="X18" s="62">
        <v>41</v>
      </c>
      <c r="Y18" s="61">
        <v>26287.599999999999</v>
      </c>
      <c r="Z18" s="62">
        <v>39</v>
      </c>
      <c r="AA18" s="61">
        <v>23116.2</v>
      </c>
      <c r="AB18" s="62">
        <v>38</v>
      </c>
      <c r="AC18" s="61">
        <v>18369.400000000001</v>
      </c>
      <c r="AD18" s="62">
        <v>28</v>
      </c>
      <c r="AE18" s="61">
        <v>15213.8</v>
      </c>
      <c r="AF18" s="62">
        <v>37</v>
      </c>
      <c r="AG18" s="63">
        <v>24514.799999999999</v>
      </c>
      <c r="AH18" s="62">
        <v>26</v>
      </c>
      <c r="AI18" s="61">
        <v>12160</v>
      </c>
      <c r="AJ18" s="62">
        <v>54</v>
      </c>
      <c r="AK18" s="61">
        <v>31995.3</v>
      </c>
      <c r="AL18" s="62">
        <v>37</v>
      </c>
      <c r="AM18" s="61">
        <v>23248.9</v>
      </c>
      <c r="AN18" s="62">
        <v>45</v>
      </c>
      <c r="AO18" s="61">
        <v>24849.3</v>
      </c>
      <c r="AP18" s="62">
        <v>8</v>
      </c>
      <c r="AQ18" s="61">
        <v>4454.1000000000004</v>
      </c>
      <c r="AR18" s="62">
        <v>24</v>
      </c>
      <c r="AS18" s="61">
        <v>13890.6</v>
      </c>
      <c r="AT18" s="62">
        <v>35</v>
      </c>
      <c r="AU18" s="61">
        <v>19400.900000000001</v>
      </c>
      <c r="AV18" s="62">
        <v>23</v>
      </c>
      <c r="AW18" s="61">
        <v>10276.299999999999</v>
      </c>
      <c r="AX18" s="62">
        <v>45</v>
      </c>
      <c r="AY18" s="61">
        <v>22481.200000000001</v>
      </c>
      <c r="AZ18" s="62">
        <v>38</v>
      </c>
      <c r="BA18" s="61">
        <v>22038.7</v>
      </c>
      <c r="BB18" s="62">
        <v>38</v>
      </c>
      <c r="BC18" s="61">
        <v>19460.2</v>
      </c>
      <c r="BD18" s="62">
        <v>39</v>
      </c>
      <c r="BE18" s="61">
        <v>17959.7</v>
      </c>
      <c r="BF18" s="62">
        <v>26</v>
      </c>
      <c r="BG18" s="61">
        <v>14685.1</v>
      </c>
      <c r="BH18" s="62">
        <v>39</v>
      </c>
      <c r="BI18" s="17">
        <v>27297.7</v>
      </c>
      <c r="BJ18" s="62">
        <v>30</v>
      </c>
      <c r="BK18" s="61">
        <v>14713.3</v>
      </c>
      <c r="BL18" s="62">
        <v>53</v>
      </c>
      <c r="BM18" s="64">
        <v>29097.3</v>
      </c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</row>
    <row r="19" spans="1:95" x14ac:dyDescent="0.25">
      <c r="B19" t="s">
        <v>89</v>
      </c>
      <c r="C19" s="25" t="s">
        <v>29</v>
      </c>
      <c r="D19" s="60">
        <v>25</v>
      </c>
      <c r="E19" s="61">
        <v>4401.6000000000004</v>
      </c>
      <c r="F19" s="62">
        <v>24</v>
      </c>
      <c r="G19" s="61">
        <v>4283.2</v>
      </c>
      <c r="H19" s="62">
        <v>43</v>
      </c>
      <c r="I19" s="61">
        <v>7945.5</v>
      </c>
      <c r="J19" s="62">
        <v>37</v>
      </c>
      <c r="K19" s="61">
        <v>6860.8</v>
      </c>
      <c r="L19" s="62">
        <v>35</v>
      </c>
      <c r="M19" s="61">
        <v>4227.6000000000004</v>
      </c>
      <c r="N19" s="62">
        <v>30</v>
      </c>
      <c r="O19" s="61">
        <v>5154.6000000000004</v>
      </c>
      <c r="P19" s="62">
        <v>43</v>
      </c>
      <c r="Q19" s="61">
        <v>6143.2</v>
      </c>
      <c r="R19" s="62">
        <v>41</v>
      </c>
      <c r="S19" s="61">
        <v>5036.3</v>
      </c>
      <c r="T19" s="62">
        <v>35</v>
      </c>
      <c r="U19" s="61">
        <v>4540.2</v>
      </c>
      <c r="V19" s="62">
        <v>36</v>
      </c>
      <c r="W19" s="61">
        <v>6985.9</v>
      </c>
      <c r="X19" s="62">
        <v>30</v>
      </c>
      <c r="Y19" s="61">
        <v>5250.5</v>
      </c>
      <c r="Z19" s="62">
        <v>37</v>
      </c>
      <c r="AA19" s="61">
        <v>6435.6</v>
      </c>
      <c r="AB19" s="24">
        <v>22</v>
      </c>
      <c r="AC19" s="61">
        <v>2701.6</v>
      </c>
      <c r="AD19" s="62">
        <v>29</v>
      </c>
      <c r="AE19" s="61">
        <v>3652.1</v>
      </c>
      <c r="AF19" s="62">
        <v>38</v>
      </c>
      <c r="AG19" s="61">
        <v>5037.1000000000004</v>
      </c>
      <c r="AH19" s="62">
        <v>32</v>
      </c>
      <c r="AI19" s="61">
        <v>4111.2</v>
      </c>
      <c r="AJ19" s="62">
        <v>42</v>
      </c>
      <c r="AK19" s="61">
        <v>8368</v>
      </c>
      <c r="AL19" s="62">
        <v>28</v>
      </c>
      <c r="AM19" s="61">
        <v>3784.8</v>
      </c>
      <c r="AN19" s="62">
        <v>34</v>
      </c>
      <c r="AO19" s="61">
        <v>4793.5</v>
      </c>
      <c r="AP19" s="62">
        <v>6</v>
      </c>
      <c r="AQ19" s="61">
        <v>766.7</v>
      </c>
      <c r="AR19" s="62">
        <v>32</v>
      </c>
      <c r="AS19" s="61">
        <v>4749.2</v>
      </c>
      <c r="AT19" s="62">
        <v>33</v>
      </c>
      <c r="AU19" s="61">
        <v>6947.6</v>
      </c>
      <c r="AV19" s="62">
        <v>32</v>
      </c>
      <c r="AW19" s="61">
        <v>4101</v>
      </c>
      <c r="AX19" s="62">
        <v>43</v>
      </c>
      <c r="AY19" s="61">
        <v>5670.1</v>
      </c>
      <c r="AZ19" s="62">
        <v>30</v>
      </c>
      <c r="BA19" s="61">
        <v>3970.2</v>
      </c>
      <c r="BB19" s="62">
        <v>25</v>
      </c>
      <c r="BC19" s="61">
        <v>3744.4</v>
      </c>
      <c r="BD19" s="62">
        <v>21</v>
      </c>
      <c r="BE19" s="61">
        <v>2979.4</v>
      </c>
      <c r="BF19" s="62">
        <v>29</v>
      </c>
      <c r="BG19" s="61">
        <v>4337.7</v>
      </c>
      <c r="BH19" s="62">
        <v>35</v>
      </c>
      <c r="BI19" s="17">
        <v>4267.2</v>
      </c>
      <c r="BJ19" s="62">
        <v>37</v>
      </c>
      <c r="BK19" s="61">
        <v>6091.5</v>
      </c>
      <c r="BL19" s="62">
        <v>32</v>
      </c>
      <c r="BM19" s="64">
        <v>4601.3999999999996</v>
      </c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</row>
    <row r="20" spans="1:95" x14ac:dyDescent="0.25">
      <c r="B20" t="s">
        <v>30</v>
      </c>
      <c r="C20" s="25" t="s">
        <v>29</v>
      </c>
      <c r="D20" s="60">
        <v>28</v>
      </c>
      <c r="E20" s="61">
        <v>4888.7</v>
      </c>
      <c r="F20" s="62">
        <v>25</v>
      </c>
      <c r="G20" s="61">
        <v>5227.7</v>
      </c>
      <c r="H20" s="62">
        <v>34</v>
      </c>
      <c r="I20" s="61">
        <v>5841.5</v>
      </c>
      <c r="J20" s="62">
        <v>21</v>
      </c>
      <c r="K20" s="61">
        <v>3406.3</v>
      </c>
      <c r="L20" s="62">
        <v>32</v>
      </c>
      <c r="M20" s="61">
        <v>10672.8</v>
      </c>
      <c r="N20" s="62">
        <v>36</v>
      </c>
      <c r="O20" s="61">
        <v>12340.8</v>
      </c>
      <c r="P20" s="62">
        <v>22</v>
      </c>
      <c r="Q20" s="61">
        <v>3702.8</v>
      </c>
      <c r="R20" s="62">
        <v>30</v>
      </c>
      <c r="S20" s="61">
        <v>4113.6000000000004</v>
      </c>
      <c r="T20" s="62">
        <v>18</v>
      </c>
      <c r="U20" s="61">
        <v>2144.1999999999998</v>
      </c>
      <c r="V20" s="62">
        <v>20</v>
      </c>
      <c r="W20" s="61">
        <v>2342.1999999999998</v>
      </c>
      <c r="X20" s="62">
        <v>21</v>
      </c>
      <c r="Y20" s="61">
        <v>3124.3</v>
      </c>
      <c r="Z20" s="62">
        <v>41</v>
      </c>
      <c r="AA20" s="61">
        <v>17155.400000000001</v>
      </c>
      <c r="AB20" s="24">
        <v>40</v>
      </c>
      <c r="AC20" s="61">
        <v>12685.2</v>
      </c>
      <c r="AD20" s="62">
        <v>31</v>
      </c>
      <c r="AE20" s="61">
        <v>3743.1</v>
      </c>
      <c r="AF20" s="62">
        <v>26</v>
      </c>
      <c r="AG20" s="61">
        <v>2956.1</v>
      </c>
      <c r="AH20" s="62">
        <v>22</v>
      </c>
      <c r="AI20" s="61">
        <v>2829.5</v>
      </c>
      <c r="AJ20" s="62">
        <v>32</v>
      </c>
      <c r="AK20" s="61">
        <v>4563</v>
      </c>
      <c r="AL20" s="62">
        <v>30</v>
      </c>
      <c r="AM20" s="61">
        <v>3675.1</v>
      </c>
      <c r="AN20" s="62">
        <v>26</v>
      </c>
      <c r="AO20" s="61">
        <v>7902.2</v>
      </c>
      <c r="AP20" s="62">
        <v>8</v>
      </c>
      <c r="AQ20" s="61">
        <v>1918.2</v>
      </c>
      <c r="AR20" s="62">
        <v>31</v>
      </c>
      <c r="AS20" s="61">
        <v>5408</v>
      </c>
      <c r="AT20" s="62">
        <v>29</v>
      </c>
      <c r="AU20" s="61">
        <v>3332.5</v>
      </c>
      <c r="AV20" s="62">
        <v>23</v>
      </c>
      <c r="AW20" s="61">
        <v>2810.5</v>
      </c>
      <c r="AX20" s="62">
        <v>31</v>
      </c>
      <c r="AY20" s="61">
        <v>4698.6000000000004</v>
      </c>
      <c r="AZ20" s="62">
        <v>23</v>
      </c>
      <c r="BA20" s="61">
        <v>2731.7</v>
      </c>
      <c r="BB20" s="62">
        <v>44</v>
      </c>
      <c r="BC20" s="61">
        <v>12308.4</v>
      </c>
      <c r="BD20" s="62">
        <v>38</v>
      </c>
      <c r="BE20" s="61">
        <v>12561.8</v>
      </c>
      <c r="BF20" s="62">
        <v>28</v>
      </c>
      <c r="BG20" s="61">
        <v>4260.3999999999996</v>
      </c>
      <c r="BH20" s="62">
        <v>28</v>
      </c>
      <c r="BI20" s="61">
        <v>3699.8</v>
      </c>
      <c r="BJ20" s="62">
        <v>28</v>
      </c>
      <c r="BK20" s="61">
        <v>3162.6</v>
      </c>
      <c r="BL20" s="62">
        <v>29</v>
      </c>
      <c r="BM20" s="64">
        <v>3540.2</v>
      </c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</row>
    <row r="21" spans="1:95" x14ac:dyDescent="0.25">
      <c r="A21" s="16" t="s">
        <v>70</v>
      </c>
      <c r="D21" s="67">
        <v>179</v>
      </c>
      <c r="E21" s="28">
        <v>86585.700000000012</v>
      </c>
      <c r="F21" s="68">
        <v>146</v>
      </c>
      <c r="G21" s="28">
        <v>63209.099999999991</v>
      </c>
      <c r="H21" s="68">
        <v>240</v>
      </c>
      <c r="I21" s="28">
        <v>98995.900000000009</v>
      </c>
      <c r="J21" s="68">
        <v>204</v>
      </c>
      <c r="K21" s="28">
        <v>104110.6</v>
      </c>
      <c r="L21" s="68">
        <v>215</v>
      </c>
      <c r="M21" s="28">
        <v>96833.2</v>
      </c>
      <c r="N21" s="68">
        <v>206</v>
      </c>
      <c r="O21" s="28">
        <v>101025.80000000002</v>
      </c>
      <c r="P21" s="68">
        <v>164</v>
      </c>
      <c r="Q21" s="28">
        <v>59842</v>
      </c>
      <c r="R21" s="68">
        <v>210</v>
      </c>
      <c r="S21" s="28">
        <v>99758.400000000009</v>
      </c>
      <c r="T21" s="68">
        <v>154</v>
      </c>
      <c r="U21" s="28">
        <v>63432.19999999999</v>
      </c>
      <c r="V21" s="68">
        <v>208</v>
      </c>
      <c r="W21" s="28">
        <v>89904.499999999985</v>
      </c>
      <c r="X21" s="68">
        <v>195</v>
      </c>
      <c r="Y21" s="28">
        <v>104224.50000000001</v>
      </c>
      <c r="Z21" s="68">
        <v>230</v>
      </c>
      <c r="AA21" s="28">
        <v>107811.20000000001</v>
      </c>
      <c r="AB21" s="68">
        <v>186</v>
      </c>
      <c r="AC21" s="28">
        <v>87702.8</v>
      </c>
      <c r="AD21" s="68">
        <v>142</v>
      </c>
      <c r="AE21" s="28">
        <v>49400.2</v>
      </c>
      <c r="AF21" s="68">
        <v>194</v>
      </c>
      <c r="AG21" s="28">
        <v>89457.300000000017</v>
      </c>
      <c r="AH21" s="68">
        <v>165</v>
      </c>
      <c r="AI21" s="28">
        <v>68720</v>
      </c>
      <c r="AJ21" s="68">
        <v>255</v>
      </c>
      <c r="AK21" s="28">
        <v>110847.6</v>
      </c>
      <c r="AL21" s="68">
        <v>205</v>
      </c>
      <c r="AM21" s="28">
        <v>104670.40000000001</v>
      </c>
      <c r="AN21" s="68">
        <v>228</v>
      </c>
      <c r="AO21" s="28">
        <v>120044.7</v>
      </c>
      <c r="AP21" s="68">
        <v>36</v>
      </c>
      <c r="AQ21" s="28">
        <v>16631.400000000001</v>
      </c>
      <c r="AR21" s="68">
        <v>172</v>
      </c>
      <c r="AS21" s="28">
        <v>73093.3</v>
      </c>
      <c r="AT21" s="68">
        <v>195</v>
      </c>
      <c r="AU21" s="28">
        <v>91585.700000000012</v>
      </c>
      <c r="AV21" s="68">
        <v>156</v>
      </c>
      <c r="AW21" s="28">
        <v>55062.599999999991</v>
      </c>
      <c r="AX21" s="68">
        <v>223</v>
      </c>
      <c r="AY21" s="28">
        <v>88630.500000000015</v>
      </c>
      <c r="AZ21" s="68">
        <v>181</v>
      </c>
      <c r="BA21" s="28">
        <v>87452.4</v>
      </c>
      <c r="BB21" s="68">
        <v>217</v>
      </c>
      <c r="BC21" s="28">
        <v>99841.299999999988</v>
      </c>
      <c r="BD21" s="68">
        <v>199</v>
      </c>
      <c r="BE21" s="28">
        <v>90235</v>
      </c>
      <c r="BF21" s="68">
        <v>162</v>
      </c>
      <c r="BG21" s="28">
        <v>63490.1</v>
      </c>
      <c r="BH21" s="68">
        <v>191</v>
      </c>
      <c r="BI21" s="28">
        <v>91510.1</v>
      </c>
      <c r="BJ21" s="68">
        <v>170</v>
      </c>
      <c r="BK21" s="28">
        <v>65521.599999999999</v>
      </c>
      <c r="BL21" s="68">
        <v>221</v>
      </c>
      <c r="BM21" s="69">
        <v>91714.299999999988</v>
      </c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</row>
    <row r="22" spans="1:95" x14ac:dyDescent="0.25">
      <c r="D22" s="66"/>
      <c r="F22" s="27"/>
      <c r="H22" s="27"/>
      <c r="J22" s="27"/>
      <c r="L22" s="27"/>
      <c r="N22" s="27"/>
      <c r="P22" s="27"/>
      <c r="R22" s="27"/>
      <c r="T22" s="27"/>
      <c r="V22" s="27"/>
      <c r="X22" s="27"/>
      <c r="Z22" s="27"/>
      <c r="AB22" s="27"/>
      <c r="AD22" s="27"/>
      <c r="AF22" s="27"/>
      <c r="AH22" s="27"/>
      <c r="AJ22" s="27"/>
      <c r="AL22" s="27"/>
      <c r="AN22" s="27"/>
      <c r="AP22" s="27"/>
      <c r="AR22" s="27"/>
      <c r="AT22" s="27"/>
      <c r="AV22" s="27"/>
      <c r="AX22" s="27"/>
      <c r="AZ22" s="27"/>
      <c r="BB22" s="27"/>
      <c r="BD22" s="27"/>
      <c r="BF22" s="27"/>
      <c r="BH22" s="27"/>
      <c r="BJ22" s="27"/>
      <c r="BL22" s="27"/>
      <c r="BM22" s="65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</row>
    <row r="23" spans="1:95" x14ac:dyDescent="0.25">
      <c r="A23" s="16" t="s">
        <v>23</v>
      </c>
      <c r="D23" s="66"/>
      <c r="F23" s="27"/>
      <c r="H23" s="27"/>
      <c r="J23" s="27"/>
      <c r="L23" s="27"/>
      <c r="N23" s="27"/>
      <c r="P23" s="27"/>
      <c r="R23" s="27"/>
      <c r="T23" s="27"/>
      <c r="V23" s="27"/>
      <c r="X23" s="27"/>
      <c r="Z23" s="27"/>
      <c r="AB23" s="27"/>
      <c r="AD23" s="27"/>
      <c r="AF23" s="27"/>
      <c r="AH23" s="27"/>
      <c r="AJ23" s="27"/>
      <c r="AL23" s="27"/>
      <c r="AN23" s="27"/>
      <c r="AP23" s="27"/>
      <c r="AR23" s="27"/>
      <c r="AT23" s="27"/>
      <c r="AV23" s="27"/>
      <c r="AX23" s="27"/>
      <c r="AZ23" s="27"/>
      <c r="BB23" s="27"/>
      <c r="BD23" s="27"/>
      <c r="BF23" s="27"/>
      <c r="BH23" s="27"/>
      <c r="BJ23" s="27"/>
      <c r="BL23" s="27"/>
      <c r="BM23" s="65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</row>
    <row r="24" spans="1:95" x14ac:dyDescent="0.25">
      <c r="B24" t="s">
        <v>71</v>
      </c>
      <c r="C24" s="25" t="s">
        <v>9</v>
      </c>
      <c r="D24" s="66">
        <v>0</v>
      </c>
      <c r="E24">
        <v>0</v>
      </c>
      <c r="F24" s="27">
        <v>1</v>
      </c>
      <c r="G24" s="17">
        <v>67</v>
      </c>
      <c r="H24" s="27">
        <v>0</v>
      </c>
      <c r="I24" s="17">
        <v>0</v>
      </c>
      <c r="J24" s="27">
        <v>0</v>
      </c>
      <c r="K24" s="17">
        <v>0</v>
      </c>
      <c r="L24" s="27">
        <v>1</v>
      </c>
      <c r="M24" s="17">
        <v>58.7</v>
      </c>
      <c r="N24" s="27">
        <v>4</v>
      </c>
      <c r="O24" s="17">
        <v>1598.6</v>
      </c>
      <c r="P24" s="27">
        <v>0</v>
      </c>
      <c r="Q24" s="17">
        <v>0</v>
      </c>
      <c r="R24" s="27">
        <v>2</v>
      </c>
      <c r="S24" s="17">
        <v>1579.2</v>
      </c>
      <c r="T24" s="27">
        <v>0</v>
      </c>
      <c r="U24" s="17">
        <v>0</v>
      </c>
      <c r="V24" s="27">
        <v>0</v>
      </c>
      <c r="W24" s="17">
        <v>0</v>
      </c>
      <c r="X24" s="27">
        <v>1</v>
      </c>
      <c r="Y24" s="17">
        <v>1000</v>
      </c>
      <c r="Z24" s="27">
        <v>0</v>
      </c>
      <c r="AA24" s="17">
        <v>0</v>
      </c>
      <c r="AB24" s="27">
        <v>2</v>
      </c>
      <c r="AC24" s="17">
        <v>571.1</v>
      </c>
      <c r="AD24" s="27">
        <v>0</v>
      </c>
      <c r="AE24" s="17">
        <v>0</v>
      </c>
      <c r="AF24" s="27">
        <v>2</v>
      </c>
      <c r="AG24" s="17">
        <v>647.1</v>
      </c>
      <c r="AH24" s="27">
        <v>2</v>
      </c>
      <c r="AI24" s="17">
        <v>1250</v>
      </c>
      <c r="AJ24" s="27">
        <v>1</v>
      </c>
      <c r="AK24" s="17">
        <v>57.1</v>
      </c>
      <c r="AL24" s="27">
        <v>2</v>
      </c>
      <c r="AM24" s="17">
        <v>1442.7</v>
      </c>
      <c r="AN24" s="27">
        <v>0</v>
      </c>
      <c r="AO24" s="17">
        <v>0</v>
      </c>
      <c r="AP24" s="27">
        <v>0</v>
      </c>
      <c r="AQ24" s="17">
        <v>0</v>
      </c>
      <c r="AR24" s="27">
        <v>0</v>
      </c>
      <c r="AS24" s="17">
        <v>0</v>
      </c>
      <c r="AT24" s="27">
        <v>0</v>
      </c>
      <c r="AU24" s="17">
        <v>0</v>
      </c>
      <c r="AV24" s="27">
        <v>0</v>
      </c>
      <c r="AW24" s="17">
        <v>0</v>
      </c>
      <c r="AX24" s="27">
        <v>0</v>
      </c>
      <c r="AY24" s="17">
        <v>0</v>
      </c>
      <c r="AZ24" s="27">
        <v>0</v>
      </c>
      <c r="BA24" s="17">
        <v>0</v>
      </c>
      <c r="BB24" s="27">
        <v>0</v>
      </c>
      <c r="BC24" s="17">
        <v>0</v>
      </c>
      <c r="BD24" s="27">
        <v>1</v>
      </c>
      <c r="BE24" s="17">
        <v>250</v>
      </c>
      <c r="BF24" s="27">
        <v>0</v>
      </c>
      <c r="BG24" s="17">
        <v>0</v>
      </c>
      <c r="BH24" s="27">
        <v>0</v>
      </c>
      <c r="BI24" s="17">
        <v>0</v>
      </c>
      <c r="BJ24" s="27">
        <v>0</v>
      </c>
      <c r="BK24" s="17">
        <v>0</v>
      </c>
      <c r="BL24" s="27">
        <v>0</v>
      </c>
      <c r="BM24" s="65">
        <v>0</v>
      </c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</row>
    <row r="25" spans="1:95" x14ac:dyDescent="0.25">
      <c r="B25" t="s">
        <v>25</v>
      </c>
      <c r="C25" s="25" t="s">
        <v>9</v>
      </c>
      <c r="D25" s="66">
        <v>0</v>
      </c>
      <c r="E25">
        <v>0</v>
      </c>
      <c r="F25" s="27">
        <v>0</v>
      </c>
      <c r="G25" s="17">
        <v>0</v>
      </c>
      <c r="H25" s="27">
        <v>0</v>
      </c>
      <c r="I25" s="17">
        <v>0</v>
      </c>
      <c r="J25" s="27">
        <v>0</v>
      </c>
      <c r="K25" s="17">
        <v>0</v>
      </c>
      <c r="L25" s="27">
        <v>0</v>
      </c>
      <c r="M25" s="17">
        <v>0</v>
      </c>
      <c r="N25" s="27">
        <v>0</v>
      </c>
      <c r="O25" s="17">
        <v>0</v>
      </c>
      <c r="P25" s="27">
        <v>0</v>
      </c>
      <c r="Q25" s="17">
        <v>0</v>
      </c>
      <c r="R25" s="27">
        <v>0</v>
      </c>
      <c r="S25" s="17">
        <v>0</v>
      </c>
      <c r="T25" s="27">
        <v>1</v>
      </c>
      <c r="U25" s="17">
        <v>500</v>
      </c>
      <c r="V25" s="27">
        <v>1</v>
      </c>
      <c r="W25" s="17">
        <v>500</v>
      </c>
      <c r="X25" s="27">
        <v>0</v>
      </c>
      <c r="Y25" s="17">
        <v>0</v>
      </c>
      <c r="Z25" s="27">
        <v>0</v>
      </c>
      <c r="AA25" s="17">
        <v>0</v>
      </c>
      <c r="AB25" s="27">
        <v>0</v>
      </c>
      <c r="AC25" s="17">
        <v>0</v>
      </c>
      <c r="AD25" s="27">
        <v>0</v>
      </c>
      <c r="AE25" s="17">
        <v>0</v>
      </c>
      <c r="AF25" s="27">
        <v>0</v>
      </c>
      <c r="AG25" s="17">
        <v>0</v>
      </c>
      <c r="AH25" s="27">
        <v>0</v>
      </c>
      <c r="AI25" s="17">
        <v>0</v>
      </c>
      <c r="AJ25" s="27">
        <v>0</v>
      </c>
      <c r="AK25" s="17">
        <v>0</v>
      </c>
      <c r="AL25" s="27">
        <v>0</v>
      </c>
      <c r="AM25" s="17">
        <v>0</v>
      </c>
      <c r="AN25" s="27">
        <v>0</v>
      </c>
      <c r="AO25" s="17">
        <v>0</v>
      </c>
      <c r="AP25" s="27">
        <v>0</v>
      </c>
      <c r="AQ25" s="17">
        <v>0</v>
      </c>
      <c r="AR25" s="27">
        <v>0</v>
      </c>
      <c r="AS25" s="17">
        <v>0</v>
      </c>
      <c r="AT25" s="27">
        <v>1</v>
      </c>
      <c r="AU25" s="17">
        <v>400</v>
      </c>
      <c r="AV25" s="27">
        <v>0</v>
      </c>
      <c r="AW25" s="17">
        <v>0</v>
      </c>
      <c r="AX25" s="27">
        <v>0</v>
      </c>
      <c r="AY25" s="17">
        <v>0</v>
      </c>
      <c r="AZ25" s="27">
        <v>0</v>
      </c>
      <c r="BA25" s="17">
        <v>0</v>
      </c>
      <c r="BB25" s="27">
        <v>0</v>
      </c>
      <c r="BC25" s="17">
        <v>0</v>
      </c>
      <c r="BD25" s="27">
        <v>0</v>
      </c>
      <c r="BE25" s="17">
        <v>0</v>
      </c>
      <c r="BF25" s="27">
        <v>0</v>
      </c>
      <c r="BG25" s="17">
        <v>0</v>
      </c>
      <c r="BH25" s="27">
        <v>0</v>
      </c>
      <c r="BI25" s="17">
        <v>0</v>
      </c>
      <c r="BJ25" s="27">
        <v>0</v>
      </c>
      <c r="BK25" s="17">
        <v>0</v>
      </c>
      <c r="BL25" s="27">
        <v>0</v>
      </c>
      <c r="BM25" s="65">
        <v>0</v>
      </c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</row>
    <row r="26" spans="1:95" x14ac:dyDescent="0.25">
      <c r="B26" t="s">
        <v>72</v>
      </c>
      <c r="C26" s="25" t="s">
        <v>9</v>
      </c>
      <c r="D26" s="66">
        <v>2</v>
      </c>
      <c r="E26" s="17">
        <v>1400</v>
      </c>
      <c r="F26" s="27">
        <v>1</v>
      </c>
      <c r="G26" s="17">
        <v>383.9</v>
      </c>
      <c r="H26" s="27">
        <v>4</v>
      </c>
      <c r="I26" s="17">
        <v>1943.8</v>
      </c>
      <c r="J26" s="27">
        <v>1</v>
      </c>
      <c r="K26" s="17">
        <v>500</v>
      </c>
      <c r="L26" s="27">
        <v>4</v>
      </c>
      <c r="M26" s="17">
        <v>1700</v>
      </c>
      <c r="N26" s="27">
        <v>2</v>
      </c>
      <c r="O26" s="17">
        <v>1224.2</v>
      </c>
      <c r="P26" s="27">
        <v>0</v>
      </c>
      <c r="Q26" s="17">
        <v>0</v>
      </c>
      <c r="R26" s="27">
        <v>1</v>
      </c>
      <c r="S26" s="17">
        <v>857</v>
      </c>
      <c r="T26" s="27">
        <v>2</v>
      </c>
      <c r="U26" s="17">
        <v>608.70000000000005</v>
      </c>
      <c r="V26" s="27">
        <v>1</v>
      </c>
      <c r="W26" s="17">
        <v>820</v>
      </c>
      <c r="X26" s="27">
        <v>1</v>
      </c>
      <c r="Y26" s="17">
        <v>624.29999999999995</v>
      </c>
      <c r="Z26" s="27">
        <v>4</v>
      </c>
      <c r="AA26" s="17">
        <v>2370.4</v>
      </c>
      <c r="AB26" s="27">
        <v>1</v>
      </c>
      <c r="AC26" s="17">
        <v>728.8</v>
      </c>
      <c r="AD26" s="27">
        <v>1</v>
      </c>
      <c r="AE26" s="17">
        <v>500</v>
      </c>
      <c r="AF26" s="27">
        <v>2</v>
      </c>
      <c r="AG26" s="17">
        <v>800</v>
      </c>
      <c r="AH26" s="27">
        <v>1</v>
      </c>
      <c r="AI26" s="17">
        <v>400</v>
      </c>
      <c r="AJ26" s="27">
        <v>2</v>
      </c>
      <c r="AK26" s="17">
        <v>1602.9</v>
      </c>
      <c r="AL26" s="27">
        <v>1</v>
      </c>
      <c r="AM26" s="17">
        <v>1313.5</v>
      </c>
      <c r="AN26" s="27">
        <v>3</v>
      </c>
      <c r="AO26" s="17">
        <v>1500</v>
      </c>
      <c r="AP26" s="27">
        <v>1</v>
      </c>
      <c r="AQ26" s="17">
        <v>597.1</v>
      </c>
      <c r="AR26" s="27">
        <v>0</v>
      </c>
      <c r="AS26" s="17">
        <v>0</v>
      </c>
      <c r="AT26" s="27">
        <v>8</v>
      </c>
      <c r="AU26" s="17">
        <v>5269.3</v>
      </c>
      <c r="AV26" s="27">
        <v>1</v>
      </c>
      <c r="AW26" s="17">
        <v>1000</v>
      </c>
      <c r="AX26" s="27">
        <v>3</v>
      </c>
      <c r="AY26" s="17">
        <v>1140.9000000000001</v>
      </c>
      <c r="AZ26" s="27">
        <v>3</v>
      </c>
      <c r="BA26" s="17">
        <v>1963</v>
      </c>
      <c r="BB26" s="27">
        <v>3</v>
      </c>
      <c r="BC26" s="17">
        <v>1500</v>
      </c>
      <c r="BD26" s="27">
        <v>4</v>
      </c>
      <c r="BE26" s="17">
        <v>2362.8000000000002</v>
      </c>
      <c r="BF26" s="27">
        <v>1</v>
      </c>
      <c r="BG26" s="17">
        <v>500</v>
      </c>
      <c r="BH26" s="27">
        <v>3</v>
      </c>
      <c r="BI26" s="17">
        <v>2141.1999999999998</v>
      </c>
      <c r="BJ26" s="27">
        <v>3</v>
      </c>
      <c r="BK26" s="17">
        <v>1700</v>
      </c>
      <c r="BL26" s="27">
        <v>3</v>
      </c>
      <c r="BM26" s="65">
        <v>1700.6</v>
      </c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</row>
    <row r="27" spans="1:95" x14ac:dyDescent="0.25">
      <c r="B27" t="s">
        <v>31</v>
      </c>
      <c r="C27" s="25" t="s">
        <v>29</v>
      </c>
      <c r="D27" s="66">
        <v>1</v>
      </c>
      <c r="E27" s="17">
        <v>243.6</v>
      </c>
      <c r="F27" s="27">
        <v>3</v>
      </c>
      <c r="G27" s="17">
        <v>517.79999999999995</v>
      </c>
      <c r="H27" s="27">
        <v>0</v>
      </c>
      <c r="I27" s="17">
        <v>0</v>
      </c>
      <c r="J27" s="27">
        <v>2</v>
      </c>
      <c r="K27" s="17">
        <v>928.4</v>
      </c>
      <c r="L27" s="27">
        <v>3</v>
      </c>
      <c r="M27" s="17">
        <v>739.4</v>
      </c>
      <c r="N27" s="27">
        <v>4</v>
      </c>
      <c r="O27" s="17">
        <v>816.5</v>
      </c>
      <c r="P27" s="27">
        <v>1</v>
      </c>
      <c r="Q27" s="17">
        <v>124</v>
      </c>
      <c r="R27" s="27">
        <v>0</v>
      </c>
      <c r="S27" s="17">
        <v>0</v>
      </c>
      <c r="T27" s="27">
        <v>2</v>
      </c>
      <c r="U27" s="17">
        <v>819.8</v>
      </c>
      <c r="V27" s="27">
        <v>3</v>
      </c>
      <c r="W27" s="17">
        <v>1679.1</v>
      </c>
      <c r="X27" s="27">
        <v>1</v>
      </c>
      <c r="Y27" s="17">
        <v>128.30000000000001</v>
      </c>
      <c r="Z27" s="27">
        <v>1</v>
      </c>
      <c r="AA27" s="17">
        <v>142.5</v>
      </c>
      <c r="AB27" s="27">
        <v>1</v>
      </c>
      <c r="AC27" s="17">
        <v>500</v>
      </c>
      <c r="AD27" s="27">
        <v>0</v>
      </c>
      <c r="AE27" s="17">
        <v>0</v>
      </c>
      <c r="AF27" s="27">
        <v>3</v>
      </c>
      <c r="AG27" s="17">
        <v>2468.4</v>
      </c>
      <c r="AH27" s="27">
        <v>0</v>
      </c>
      <c r="AI27" s="17">
        <v>0</v>
      </c>
      <c r="AJ27" s="27">
        <v>1</v>
      </c>
      <c r="AK27" s="17">
        <v>63.3</v>
      </c>
      <c r="AL27" s="27">
        <v>3</v>
      </c>
      <c r="AM27" s="17">
        <v>335</v>
      </c>
      <c r="AN27" s="27">
        <v>2</v>
      </c>
      <c r="AO27" s="17">
        <v>205</v>
      </c>
      <c r="AP27" s="27">
        <v>1</v>
      </c>
      <c r="AQ27" s="17">
        <v>177.1</v>
      </c>
      <c r="AR27" s="27">
        <v>1</v>
      </c>
      <c r="AS27" s="17">
        <v>64.2</v>
      </c>
      <c r="AT27" s="27">
        <v>6</v>
      </c>
      <c r="AU27" s="17">
        <v>918.7</v>
      </c>
      <c r="AV27" s="27">
        <v>0</v>
      </c>
      <c r="AW27" s="17">
        <v>0</v>
      </c>
      <c r="AX27" s="27">
        <v>2</v>
      </c>
      <c r="AY27" s="17">
        <v>334.7</v>
      </c>
      <c r="AZ27" s="27">
        <v>2</v>
      </c>
      <c r="BA27" s="17">
        <v>1571</v>
      </c>
      <c r="BB27" s="27">
        <v>3</v>
      </c>
      <c r="BC27" s="17">
        <v>721.9</v>
      </c>
      <c r="BD27" s="27">
        <v>1</v>
      </c>
      <c r="BE27" s="17">
        <v>716.2</v>
      </c>
      <c r="BF27" s="27">
        <v>2</v>
      </c>
      <c r="BG27" s="17">
        <v>570.6</v>
      </c>
      <c r="BH27" s="27">
        <v>1</v>
      </c>
      <c r="BI27" s="17">
        <v>1098.5999999999999</v>
      </c>
      <c r="BJ27" s="27">
        <v>2</v>
      </c>
      <c r="BK27" s="17">
        <v>210.4</v>
      </c>
      <c r="BL27" s="27">
        <v>2</v>
      </c>
      <c r="BM27" s="65">
        <v>243.2</v>
      </c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</row>
    <row r="28" spans="1:95" x14ac:dyDescent="0.25">
      <c r="A28" s="16" t="s">
        <v>26</v>
      </c>
      <c r="D28" s="67">
        <v>3</v>
      </c>
      <c r="E28" s="28">
        <v>1643.6</v>
      </c>
      <c r="F28" s="68">
        <v>5</v>
      </c>
      <c r="G28" s="28">
        <v>968.69999999999993</v>
      </c>
      <c r="H28" s="68">
        <v>4</v>
      </c>
      <c r="I28" s="28">
        <v>1943.8</v>
      </c>
      <c r="J28" s="68">
        <v>3</v>
      </c>
      <c r="K28" s="28">
        <v>1428.4</v>
      </c>
      <c r="L28" s="68">
        <v>8</v>
      </c>
      <c r="M28" s="28">
        <v>2498.1</v>
      </c>
      <c r="N28" s="68">
        <v>10</v>
      </c>
      <c r="O28" s="28">
        <v>3639.3</v>
      </c>
      <c r="P28" s="68">
        <v>1</v>
      </c>
      <c r="Q28" s="28">
        <v>124</v>
      </c>
      <c r="R28" s="68">
        <v>3</v>
      </c>
      <c r="S28" s="28">
        <v>2436.1999999999998</v>
      </c>
      <c r="T28" s="68">
        <v>5</v>
      </c>
      <c r="U28" s="28">
        <v>1928.5</v>
      </c>
      <c r="V28" s="68">
        <v>5</v>
      </c>
      <c r="W28" s="28">
        <v>2999.1</v>
      </c>
      <c r="X28" s="68">
        <v>3</v>
      </c>
      <c r="Y28" s="28">
        <v>1752.6</v>
      </c>
      <c r="Z28" s="68">
        <v>5</v>
      </c>
      <c r="AA28" s="28">
        <v>2512.9</v>
      </c>
      <c r="AB28" s="68">
        <v>4</v>
      </c>
      <c r="AC28" s="28">
        <v>1799.9</v>
      </c>
      <c r="AD28" s="68">
        <v>1</v>
      </c>
      <c r="AE28" s="28">
        <v>500</v>
      </c>
      <c r="AF28" s="68">
        <v>7</v>
      </c>
      <c r="AG28" s="28">
        <v>3915.5</v>
      </c>
      <c r="AH28" s="68">
        <v>3</v>
      </c>
      <c r="AI28" s="28">
        <v>1650</v>
      </c>
      <c r="AJ28" s="68">
        <v>4</v>
      </c>
      <c r="AK28" s="28">
        <v>1723.3</v>
      </c>
      <c r="AL28" s="68">
        <v>6</v>
      </c>
      <c r="AM28" s="28">
        <v>3091.2</v>
      </c>
      <c r="AN28" s="68">
        <v>5</v>
      </c>
      <c r="AO28" s="28">
        <v>1705</v>
      </c>
      <c r="AP28" s="68">
        <v>2</v>
      </c>
      <c r="AQ28" s="28">
        <v>774.2</v>
      </c>
      <c r="AR28" s="68">
        <v>1</v>
      </c>
      <c r="AS28" s="28">
        <v>64.2</v>
      </c>
      <c r="AT28" s="68">
        <v>15</v>
      </c>
      <c r="AU28" s="28">
        <v>6588</v>
      </c>
      <c r="AV28" s="68">
        <v>1</v>
      </c>
      <c r="AW28" s="28">
        <v>1000</v>
      </c>
      <c r="AX28" s="68">
        <v>5</v>
      </c>
      <c r="AY28" s="28">
        <v>1475.6000000000001</v>
      </c>
      <c r="AZ28" s="68">
        <v>5</v>
      </c>
      <c r="BA28" s="28">
        <v>3534</v>
      </c>
      <c r="BB28" s="68">
        <v>6</v>
      </c>
      <c r="BC28" s="28">
        <v>2221.9</v>
      </c>
      <c r="BD28" s="68">
        <v>6</v>
      </c>
      <c r="BE28" s="28">
        <v>3329</v>
      </c>
      <c r="BF28" s="68">
        <v>3</v>
      </c>
      <c r="BG28" s="28">
        <v>1070.5999999999999</v>
      </c>
      <c r="BH28" s="68">
        <v>4</v>
      </c>
      <c r="BI28" s="28">
        <v>3239.7999999999997</v>
      </c>
      <c r="BJ28" s="68">
        <v>5</v>
      </c>
      <c r="BK28" s="28">
        <v>1910.4</v>
      </c>
      <c r="BL28" s="68">
        <v>5</v>
      </c>
      <c r="BM28" s="69">
        <v>1943.8</v>
      </c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</row>
    <row r="29" spans="1:95" x14ac:dyDescent="0.25">
      <c r="D29" s="66"/>
      <c r="F29" s="27"/>
      <c r="H29" s="27"/>
      <c r="J29" s="27"/>
      <c r="L29" s="27"/>
      <c r="N29" s="27"/>
      <c r="P29" s="27"/>
      <c r="R29" s="27"/>
      <c r="T29" s="27"/>
      <c r="V29" s="27"/>
      <c r="X29" s="27"/>
      <c r="Z29" s="27"/>
      <c r="AB29" s="27"/>
      <c r="AD29" s="27"/>
      <c r="AF29" s="27"/>
      <c r="AH29" s="27"/>
      <c r="AJ29" s="27"/>
      <c r="AL29" s="27"/>
      <c r="AN29" s="27"/>
      <c r="AP29" s="27"/>
      <c r="AR29" s="27"/>
      <c r="AT29" s="27"/>
      <c r="AV29" s="27"/>
      <c r="AX29" s="27"/>
      <c r="AZ29" s="27"/>
      <c r="BB29" s="27"/>
      <c r="BD29" s="27"/>
      <c r="BF29" s="27"/>
      <c r="BH29" s="27"/>
      <c r="BJ29" s="27"/>
      <c r="BL29" s="27"/>
      <c r="BM29" s="65"/>
      <c r="CB29" s="17"/>
      <c r="CC29" s="17"/>
      <c r="CD29" s="17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</row>
    <row r="30" spans="1:95" x14ac:dyDescent="0.25">
      <c r="A30" s="16" t="s">
        <v>73</v>
      </c>
      <c r="D30" s="66"/>
      <c r="F30" s="27"/>
      <c r="H30" s="27"/>
      <c r="J30" s="27"/>
      <c r="L30" s="27"/>
      <c r="N30" s="27"/>
      <c r="P30" s="27"/>
      <c r="R30" s="27"/>
      <c r="T30" s="27"/>
      <c r="V30" s="27"/>
      <c r="X30" s="27"/>
      <c r="Z30" s="27"/>
      <c r="AB30" s="27"/>
      <c r="AD30" s="27"/>
      <c r="AF30" s="27"/>
      <c r="AH30" s="27"/>
      <c r="AJ30" s="27"/>
      <c r="AL30" s="27"/>
      <c r="AN30" s="27"/>
      <c r="AP30" s="27"/>
      <c r="AR30" s="27"/>
      <c r="AT30" s="27"/>
      <c r="AV30" s="27"/>
      <c r="AX30" s="27"/>
      <c r="AZ30" s="27"/>
      <c r="BB30" s="27"/>
      <c r="BD30" s="27"/>
      <c r="BF30" s="27"/>
      <c r="BH30" s="27"/>
      <c r="BJ30" s="27"/>
      <c r="BL30" s="27"/>
      <c r="BM30" s="65"/>
      <c r="CB30" s="17"/>
      <c r="CC30" s="17"/>
      <c r="CD30" s="17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</row>
    <row r="31" spans="1:95" x14ac:dyDescent="0.25">
      <c r="B31" t="s">
        <v>34</v>
      </c>
      <c r="C31" s="25" t="s">
        <v>9</v>
      </c>
      <c r="D31" s="66">
        <v>8</v>
      </c>
      <c r="E31" s="17">
        <v>5243.2</v>
      </c>
      <c r="F31" s="27">
        <v>10</v>
      </c>
      <c r="G31" s="17">
        <v>4802.7</v>
      </c>
      <c r="H31" s="27">
        <v>5</v>
      </c>
      <c r="I31" s="17">
        <v>2208.9</v>
      </c>
      <c r="J31" s="27">
        <v>15</v>
      </c>
      <c r="K31" s="17">
        <v>11065.2</v>
      </c>
      <c r="L31" s="27">
        <v>7</v>
      </c>
      <c r="M31" s="17">
        <v>4182.3999999999996</v>
      </c>
      <c r="N31" s="27">
        <v>7</v>
      </c>
      <c r="O31" s="17">
        <v>3947</v>
      </c>
      <c r="P31" s="27">
        <v>7</v>
      </c>
      <c r="Q31" s="17">
        <v>3239.8</v>
      </c>
      <c r="R31" s="27">
        <v>14</v>
      </c>
      <c r="S31" s="17">
        <v>11871.4</v>
      </c>
      <c r="T31" s="27">
        <v>4</v>
      </c>
      <c r="U31" s="17">
        <v>2128.4</v>
      </c>
      <c r="V31" s="27">
        <v>9</v>
      </c>
      <c r="W31" s="17">
        <v>6465.5</v>
      </c>
      <c r="X31" s="27">
        <v>6</v>
      </c>
      <c r="Y31" s="17">
        <v>4144.3</v>
      </c>
      <c r="Z31" s="27">
        <v>7</v>
      </c>
      <c r="AA31" s="17">
        <v>5321.6</v>
      </c>
      <c r="AB31" s="27">
        <v>7</v>
      </c>
      <c r="AC31" s="17">
        <v>5512.4</v>
      </c>
      <c r="AD31" s="27">
        <v>5</v>
      </c>
      <c r="AE31" s="17">
        <v>2657</v>
      </c>
      <c r="AF31" s="27">
        <v>16</v>
      </c>
      <c r="AG31" s="17">
        <v>12141</v>
      </c>
      <c r="AH31" s="27">
        <v>2</v>
      </c>
      <c r="AI31" s="17">
        <v>1000</v>
      </c>
      <c r="AJ31" s="27">
        <v>13</v>
      </c>
      <c r="AK31" s="17">
        <v>7587.5</v>
      </c>
      <c r="AL31" s="27">
        <v>8</v>
      </c>
      <c r="AM31" s="17">
        <v>4577</v>
      </c>
      <c r="AN31" s="27">
        <v>14</v>
      </c>
      <c r="AO31" s="17">
        <v>9202.7000000000007</v>
      </c>
      <c r="AP31" s="27">
        <v>0</v>
      </c>
      <c r="AQ31" s="17">
        <v>0</v>
      </c>
      <c r="AR31" s="27">
        <v>5</v>
      </c>
      <c r="AS31" s="17">
        <v>3100</v>
      </c>
      <c r="AT31" s="27">
        <v>3</v>
      </c>
      <c r="AU31" s="17">
        <v>2218.4</v>
      </c>
      <c r="AV31" s="27">
        <v>8</v>
      </c>
      <c r="AW31" s="17">
        <v>4477.8999999999996</v>
      </c>
      <c r="AX31" s="27">
        <v>6</v>
      </c>
      <c r="AY31" s="17">
        <v>3004.9</v>
      </c>
      <c r="AZ31" s="27">
        <v>11</v>
      </c>
      <c r="BA31" s="17">
        <v>6871.8</v>
      </c>
      <c r="BB31" s="27">
        <v>8</v>
      </c>
      <c r="BC31" s="17">
        <v>4481.3</v>
      </c>
      <c r="BD31" s="27">
        <v>5</v>
      </c>
      <c r="BE31" s="17">
        <v>2342.4</v>
      </c>
      <c r="BF31" s="27">
        <v>4</v>
      </c>
      <c r="BG31" s="17">
        <v>2661.2</v>
      </c>
      <c r="BH31" s="27">
        <v>8</v>
      </c>
      <c r="BI31" s="17">
        <v>5947.1</v>
      </c>
      <c r="BJ31" s="27">
        <v>4</v>
      </c>
      <c r="BK31" s="17">
        <v>1588.9</v>
      </c>
      <c r="BL31" s="27">
        <v>13</v>
      </c>
      <c r="BM31" s="65">
        <v>7072.8</v>
      </c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</row>
    <row r="32" spans="1:95" x14ac:dyDescent="0.25">
      <c r="B32" t="s">
        <v>74</v>
      </c>
      <c r="C32" s="25" t="s">
        <v>9</v>
      </c>
      <c r="D32" s="66">
        <v>0</v>
      </c>
      <c r="E32" s="17">
        <v>0</v>
      </c>
      <c r="F32" s="27">
        <v>0</v>
      </c>
      <c r="G32" s="17">
        <v>0</v>
      </c>
      <c r="H32" s="27">
        <v>0</v>
      </c>
      <c r="I32" s="17">
        <v>0</v>
      </c>
      <c r="J32" s="27">
        <v>0</v>
      </c>
      <c r="K32" s="17">
        <v>0</v>
      </c>
      <c r="L32" s="27">
        <v>1</v>
      </c>
      <c r="M32" s="17">
        <v>400</v>
      </c>
      <c r="N32" s="27">
        <v>0</v>
      </c>
      <c r="O32" s="17">
        <v>0</v>
      </c>
      <c r="P32" s="27">
        <v>0</v>
      </c>
      <c r="Q32" s="17">
        <v>0</v>
      </c>
      <c r="R32" s="27">
        <v>1</v>
      </c>
      <c r="S32" s="17">
        <v>1247.4000000000001</v>
      </c>
      <c r="T32" s="27">
        <v>0</v>
      </c>
      <c r="U32" s="17">
        <v>0</v>
      </c>
      <c r="V32" s="27">
        <v>0</v>
      </c>
      <c r="W32" s="17">
        <v>0</v>
      </c>
      <c r="X32" s="27">
        <v>0</v>
      </c>
      <c r="Y32" s="17">
        <v>0</v>
      </c>
      <c r="Z32" s="27">
        <v>0</v>
      </c>
      <c r="AA32" s="17">
        <v>0</v>
      </c>
      <c r="AB32" s="27">
        <v>0</v>
      </c>
      <c r="AC32" s="17">
        <v>0</v>
      </c>
      <c r="AD32" s="27">
        <v>0</v>
      </c>
      <c r="AE32" s="17">
        <v>0</v>
      </c>
      <c r="AF32" s="27">
        <v>1</v>
      </c>
      <c r="AG32" s="17">
        <v>400</v>
      </c>
      <c r="AH32" s="27">
        <v>0</v>
      </c>
      <c r="AI32" s="17">
        <v>0</v>
      </c>
      <c r="AJ32" s="27">
        <v>1</v>
      </c>
      <c r="AK32" s="17">
        <v>1089.5</v>
      </c>
      <c r="AL32" s="27">
        <v>0</v>
      </c>
      <c r="AM32" s="17">
        <v>0</v>
      </c>
      <c r="AN32" s="27">
        <v>0</v>
      </c>
      <c r="AO32" s="17">
        <v>0</v>
      </c>
      <c r="AP32" s="27">
        <v>0</v>
      </c>
      <c r="AQ32" s="17">
        <v>0</v>
      </c>
      <c r="AR32" s="27">
        <v>0</v>
      </c>
      <c r="AS32" s="17">
        <v>0</v>
      </c>
      <c r="AT32" s="27">
        <v>0</v>
      </c>
      <c r="AU32" s="17">
        <v>0</v>
      </c>
      <c r="AV32" s="27">
        <v>0</v>
      </c>
      <c r="AW32" s="17">
        <v>0</v>
      </c>
      <c r="AX32" s="27">
        <v>0</v>
      </c>
      <c r="AY32" s="17">
        <v>0</v>
      </c>
      <c r="AZ32" s="27">
        <v>0</v>
      </c>
      <c r="BA32" s="17">
        <v>0</v>
      </c>
      <c r="BB32" s="27">
        <v>0</v>
      </c>
      <c r="BC32" s="17">
        <v>0</v>
      </c>
      <c r="BD32" s="27">
        <v>0</v>
      </c>
      <c r="BE32" s="17">
        <v>0</v>
      </c>
      <c r="BF32" s="27">
        <v>0</v>
      </c>
      <c r="BG32" s="17">
        <v>0</v>
      </c>
      <c r="BH32" s="27">
        <v>1</v>
      </c>
      <c r="BI32" s="17">
        <v>1358.8</v>
      </c>
      <c r="BJ32" s="27">
        <v>0</v>
      </c>
      <c r="BK32" s="17">
        <v>0</v>
      </c>
      <c r="BL32" s="27">
        <v>0</v>
      </c>
      <c r="BM32" s="65">
        <v>0</v>
      </c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</row>
    <row r="33" spans="1:95" x14ac:dyDescent="0.25">
      <c r="B33" t="s">
        <v>75</v>
      </c>
      <c r="C33" s="25" t="s">
        <v>29</v>
      </c>
      <c r="D33" s="66">
        <v>0</v>
      </c>
      <c r="E33" s="17">
        <v>0</v>
      </c>
      <c r="F33" s="27">
        <v>0</v>
      </c>
      <c r="G33" s="17">
        <v>0</v>
      </c>
      <c r="H33" s="27">
        <v>0</v>
      </c>
      <c r="I33" s="17">
        <v>0</v>
      </c>
      <c r="J33" s="27">
        <v>0</v>
      </c>
      <c r="K33" s="17">
        <v>0</v>
      </c>
      <c r="L33" s="27">
        <v>0</v>
      </c>
      <c r="M33" s="17">
        <v>0</v>
      </c>
      <c r="N33" s="27">
        <v>0</v>
      </c>
      <c r="O33" s="17">
        <v>0</v>
      </c>
      <c r="P33" s="27">
        <v>0</v>
      </c>
      <c r="Q33" s="17">
        <v>0</v>
      </c>
      <c r="R33" s="27">
        <v>0</v>
      </c>
      <c r="S33" s="17">
        <v>0</v>
      </c>
      <c r="T33" s="27">
        <v>0</v>
      </c>
      <c r="U33" s="17">
        <v>0</v>
      </c>
      <c r="V33" s="27">
        <v>0</v>
      </c>
      <c r="W33" s="17">
        <v>0</v>
      </c>
      <c r="X33" s="27">
        <v>0</v>
      </c>
      <c r="Y33" s="17">
        <v>0</v>
      </c>
      <c r="Z33" s="27">
        <v>0</v>
      </c>
      <c r="AA33" s="17">
        <v>0</v>
      </c>
      <c r="AB33" s="27">
        <v>0</v>
      </c>
      <c r="AC33" s="17">
        <v>0</v>
      </c>
      <c r="AD33" s="27">
        <v>0</v>
      </c>
      <c r="AE33" s="17">
        <v>0</v>
      </c>
      <c r="AF33" s="27">
        <v>0</v>
      </c>
      <c r="AG33" s="17">
        <v>0</v>
      </c>
      <c r="AH33" s="27">
        <v>0</v>
      </c>
      <c r="AI33" s="17">
        <v>0</v>
      </c>
      <c r="AJ33" s="27">
        <v>0</v>
      </c>
      <c r="AK33" s="17">
        <v>0</v>
      </c>
      <c r="AL33" s="27">
        <v>0</v>
      </c>
      <c r="AM33" s="17">
        <v>0</v>
      </c>
      <c r="AN33" s="27">
        <v>0</v>
      </c>
      <c r="AO33" s="17">
        <v>0</v>
      </c>
      <c r="AP33" s="27">
        <v>0</v>
      </c>
      <c r="AQ33" s="17">
        <v>0</v>
      </c>
      <c r="AR33" s="27">
        <v>0</v>
      </c>
      <c r="AS33" s="17">
        <v>0</v>
      </c>
      <c r="AT33" s="27">
        <v>0</v>
      </c>
      <c r="AU33" s="17">
        <v>0</v>
      </c>
      <c r="AV33" s="27">
        <v>0</v>
      </c>
      <c r="AW33" s="17">
        <v>0</v>
      </c>
      <c r="AX33" s="27">
        <v>0</v>
      </c>
      <c r="AY33" s="17">
        <v>0</v>
      </c>
      <c r="AZ33" s="27">
        <v>0</v>
      </c>
      <c r="BA33" s="17">
        <v>0</v>
      </c>
      <c r="BB33" s="27">
        <v>0</v>
      </c>
      <c r="BC33" s="17">
        <v>0</v>
      </c>
      <c r="BD33" s="27">
        <v>0</v>
      </c>
      <c r="BE33" s="17">
        <v>0</v>
      </c>
      <c r="BF33" s="27">
        <v>0</v>
      </c>
      <c r="BG33" s="17">
        <v>0</v>
      </c>
      <c r="BH33" s="27">
        <v>0</v>
      </c>
      <c r="BI33" s="17">
        <v>0</v>
      </c>
      <c r="BJ33" s="27">
        <v>0</v>
      </c>
      <c r="BK33" s="17">
        <v>0</v>
      </c>
      <c r="BL33" s="27">
        <v>0</v>
      </c>
      <c r="BM33" s="65">
        <v>0</v>
      </c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</row>
    <row r="34" spans="1:95" x14ac:dyDescent="0.25">
      <c r="A34" s="16" t="s">
        <v>76</v>
      </c>
      <c r="D34" s="67">
        <v>8</v>
      </c>
      <c r="E34" s="28">
        <v>5243.2</v>
      </c>
      <c r="F34" s="68">
        <v>10</v>
      </c>
      <c r="G34" s="28">
        <v>4802.7</v>
      </c>
      <c r="H34" s="68">
        <v>5</v>
      </c>
      <c r="I34" s="28">
        <v>2208.9</v>
      </c>
      <c r="J34" s="68">
        <v>15</v>
      </c>
      <c r="K34" s="28">
        <v>11065.2</v>
      </c>
      <c r="L34" s="68">
        <v>8</v>
      </c>
      <c r="M34" s="28">
        <v>4582.3999999999996</v>
      </c>
      <c r="N34" s="68">
        <v>7</v>
      </c>
      <c r="O34" s="28">
        <v>3947</v>
      </c>
      <c r="P34" s="68">
        <v>7</v>
      </c>
      <c r="Q34" s="28">
        <v>3239.8</v>
      </c>
      <c r="R34" s="68">
        <v>15</v>
      </c>
      <c r="S34" s="28">
        <v>13118.8</v>
      </c>
      <c r="T34" s="68">
        <v>4</v>
      </c>
      <c r="U34" s="28">
        <v>2128.4</v>
      </c>
      <c r="V34" s="68">
        <v>9</v>
      </c>
      <c r="W34" s="28">
        <v>6465.5</v>
      </c>
      <c r="X34" s="68">
        <v>6</v>
      </c>
      <c r="Y34" s="28">
        <v>4144.3</v>
      </c>
      <c r="Z34" s="68">
        <v>7</v>
      </c>
      <c r="AA34" s="28">
        <v>5321.6</v>
      </c>
      <c r="AB34" s="68">
        <v>7</v>
      </c>
      <c r="AC34" s="28">
        <v>5512.4</v>
      </c>
      <c r="AD34" s="68">
        <v>5</v>
      </c>
      <c r="AE34" s="28">
        <v>2657</v>
      </c>
      <c r="AF34" s="68">
        <v>17</v>
      </c>
      <c r="AG34" s="28">
        <v>12541</v>
      </c>
      <c r="AH34" s="68">
        <v>2</v>
      </c>
      <c r="AI34" s="28">
        <v>1000</v>
      </c>
      <c r="AJ34" s="68">
        <v>14</v>
      </c>
      <c r="AK34" s="28">
        <v>8677</v>
      </c>
      <c r="AL34" s="68">
        <v>8</v>
      </c>
      <c r="AM34" s="28">
        <v>4577</v>
      </c>
      <c r="AN34" s="68">
        <v>14</v>
      </c>
      <c r="AO34" s="28">
        <v>9202.7000000000007</v>
      </c>
      <c r="AP34" s="68">
        <v>0</v>
      </c>
      <c r="AQ34" s="28">
        <v>0</v>
      </c>
      <c r="AR34" s="68">
        <v>5</v>
      </c>
      <c r="AS34" s="28">
        <v>3100</v>
      </c>
      <c r="AT34" s="68">
        <v>3</v>
      </c>
      <c r="AU34" s="28">
        <v>2218.4</v>
      </c>
      <c r="AV34" s="68">
        <v>8</v>
      </c>
      <c r="AW34" s="28">
        <v>4477.8999999999996</v>
      </c>
      <c r="AX34" s="68">
        <v>6</v>
      </c>
      <c r="AY34" s="28">
        <v>3004.9</v>
      </c>
      <c r="AZ34" s="68">
        <v>11</v>
      </c>
      <c r="BA34" s="28">
        <v>6871.8</v>
      </c>
      <c r="BB34" s="68">
        <v>8</v>
      </c>
      <c r="BC34" s="28">
        <v>4481.3</v>
      </c>
      <c r="BD34" s="68">
        <v>5</v>
      </c>
      <c r="BE34" s="28">
        <v>2342.4</v>
      </c>
      <c r="BF34" s="68">
        <v>4</v>
      </c>
      <c r="BG34" s="28">
        <v>2661.2</v>
      </c>
      <c r="BH34" s="68">
        <v>9</v>
      </c>
      <c r="BI34" s="28">
        <v>7305.9000000000005</v>
      </c>
      <c r="BJ34" s="68">
        <v>4</v>
      </c>
      <c r="BK34" s="28">
        <v>1588.9</v>
      </c>
      <c r="BL34" s="68">
        <v>13</v>
      </c>
      <c r="BM34" s="69">
        <v>7072.8</v>
      </c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</row>
    <row r="35" spans="1:95" x14ac:dyDescent="0.25">
      <c r="D35" s="66"/>
      <c r="F35" s="27"/>
      <c r="H35" s="27"/>
      <c r="J35" s="27"/>
      <c r="L35" s="27"/>
      <c r="N35" s="27"/>
      <c r="P35" s="27"/>
      <c r="R35" s="27"/>
      <c r="T35" s="27"/>
      <c r="V35" s="27"/>
      <c r="X35" s="27"/>
      <c r="Z35" s="27"/>
      <c r="AB35" s="27"/>
      <c r="AD35" s="27"/>
      <c r="AF35" s="27"/>
      <c r="AH35" s="27"/>
      <c r="AJ35" s="27"/>
      <c r="AN35" s="27"/>
      <c r="AP35" s="27"/>
      <c r="AR35" s="27"/>
      <c r="AT35" s="27"/>
      <c r="AV35" s="27"/>
      <c r="AX35" s="27"/>
      <c r="AZ35" s="27"/>
      <c r="BB35" s="27"/>
      <c r="BD35" s="27"/>
      <c r="BF35" s="27"/>
      <c r="BH35" s="27"/>
      <c r="BJ35" s="27"/>
      <c r="BL35" s="27"/>
      <c r="BM35" s="65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</row>
    <row r="36" spans="1:95" x14ac:dyDescent="0.25">
      <c r="A36" s="16" t="s">
        <v>77</v>
      </c>
      <c r="C36" s="25" t="s">
        <v>9</v>
      </c>
      <c r="D36" s="66">
        <v>1</v>
      </c>
      <c r="E36" s="17">
        <v>360.4</v>
      </c>
      <c r="F36" s="27">
        <v>0</v>
      </c>
      <c r="G36" s="17">
        <v>0</v>
      </c>
      <c r="H36" s="27">
        <v>0</v>
      </c>
      <c r="I36" s="17">
        <v>0</v>
      </c>
      <c r="J36" s="27">
        <v>0</v>
      </c>
      <c r="K36" s="17">
        <v>0</v>
      </c>
      <c r="L36" s="27">
        <v>0</v>
      </c>
      <c r="M36" s="17">
        <v>0</v>
      </c>
      <c r="N36" s="27">
        <v>1</v>
      </c>
      <c r="O36" s="17">
        <v>699.4</v>
      </c>
      <c r="P36" s="27">
        <v>1</v>
      </c>
      <c r="Q36" s="17">
        <v>1000</v>
      </c>
      <c r="R36" s="27">
        <v>0</v>
      </c>
      <c r="S36" s="17">
        <v>0</v>
      </c>
      <c r="T36" s="27">
        <v>1</v>
      </c>
      <c r="U36" s="17">
        <v>359.7</v>
      </c>
      <c r="V36" s="27">
        <v>1</v>
      </c>
      <c r="W36" s="17">
        <v>1300</v>
      </c>
      <c r="X36" s="27">
        <v>2</v>
      </c>
      <c r="Y36" s="17">
        <v>1289.5</v>
      </c>
      <c r="Z36" s="27">
        <v>0</v>
      </c>
      <c r="AA36" s="17">
        <v>0</v>
      </c>
      <c r="AB36" s="27">
        <v>0</v>
      </c>
      <c r="AC36" s="17">
        <v>0</v>
      </c>
      <c r="AD36" s="27">
        <v>1</v>
      </c>
      <c r="AE36" s="17">
        <v>1000</v>
      </c>
      <c r="AF36" s="27">
        <v>1</v>
      </c>
      <c r="AG36" s="17">
        <v>750</v>
      </c>
      <c r="AH36" s="27">
        <v>0</v>
      </c>
      <c r="AI36" s="17">
        <v>0</v>
      </c>
      <c r="AJ36" s="27">
        <v>1</v>
      </c>
      <c r="AK36" s="17">
        <v>569.70000000000005</v>
      </c>
      <c r="AL36" s="17">
        <v>0</v>
      </c>
      <c r="AM36" s="17">
        <v>0</v>
      </c>
      <c r="AN36" s="27">
        <v>0</v>
      </c>
      <c r="AO36" s="17">
        <v>0</v>
      </c>
      <c r="AP36" s="27">
        <v>0</v>
      </c>
      <c r="AQ36" s="17">
        <v>0</v>
      </c>
      <c r="AR36" s="27">
        <v>0</v>
      </c>
      <c r="AS36" s="17">
        <v>0</v>
      </c>
      <c r="AT36" s="27">
        <v>0</v>
      </c>
      <c r="AU36" s="17">
        <v>0</v>
      </c>
      <c r="AV36" s="27">
        <v>1</v>
      </c>
      <c r="AW36" s="17">
        <v>695.9</v>
      </c>
      <c r="AX36" s="27">
        <v>0</v>
      </c>
      <c r="AY36" s="17">
        <v>0</v>
      </c>
      <c r="AZ36" s="27">
        <v>0</v>
      </c>
      <c r="BA36" s="17">
        <v>0</v>
      </c>
      <c r="BB36" s="27">
        <v>0</v>
      </c>
      <c r="BC36" s="17">
        <v>0</v>
      </c>
      <c r="BD36" s="27">
        <v>1</v>
      </c>
      <c r="BE36" s="17">
        <v>543.20000000000005</v>
      </c>
      <c r="BF36" s="27">
        <v>1</v>
      </c>
      <c r="BG36" s="17">
        <v>800</v>
      </c>
      <c r="BH36" s="27">
        <v>0</v>
      </c>
      <c r="BI36" s="17">
        <v>0</v>
      </c>
      <c r="BJ36" s="27">
        <v>0</v>
      </c>
      <c r="BK36" s="17">
        <v>0</v>
      </c>
      <c r="BL36" s="27">
        <v>2</v>
      </c>
      <c r="BM36" s="65">
        <v>1286.5</v>
      </c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</row>
    <row r="37" spans="1:95" x14ac:dyDescent="0.25">
      <c r="A37" s="16" t="s">
        <v>38</v>
      </c>
      <c r="C37" s="25" t="s">
        <v>9</v>
      </c>
      <c r="D37" s="66">
        <v>6</v>
      </c>
      <c r="E37" s="17">
        <v>1122.5</v>
      </c>
      <c r="F37" s="27">
        <v>16</v>
      </c>
      <c r="G37" s="17">
        <v>2106.5</v>
      </c>
      <c r="H37" s="27">
        <v>14</v>
      </c>
      <c r="I37" s="17">
        <v>1849.7</v>
      </c>
      <c r="J37" s="27">
        <v>16</v>
      </c>
      <c r="K37" s="17">
        <v>2340.3000000000002</v>
      </c>
      <c r="L37" s="27">
        <v>18</v>
      </c>
      <c r="M37" s="17">
        <v>2808.2</v>
      </c>
      <c r="N37" s="27">
        <v>17</v>
      </c>
      <c r="O37" s="17">
        <v>3588.3</v>
      </c>
      <c r="P37" s="27">
        <v>20</v>
      </c>
      <c r="Q37" s="17">
        <v>2986.4</v>
      </c>
      <c r="R37" s="27">
        <v>15</v>
      </c>
      <c r="S37" s="17">
        <v>1266.5</v>
      </c>
      <c r="T37" s="27">
        <v>15</v>
      </c>
      <c r="U37" s="17">
        <v>2749.8</v>
      </c>
      <c r="V37" s="27">
        <v>14</v>
      </c>
      <c r="W37" s="17">
        <v>2639.5</v>
      </c>
      <c r="X37" s="27">
        <v>20</v>
      </c>
      <c r="Y37" s="17">
        <v>2412.4</v>
      </c>
      <c r="Z37" s="27">
        <v>14</v>
      </c>
      <c r="AA37" s="17">
        <v>1776.3</v>
      </c>
      <c r="AB37" s="27">
        <v>12</v>
      </c>
      <c r="AC37" s="17">
        <v>2241.4</v>
      </c>
      <c r="AD37" s="27">
        <v>21</v>
      </c>
      <c r="AE37" s="17">
        <v>2611.8000000000002</v>
      </c>
      <c r="AF37" s="27">
        <v>14</v>
      </c>
      <c r="AG37" s="17">
        <v>2499.8000000000002</v>
      </c>
      <c r="AH37" s="27">
        <v>11</v>
      </c>
      <c r="AI37" s="17">
        <v>1648.9</v>
      </c>
      <c r="AJ37" s="27">
        <v>18</v>
      </c>
      <c r="AK37" s="17">
        <v>2049.1</v>
      </c>
      <c r="AL37" s="17">
        <v>13</v>
      </c>
      <c r="AM37" s="17">
        <v>1219</v>
      </c>
      <c r="AN37" s="27">
        <v>7</v>
      </c>
      <c r="AO37" s="17">
        <v>617.79999999999995</v>
      </c>
      <c r="AP37" s="27">
        <v>7</v>
      </c>
      <c r="AQ37" s="17">
        <v>701.3</v>
      </c>
      <c r="AR37" s="27">
        <v>20</v>
      </c>
      <c r="AS37" s="17">
        <v>3291.7</v>
      </c>
      <c r="AT37" s="27">
        <v>18</v>
      </c>
      <c r="AU37" s="17">
        <v>3822.8</v>
      </c>
      <c r="AV37" s="27">
        <v>11</v>
      </c>
      <c r="AW37" s="17">
        <v>981.1</v>
      </c>
      <c r="AX37" s="27">
        <v>18</v>
      </c>
      <c r="AY37" s="17">
        <v>2585.1999999999998</v>
      </c>
      <c r="AZ37" s="27">
        <v>13</v>
      </c>
      <c r="BA37" s="17">
        <v>1666.2</v>
      </c>
      <c r="BB37" s="27">
        <v>19</v>
      </c>
      <c r="BC37" s="17">
        <v>1977.2</v>
      </c>
      <c r="BD37" s="27">
        <v>12</v>
      </c>
      <c r="BE37" s="17">
        <v>749.5</v>
      </c>
      <c r="BF37" s="27">
        <v>29</v>
      </c>
      <c r="BG37" s="17">
        <v>3157.9</v>
      </c>
      <c r="BH37" s="27">
        <v>13</v>
      </c>
      <c r="BI37" s="17">
        <v>1792.4</v>
      </c>
      <c r="BJ37" s="27">
        <v>21</v>
      </c>
      <c r="BK37" s="17">
        <v>3226.6</v>
      </c>
      <c r="BL37" s="27">
        <v>20</v>
      </c>
      <c r="BM37" s="65">
        <v>3130.4</v>
      </c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</row>
    <row r="38" spans="1:95" x14ac:dyDescent="0.25">
      <c r="A38" s="16" t="s">
        <v>78</v>
      </c>
      <c r="C38" s="25" t="s">
        <v>9</v>
      </c>
      <c r="D38" s="66">
        <v>1</v>
      </c>
      <c r="E38" s="17">
        <v>940.4</v>
      </c>
      <c r="F38" s="27">
        <v>2</v>
      </c>
      <c r="G38" s="17">
        <v>508</v>
      </c>
      <c r="H38" s="27">
        <v>0</v>
      </c>
      <c r="I38" s="17">
        <v>0</v>
      </c>
      <c r="J38" s="27">
        <v>0</v>
      </c>
      <c r="K38" s="17">
        <v>0</v>
      </c>
      <c r="L38" s="27">
        <v>2</v>
      </c>
      <c r="M38" s="17">
        <v>1000</v>
      </c>
      <c r="N38" s="27">
        <v>0</v>
      </c>
      <c r="O38" s="17">
        <v>0</v>
      </c>
      <c r="P38" s="27">
        <v>1</v>
      </c>
      <c r="Q38" s="17">
        <v>13</v>
      </c>
      <c r="R38" s="27">
        <v>1</v>
      </c>
      <c r="S38" s="17">
        <v>58</v>
      </c>
      <c r="T38" s="27">
        <v>0</v>
      </c>
      <c r="U38" s="17">
        <v>0</v>
      </c>
      <c r="V38" s="27">
        <v>1</v>
      </c>
      <c r="W38" s="17">
        <v>105</v>
      </c>
      <c r="X38" s="27">
        <v>2</v>
      </c>
      <c r="Y38" s="17">
        <v>193</v>
      </c>
      <c r="Z38" s="27">
        <v>3</v>
      </c>
      <c r="AA38" s="17">
        <v>813.3</v>
      </c>
      <c r="AB38" s="27">
        <v>1</v>
      </c>
      <c r="AC38" s="17">
        <v>43</v>
      </c>
      <c r="AD38" s="27">
        <v>2</v>
      </c>
      <c r="AE38" s="17">
        <v>1032.0999999999999</v>
      </c>
      <c r="AF38" s="27">
        <v>4</v>
      </c>
      <c r="AG38" s="17">
        <v>542</v>
      </c>
      <c r="AH38" s="27">
        <v>0</v>
      </c>
      <c r="AI38" s="17">
        <v>0</v>
      </c>
      <c r="AJ38" s="27">
        <v>0</v>
      </c>
      <c r="AK38" s="17">
        <v>0</v>
      </c>
      <c r="AL38" s="17">
        <v>2</v>
      </c>
      <c r="AM38" s="17">
        <v>1577.2</v>
      </c>
      <c r="AN38" s="27">
        <v>2</v>
      </c>
      <c r="AO38" s="17">
        <v>15</v>
      </c>
      <c r="AP38" s="27">
        <v>0</v>
      </c>
      <c r="AQ38" s="17">
        <v>0</v>
      </c>
      <c r="AR38" s="27">
        <v>1</v>
      </c>
      <c r="AS38" s="17">
        <v>13</v>
      </c>
      <c r="AT38" s="27">
        <v>1</v>
      </c>
      <c r="AU38" s="17">
        <v>310</v>
      </c>
      <c r="AV38" s="27">
        <v>2</v>
      </c>
      <c r="AW38" s="17">
        <v>176.2</v>
      </c>
      <c r="AX38" s="27">
        <v>0</v>
      </c>
      <c r="AY38" s="17">
        <v>0</v>
      </c>
      <c r="AZ38" s="27">
        <v>2</v>
      </c>
      <c r="BA38" s="17">
        <v>587.70000000000005</v>
      </c>
      <c r="BB38" s="27">
        <v>0</v>
      </c>
      <c r="BC38" s="17">
        <v>0</v>
      </c>
      <c r="BD38" s="27">
        <v>1</v>
      </c>
      <c r="BE38" s="17">
        <v>149.6</v>
      </c>
      <c r="BF38" s="27">
        <v>1</v>
      </c>
      <c r="BG38" s="17">
        <v>40</v>
      </c>
      <c r="BH38" s="27">
        <v>0</v>
      </c>
      <c r="BI38" s="17">
        <v>0</v>
      </c>
      <c r="BJ38" s="27">
        <v>2</v>
      </c>
      <c r="BK38" s="17">
        <v>131.30000000000001</v>
      </c>
      <c r="BL38" s="27">
        <v>4</v>
      </c>
      <c r="BM38" s="65">
        <v>440</v>
      </c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</row>
    <row r="39" spans="1:95" x14ac:dyDescent="0.25">
      <c r="A39" s="16" t="s">
        <v>79</v>
      </c>
      <c r="C39" s="25" t="s">
        <v>9</v>
      </c>
      <c r="D39" s="66">
        <v>0</v>
      </c>
      <c r="E39" s="17">
        <v>0</v>
      </c>
      <c r="F39" s="27">
        <v>0</v>
      </c>
      <c r="G39" s="17">
        <v>0</v>
      </c>
      <c r="H39" s="27">
        <v>0</v>
      </c>
      <c r="I39" s="17">
        <v>0</v>
      </c>
      <c r="J39" s="27">
        <v>0</v>
      </c>
      <c r="K39" s="17">
        <v>0</v>
      </c>
      <c r="L39" s="27">
        <v>0</v>
      </c>
      <c r="M39" s="17">
        <v>0</v>
      </c>
      <c r="N39" s="27">
        <v>0</v>
      </c>
      <c r="O39" s="17">
        <v>0</v>
      </c>
      <c r="P39" s="27">
        <v>0</v>
      </c>
      <c r="Q39" s="17">
        <v>0</v>
      </c>
      <c r="R39" s="27">
        <v>0</v>
      </c>
      <c r="S39" s="17">
        <v>0</v>
      </c>
      <c r="T39" s="27">
        <v>0</v>
      </c>
      <c r="U39" s="17">
        <v>0</v>
      </c>
      <c r="V39" s="27">
        <v>0</v>
      </c>
      <c r="W39" s="17">
        <v>0</v>
      </c>
      <c r="X39" s="27">
        <v>0</v>
      </c>
      <c r="Y39" s="17">
        <v>0</v>
      </c>
      <c r="Z39" s="27">
        <v>0</v>
      </c>
      <c r="AA39" s="17">
        <v>0</v>
      </c>
      <c r="AB39" s="27">
        <v>0</v>
      </c>
      <c r="AC39" s="17">
        <v>0</v>
      </c>
      <c r="AD39" s="27">
        <v>0</v>
      </c>
      <c r="AE39" s="17">
        <v>0</v>
      </c>
      <c r="AF39" s="27">
        <v>0</v>
      </c>
      <c r="AG39" s="17">
        <v>0</v>
      </c>
      <c r="AH39" s="27">
        <v>0</v>
      </c>
      <c r="AI39" s="17">
        <v>0</v>
      </c>
      <c r="AJ39" s="27">
        <v>0</v>
      </c>
      <c r="AK39" s="17">
        <v>0</v>
      </c>
      <c r="AL39" s="17">
        <v>0</v>
      </c>
      <c r="AM39" s="17">
        <v>0</v>
      </c>
      <c r="AN39" s="27">
        <v>0</v>
      </c>
      <c r="AO39" s="17">
        <v>0</v>
      </c>
      <c r="AP39" s="27">
        <v>0</v>
      </c>
      <c r="AQ39" s="17">
        <v>0</v>
      </c>
      <c r="AR39" s="27">
        <v>0</v>
      </c>
      <c r="AS39" s="17">
        <v>0</v>
      </c>
      <c r="AT39" s="27">
        <v>0</v>
      </c>
      <c r="AU39" s="17">
        <v>0</v>
      </c>
      <c r="AV39" s="27">
        <v>0</v>
      </c>
      <c r="AW39" s="17">
        <v>0</v>
      </c>
      <c r="AX39" s="27">
        <v>0</v>
      </c>
      <c r="AY39" s="17">
        <v>0</v>
      </c>
      <c r="AZ39" s="27">
        <v>0</v>
      </c>
      <c r="BA39" s="17">
        <v>0</v>
      </c>
      <c r="BB39" s="27">
        <v>0</v>
      </c>
      <c r="BC39" s="17">
        <v>0</v>
      </c>
      <c r="BD39" s="27">
        <v>0</v>
      </c>
      <c r="BE39" s="17">
        <v>0</v>
      </c>
      <c r="BF39" s="27">
        <v>0</v>
      </c>
      <c r="BG39" s="17">
        <v>0</v>
      </c>
      <c r="BH39" s="27">
        <v>0</v>
      </c>
      <c r="BI39" s="17">
        <v>0</v>
      </c>
      <c r="BJ39" s="27">
        <v>0</v>
      </c>
      <c r="BK39" s="17">
        <v>0</v>
      </c>
      <c r="BL39" s="27">
        <v>0</v>
      </c>
      <c r="BM39" s="65">
        <v>0</v>
      </c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</row>
    <row r="40" spans="1:95" x14ac:dyDescent="0.25">
      <c r="A40" s="16" t="s">
        <v>44</v>
      </c>
      <c r="C40" s="25" t="s">
        <v>9</v>
      </c>
      <c r="D40" s="66">
        <v>4</v>
      </c>
      <c r="E40" s="17">
        <v>2753.7</v>
      </c>
      <c r="F40" s="27">
        <v>1</v>
      </c>
      <c r="G40" s="17">
        <v>300</v>
      </c>
      <c r="H40" s="27">
        <v>1</v>
      </c>
      <c r="I40" s="17">
        <v>200</v>
      </c>
      <c r="J40" s="27">
        <v>5</v>
      </c>
      <c r="K40" s="17">
        <v>2056.9</v>
      </c>
      <c r="L40" s="27">
        <v>2</v>
      </c>
      <c r="M40" s="17">
        <v>596.70000000000005</v>
      </c>
      <c r="N40" s="27">
        <v>1</v>
      </c>
      <c r="O40" s="17">
        <v>500</v>
      </c>
      <c r="P40" s="27">
        <v>1</v>
      </c>
      <c r="Q40" s="17">
        <v>500</v>
      </c>
      <c r="R40" s="27">
        <v>2</v>
      </c>
      <c r="S40" s="17">
        <v>292.2</v>
      </c>
      <c r="T40" s="27">
        <v>4</v>
      </c>
      <c r="U40" s="17">
        <v>5285.8</v>
      </c>
      <c r="V40" s="27">
        <v>2</v>
      </c>
      <c r="W40" s="17">
        <v>1700</v>
      </c>
      <c r="X40" s="27">
        <v>3</v>
      </c>
      <c r="Y40" s="17">
        <v>890.9</v>
      </c>
      <c r="Z40" s="27">
        <v>1</v>
      </c>
      <c r="AA40" s="17">
        <v>465.5</v>
      </c>
      <c r="AB40" s="27">
        <v>1</v>
      </c>
      <c r="AC40" s="17">
        <v>200</v>
      </c>
      <c r="AD40" s="27">
        <v>4</v>
      </c>
      <c r="AE40" s="17">
        <v>1790.7</v>
      </c>
      <c r="AF40" s="27">
        <v>3</v>
      </c>
      <c r="AG40" s="17">
        <v>796.5</v>
      </c>
      <c r="AH40" s="27">
        <v>1</v>
      </c>
      <c r="AI40" s="17">
        <v>500</v>
      </c>
      <c r="AJ40" s="27">
        <v>4</v>
      </c>
      <c r="AK40" s="17">
        <v>1350.5</v>
      </c>
      <c r="AL40" s="17">
        <v>4</v>
      </c>
      <c r="AM40" s="17">
        <v>887.8</v>
      </c>
      <c r="AN40" s="27">
        <v>4</v>
      </c>
      <c r="AO40" s="17">
        <v>1728</v>
      </c>
      <c r="AP40" s="27">
        <v>0</v>
      </c>
      <c r="AQ40" s="17">
        <v>0</v>
      </c>
      <c r="AR40" s="27">
        <v>0</v>
      </c>
      <c r="AS40" s="17">
        <v>0</v>
      </c>
      <c r="AT40" s="27">
        <v>0</v>
      </c>
      <c r="AU40" s="17">
        <v>0</v>
      </c>
      <c r="AV40" s="27">
        <v>3</v>
      </c>
      <c r="AW40" s="17">
        <v>1878.7</v>
      </c>
      <c r="AX40" s="27">
        <v>1</v>
      </c>
      <c r="AY40" s="17">
        <v>500</v>
      </c>
      <c r="AZ40" s="27">
        <v>3</v>
      </c>
      <c r="BA40" s="17">
        <v>562.5</v>
      </c>
      <c r="BB40" s="27">
        <v>2</v>
      </c>
      <c r="BC40" s="17">
        <v>578.5</v>
      </c>
      <c r="BD40" s="27">
        <v>1</v>
      </c>
      <c r="BE40" s="17">
        <v>216.7</v>
      </c>
      <c r="BF40" s="27">
        <v>4</v>
      </c>
      <c r="BG40" s="17">
        <v>2372.1999999999998</v>
      </c>
      <c r="BH40" s="27">
        <v>2</v>
      </c>
      <c r="BI40" s="17">
        <v>656.2</v>
      </c>
      <c r="BJ40" s="27">
        <v>2</v>
      </c>
      <c r="BK40" s="17">
        <v>1000</v>
      </c>
      <c r="BL40" s="27">
        <v>4</v>
      </c>
      <c r="BM40" s="65">
        <v>2044.7</v>
      </c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</row>
    <row r="41" spans="1:95" x14ac:dyDescent="0.25">
      <c r="A41" s="16"/>
      <c r="D41" s="66"/>
      <c r="F41" s="27"/>
      <c r="H41" s="27"/>
      <c r="J41" s="27"/>
      <c r="L41" s="27"/>
      <c r="N41" s="27"/>
      <c r="P41" s="27"/>
      <c r="R41" s="27"/>
      <c r="T41" s="27"/>
      <c r="V41" s="27"/>
      <c r="X41" s="27"/>
      <c r="Z41" s="27"/>
      <c r="AB41" s="27"/>
      <c r="AD41" s="27"/>
      <c r="AF41" s="27"/>
      <c r="AH41" s="27"/>
      <c r="AJ41" s="27"/>
      <c r="AN41" s="27"/>
      <c r="AP41" s="27"/>
      <c r="AR41" s="27"/>
      <c r="AT41" s="27"/>
      <c r="AV41" s="27"/>
      <c r="AX41" s="27"/>
      <c r="AZ41" s="27"/>
      <c r="BB41" s="27"/>
      <c r="BD41" s="27"/>
      <c r="BF41" s="27"/>
      <c r="BH41" s="27"/>
      <c r="BJ41" s="27"/>
      <c r="BL41" s="27"/>
      <c r="BM41" s="65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</row>
    <row r="42" spans="1:95" x14ac:dyDescent="0.25">
      <c r="A42" s="16" t="s">
        <v>80</v>
      </c>
      <c r="D42" s="70">
        <v>202</v>
      </c>
      <c r="E42" s="71">
        <v>98649.500000000015</v>
      </c>
      <c r="F42" s="72">
        <v>180</v>
      </c>
      <c r="G42" s="71">
        <v>71894.999999999985</v>
      </c>
      <c r="H42" s="72">
        <v>264</v>
      </c>
      <c r="I42" s="71">
        <v>105198.3</v>
      </c>
      <c r="J42" s="72">
        <v>243</v>
      </c>
      <c r="K42" s="71">
        <v>121001.40000000001</v>
      </c>
      <c r="L42" s="72">
        <v>4</v>
      </c>
      <c r="M42" s="71">
        <v>108318.59999999999</v>
      </c>
      <c r="N42" s="72">
        <v>242</v>
      </c>
      <c r="O42" s="71">
        <v>113399.80000000002</v>
      </c>
      <c r="P42" s="72">
        <v>195</v>
      </c>
      <c r="Q42" s="71">
        <v>67705.2</v>
      </c>
      <c r="R42" s="72">
        <v>246</v>
      </c>
      <c r="S42" s="71">
        <v>116930.1</v>
      </c>
      <c r="T42" s="72">
        <v>183</v>
      </c>
      <c r="U42" s="71">
        <v>75884.399999999994</v>
      </c>
      <c r="V42" s="72">
        <v>240</v>
      </c>
      <c r="W42" s="71">
        <v>105113.59999999999</v>
      </c>
      <c r="X42" s="72">
        <v>231</v>
      </c>
      <c r="Y42" s="71">
        <v>114907.20000000001</v>
      </c>
      <c r="Z42" s="72">
        <v>260</v>
      </c>
      <c r="AA42" s="71">
        <v>118700.80000000002</v>
      </c>
      <c r="AB42" s="72">
        <v>211</v>
      </c>
      <c r="AC42" s="71">
        <v>97499.5</v>
      </c>
      <c r="AD42" s="72">
        <v>176</v>
      </c>
      <c r="AE42" s="71">
        <v>58991.799999999996</v>
      </c>
      <c r="AF42" s="72">
        <v>240</v>
      </c>
      <c r="AG42" s="71">
        <v>110502.10000000002</v>
      </c>
      <c r="AH42" s="72">
        <v>182</v>
      </c>
      <c r="AI42" s="71">
        <v>73518.899999999994</v>
      </c>
      <c r="AJ42" s="72">
        <v>296</v>
      </c>
      <c r="AK42" s="71">
        <v>125217.20000000001</v>
      </c>
      <c r="AL42" s="71">
        <v>238</v>
      </c>
      <c r="AM42" s="71">
        <v>116022.6</v>
      </c>
      <c r="AN42" s="72">
        <v>260</v>
      </c>
      <c r="AO42" s="71">
        <v>133313.20000000001</v>
      </c>
      <c r="AP42" s="72">
        <v>45</v>
      </c>
      <c r="AQ42" s="71">
        <v>18106.900000000001</v>
      </c>
      <c r="AR42" s="72">
        <v>199</v>
      </c>
      <c r="AS42" s="71">
        <v>79562.2</v>
      </c>
      <c r="AT42" s="72">
        <v>232</v>
      </c>
      <c r="AU42" s="71">
        <v>104524.90000000001</v>
      </c>
      <c r="AV42" s="72">
        <v>182</v>
      </c>
      <c r="AW42" s="71">
        <v>64272.399999999994</v>
      </c>
      <c r="AX42" s="72">
        <v>253</v>
      </c>
      <c r="AY42" s="71">
        <v>96196.200000000012</v>
      </c>
      <c r="AZ42" s="72">
        <v>215</v>
      </c>
      <c r="BA42" s="71">
        <v>100674.59999999999</v>
      </c>
      <c r="BB42" s="72">
        <v>252</v>
      </c>
      <c r="BC42" s="71">
        <v>109100.19999999998</v>
      </c>
      <c r="BD42" s="72">
        <v>225</v>
      </c>
      <c r="BE42" s="71">
        <v>97565.4</v>
      </c>
      <c r="BF42" s="72">
        <v>204</v>
      </c>
      <c r="BG42" s="71">
        <v>73592</v>
      </c>
      <c r="BH42" s="72">
        <v>219</v>
      </c>
      <c r="BI42" s="71">
        <v>104504.40000000001</v>
      </c>
      <c r="BJ42" s="72">
        <v>204</v>
      </c>
      <c r="BK42" s="71">
        <v>73378.8</v>
      </c>
      <c r="BL42" s="72">
        <v>269</v>
      </c>
      <c r="BM42" s="73">
        <v>107632.49999999999</v>
      </c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</row>
    <row r="43" spans="1:95" x14ac:dyDescent="0.25">
      <c r="D43" s="27"/>
      <c r="F43" s="27"/>
      <c r="H43" s="27"/>
      <c r="J43" s="27"/>
      <c r="L43" s="27"/>
      <c r="N43" s="27"/>
      <c r="P43" s="27"/>
      <c r="R43" s="27"/>
      <c r="T43" s="27"/>
      <c r="U43" s="28"/>
      <c r="V43" s="27"/>
      <c r="X43" s="27"/>
      <c r="Z43" s="27"/>
      <c r="AB43" s="27"/>
      <c r="AD43" s="27"/>
      <c r="AF43" s="27"/>
      <c r="AH43" s="27"/>
      <c r="AJ43" s="27"/>
      <c r="AN43" s="27"/>
      <c r="AP43" s="27"/>
      <c r="AR43" s="27"/>
      <c r="AT43" s="27"/>
      <c r="AV43" s="27"/>
      <c r="AX43" s="27"/>
      <c r="AZ43" s="27"/>
      <c r="BB43" s="27"/>
      <c r="BD43" s="27"/>
      <c r="BF43" s="27"/>
      <c r="BH43" s="27"/>
      <c r="BJ43" s="27"/>
      <c r="BL43" s="2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</row>
    <row r="44" spans="1:95" x14ac:dyDescent="0.25">
      <c r="BF44" s="27"/>
      <c r="BH44" s="27"/>
      <c r="BJ44" s="27"/>
      <c r="BL44" s="24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</row>
    <row r="45" spans="1:95" x14ac:dyDescent="0.25">
      <c r="BF45" s="29"/>
      <c r="BH45" s="29"/>
      <c r="BJ45" s="29"/>
      <c r="BL45" s="24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</row>
    <row r="46" spans="1:95" x14ac:dyDescent="0.25">
      <c r="BF46" s="29"/>
      <c r="BH46" s="29"/>
      <c r="BJ46" s="29"/>
      <c r="BL46" s="29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</row>
    <row r="47" spans="1:95" x14ac:dyDescent="0.25">
      <c r="BF47" s="29"/>
      <c r="BL47" s="29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</row>
    <row r="48" spans="1:95" x14ac:dyDescent="0.25">
      <c r="BF48" s="29"/>
      <c r="BL48" s="29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</row>
    <row r="49" spans="58:95" x14ac:dyDescent="0.25">
      <c r="BF49" s="29"/>
      <c r="BL49" s="29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</row>
    <row r="50" spans="58:95" x14ac:dyDescent="0.25">
      <c r="BF50" s="29"/>
      <c r="BL50" s="29"/>
      <c r="CB50" s="17"/>
      <c r="CC50" s="17"/>
      <c r="CD50" s="17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</row>
    <row r="51" spans="58:95" x14ac:dyDescent="0.25">
      <c r="BF51" s="29"/>
      <c r="BL51" s="29"/>
      <c r="CB51" s="17"/>
      <c r="CC51" s="17"/>
      <c r="CD51" s="17"/>
      <c r="CE51" s="17"/>
      <c r="CF51" s="1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</row>
    <row r="52" spans="58:95" x14ac:dyDescent="0.25">
      <c r="BF52" s="29"/>
      <c r="BL52" s="29"/>
      <c r="CB52" s="17"/>
      <c r="CC52" s="17"/>
      <c r="CD52" s="17"/>
      <c r="CE52" s="17"/>
      <c r="CF52" s="17"/>
      <c r="CG52" s="17"/>
      <c r="CH52" s="17"/>
      <c r="CI52" s="17"/>
      <c r="CJ52" s="17"/>
      <c r="CK52" s="17"/>
      <c r="CL52" s="17"/>
      <c r="CM52" s="17"/>
      <c r="CN52" s="17"/>
      <c r="CO52" s="17"/>
      <c r="CP52" s="17"/>
      <c r="CQ52" s="17"/>
    </row>
    <row r="53" spans="58:95" x14ac:dyDescent="0.25">
      <c r="BF53" s="29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</row>
    <row r="54" spans="58:95" x14ac:dyDescent="0.25">
      <c r="BF54" s="29"/>
      <c r="CB54" s="17"/>
      <c r="CC54" s="17"/>
      <c r="CD54" s="17"/>
      <c r="CE54" s="17"/>
      <c r="CF54" s="17"/>
      <c r="CG54" s="17"/>
      <c r="CH54" s="17"/>
      <c r="CI54" s="17"/>
      <c r="CJ54" s="17"/>
      <c r="CK54" s="17"/>
      <c r="CL54" s="17"/>
      <c r="CM54" s="17"/>
      <c r="CN54" s="17"/>
      <c r="CO54" s="17"/>
      <c r="CP54" s="17"/>
      <c r="CQ54" s="17"/>
    </row>
    <row r="55" spans="58:95" x14ac:dyDescent="0.25"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</row>
    <row r="56" spans="58:95" x14ac:dyDescent="0.25"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</row>
  </sheetData>
  <mergeCells count="31">
    <mergeCell ref="Z3:AA3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AX3:AY3"/>
    <mergeCell ref="AB3:AC3"/>
    <mergeCell ref="AD3:AE3"/>
    <mergeCell ref="AF3:AG3"/>
    <mergeCell ref="AH3:AI3"/>
    <mergeCell ref="AJ3:AK3"/>
    <mergeCell ref="AL3:AM3"/>
    <mergeCell ref="AN3:AO3"/>
    <mergeCell ref="AP3:AQ3"/>
    <mergeCell ref="AR3:AS3"/>
    <mergeCell ref="AT3:AU3"/>
    <mergeCell ref="AV3:AW3"/>
    <mergeCell ref="BL3:BM3"/>
    <mergeCell ref="AZ3:BA3"/>
    <mergeCell ref="BB3:BC3"/>
    <mergeCell ref="BD3:BE3"/>
    <mergeCell ref="BF3:BG3"/>
    <mergeCell ref="BH3:BI3"/>
    <mergeCell ref="BJ3:BK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</vt:lpstr>
      <vt:lpstr>Output --&gt;</vt:lpstr>
      <vt:lpstr>Credit_CW</vt:lpstr>
      <vt:lpstr>Credit_NP</vt:lpstr>
      <vt:lpstr>Working --&gt;</vt:lpstr>
      <vt:lpstr>Credit_CW_Working</vt:lpstr>
      <vt:lpstr>Credit_NP_Working</vt:lpstr>
      <vt:lpstr>Raw Data --&gt;</vt:lpstr>
      <vt:lpstr>EOD_Credit_CW</vt:lpstr>
      <vt:lpstr>EOD_Credit_NP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Celine Wang</dc:creator>
  <cp:lastModifiedBy>Celine Wang</cp:lastModifiedBy>
  <dcterms:created xsi:type="dcterms:W3CDTF">2025-11-17T02:30:05Z</dcterms:created>
  <dcterms:modified xsi:type="dcterms:W3CDTF">2026-01-14T09:13:26Z</dcterms:modified>
</cp:coreProperties>
</file>