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fileSharing readOnlyRecommended="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rosino-my.sharepoint.com/personal/celine_wang_rosinogroup_com/Documents/Desktop/Celine Wang/Petrol Stations/P&amp;L/Source Data Prepare/Purchase/Template/"/>
    </mc:Choice>
  </mc:AlternateContent>
  <xr:revisionPtr revIDLastSave="206" documentId="8_{D05FE1AB-F418-4FBE-A38E-177B2D8A7C00}" xr6:coauthVersionLast="47" xr6:coauthVersionMax="47" xr10:uidLastSave="{7B7F1FA2-B37D-4234-B071-F42FD4753C64}"/>
  <bookViews>
    <workbookView xWindow="-120" yWindow="-120" windowWidth="29040" windowHeight="15720" xr2:uid="{E51D42BC-DF5C-4DC2-8A97-3E32AD344943}"/>
  </bookViews>
  <sheets>
    <sheet name="Main" sheetId="1" r:id="rId1"/>
    <sheet name="Output --&gt;" sheetId="4" r:id="rId2"/>
    <sheet name="Fuel Purchase" sheetId="3" r:id="rId3"/>
  </sheets>
  <definedNames>
    <definedName name="_xlnm._FilterDatabase" localSheetId="2" hidden="1">'Fuel Purchase'!$B$3:$R$189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" i="3" l="1"/>
  <c r="Z9" i="3" l="1"/>
  <c r="Y9" i="3"/>
  <c r="V9" i="3"/>
  <c r="U9" i="3"/>
  <c r="Z8" i="3"/>
  <c r="Y8" i="3"/>
  <c r="V8" i="3"/>
  <c r="U8" i="3"/>
  <c r="Z7" i="3"/>
  <c r="Y7" i="3"/>
  <c r="V7" i="3"/>
  <c r="U7" i="3"/>
  <c r="Z6" i="3"/>
  <c r="Y6" i="3"/>
  <c r="V6" i="3"/>
  <c r="V11" i="3" l="1"/>
  <c r="U11" i="3"/>
  <c r="Z11" i="3"/>
  <c r="Y11" i="3"/>
  <c r="U10" i="3"/>
  <c r="V10" i="3"/>
  <c r="Y10" i="3"/>
  <c r="Z10" i="3"/>
</calcChain>
</file>

<file path=xl/sharedStrings.xml><?xml version="1.0" encoding="utf-8"?>
<sst xmlns="http://schemas.openxmlformats.org/spreadsheetml/2006/main" count="48" uniqueCount="37">
  <si>
    <t>File Path:</t>
  </si>
  <si>
    <t>Sheet Name:</t>
  </si>
  <si>
    <t>Example</t>
  </si>
  <si>
    <t>Purchase Invoice Automation</t>
  </si>
  <si>
    <t>PRODUCT PURCHASE DETAILS</t>
  </si>
  <si>
    <t>(The summary section is positioned adjacent to the data table on the right.)</t>
  </si>
  <si>
    <t>Sell-in Price</t>
  </si>
  <si>
    <t>Invoice</t>
  </si>
  <si>
    <t>Invoice date</t>
  </si>
  <si>
    <t>Extra 141001</t>
  </si>
  <si>
    <t>Supreme+ 141002</t>
  </si>
  <si>
    <t>Diesel 141005</t>
  </si>
  <si>
    <t>LPG (KG)</t>
  </si>
  <si>
    <t>LPG (Liter)</t>
  </si>
  <si>
    <t>LPG( Density)</t>
  </si>
  <si>
    <t>Invoice Amount</t>
  </si>
  <si>
    <t>Account Code</t>
  </si>
  <si>
    <t>Account Grouping</t>
  </si>
  <si>
    <t>Account 1</t>
  </si>
  <si>
    <t>Account 2</t>
  </si>
  <si>
    <t>Special Items Description</t>
  </si>
  <si>
    <t>MONTH</t>
  </si>
  <si>
    <t>SITE</t>
  </si>
  <si>
    <t>Chai Wan</t>
  </si>
  <si>
    <t>North Point</t>
  </si>
  <si>
    <t>Products</t>
  </si>
  <si>
    <t>Volume (Litre)</t>
  </si>
  <si>
    <t>Amount Paid (HK$)</t>
  </si>
  <si>
    <t>Extra</t>
  </si>
  <si>
    <t>Supreme+</t>
  </si>
  <si>
    <t>Diesel</t>
  </si>
  <si>
    <t>LPG</t>
  </si>
  <si>
    <t>Total w/o LPG</t>
  </si>
  <si>
    <t>Total</t>
  </si>
  <si>
    <t>C:\Users\Celine Wang\OneDrive - Rosino-Axle\Desktop\Celine Wang\PURCHASE 09.xlsx</t>
  </si>
  <si>
    <r>
      <rPr>
        <b/>
        <sz val="11"/>
        <color theme="1"/>
        <rFont val="Aptos Narrow"/>
        <family val="2"/>
        <scheme val="minor"/>
      </rPr>
      <t xml:space="preserve">Step 2: </t>
    </r>
    <r>
      <rPr>
        <sz val="11"/>
        <color theme="1"/>
        <rFont val="Aptos Narrow"/>
        <family val="2"/>
        <scheme val="minor"/>
      </rPr>
      <t>Please go to sheet &lt;Fuel Purchase&gt; and refresh calculations. Please find the final output on sheet &lt;Fuel Purchase&gt;.</t>
    </r>
  </si>
  <si>
    <r>
      <rPr>
        <b/>
        <sz val="11"/>
        <color theme="1"/>
        <rFont val="Aptos Narrow"/>
        <family val="2"/>
        <scheme val="minor"/>
      </rPr>
      <t>Step 1:</t>
    </r>
    <r>
      <rPr>
        <sz val="11"/>
        <color theme="1"/>
        <rFont val="Aptos Narrow"/>
        <family val="2"/>
        <scheme val="minor"/>
      </rPr>
      <t xml:space="preserve"> Load data from purchase invoices.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</si>
</sst>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yyyy\-mm\-dd;@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6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2" xfId="0" applyFont="1" applyBorder="1" applyAlignment="1">
      <alignment horizontal="right" vertical="center"/>
    </xf>
    <xf numFmtId="0" fontId="2" fillId="0" borderId="7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right" vertic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0" xfId="0" applyNumberFormat="1" applyAlignment="1">
      <alignment horizontal="left" vertical="center"/>
    </xf>
    <xf numFmtId="165" fontId="0" fillId="0" borderId="0" xfId="0" applyNumberFormat="1"/>
    <xf numFmtId="0" fontId="0" fillId="0" borderId="0" xfId="0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Comma 2" xfId="1" xr:uid="{46F06924-CFB3-4B10-9DA9-F3CD1209ACBE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19050</xdr:rowOff>
        </xdr:from>
        <xdr:to>
          <xdr:col>1</xdr:col>
          <xdr:colOff>0</xdr:colOff>
          <xdr:row>7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1: Load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B6154-20D9-4BF3-82D7-427A38F14643}">
  <sheetPr codeName="Sheet1"/>
  <dimension ref="A1:B14"/>
  <sheetViews>
    <sheetView showGridLines="0" tabSelected="1" workbookViewId="0"/>
  </sheetViews>
  <sheetFormatPr defaultRowHeight="15" x14ac:dyDescent="0.25"/>
  <cols>
    <col min="1" max="1" width="26.28515625" style="1" bestFit="1" customWidth="1"/>
    <col min="2" max="2" width="24.7109375" style="1" customWidth="1"/>
    <col min="3" max="16384" width="9.140625" style="1"/>
  </cols>
  <sheetData>
    <row r="1" spans="1:2" x14ac:dyDescent="0.25">
      <c r="A1" s="14" t="s">
        <v>3</v>
      </c>
    </row>
    <row r="3" spans="1:2" x14ac:dyDescent="0.25">
      <c r="A3" s="1" t="s">
        <v>0</v>
      </c>
      <c r="B3" s="15"/>
    </row>
    <row r="4" spans="1:2" x14ac:dyDescent="0.25">
      <c r="A4" s="1" t="s">
        <v>1</v>
      </c>
      <c r="B4" s="15"/>
    </row>
    <row r="6" spans="1:2" x14ac:dyDescent="0.25">
      <c r="A6" s="1" t="s">
        <v>36</v>
      </c>
    </row>
    <row r="9" spans="1:2" x14ac:dyDescent="0.25">
      <c r="A9" s="1" t="s">
        <v>35</v>
      </c>
    </row>
    <row r="12" spans="1:2" x14ac:dyDescent="0.25">
      <c r="A12" s="14" t="s">
        <v>2</v>
      </c>
    </row>
    <row r="13" spans="1:2" x14ac:dyDescent="0.25">
      <c r="A13" s="1" t="s">
        <v>0</v>
      </c>
      <c r="B13" s="16" t="s">
        <v>34</v>
      </c>
    </row>
    <row r="14" spans="1:2" x14ac:dyDescent="0.25">
      <c r="A14" s="1" t="s">
        <v>1</v>
      </c>
      <c r="B14" s="15">
        <v>2025.09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Step1_CopyDataFromSource">
                <anchor moveWithCells="1" sizeWithCells="1">
                  <from>
                    <xdr:col>0</xdr:col>
                    <xdr:colOff>9525</xdr:colOff>
                    <xdr:row>6</xdr:row>
                    <xdr:rowOff>19050</xdr:rowOff>
                  </from>
                  <to>
                    <xdr:col>1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4AC10-D158-43A7-85F7-B25E15C9A589}">
  <sheetPr codeName="Sheet2">
    <tabColor theme="0" tint="-0.249977111117893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7DB8B-60F4-4CE7-95D2-273CC7AF41EB}">
  <sheetPr codeName="Sheet3"/>
  <dimension ref="A1:Z189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4.5703125" style="1" customWidth="1"/>
    <col min="2" max="2" width="15.7109375" style="8" customWidth="1"/>
    <col min="3" max="3" width="18" style="12" bestFit="1" customWidth="1"/>
    <col min="4" max="4" width="18" style="17" bestFit="1" customWidth="1"/>
    <col min="5" max="11" width="15.7109375" style="8" customWidth="1"/>
    <col min="12" max="18" width="15.7109375" style="12" customWidth="1"/>
    <col min="19" max="19" width="9.140625" style="1"/>
    <col min="20" max="20" width="13.28515625" style="1" bestFit="1" customWidth="1"/>
    <col min="21" max="21" width="14" style="1" bestFit="1" customWidth="1"/>
    <col min="22" max="22" width="18" style="1" bestFit="1" customWidth="1"/>
    <col min="23" max="23" width="9.140625" style="1"/>
    <col min="24" max="24" width="13.28515625" style="1" bestFit="1" customWidth="1"/>
    <col min="25" max="25" width="14" style="1" bestFit="1" customWidth="1"/>
    <col min="26" max="26" width="18" style="1" bestFit="1" customWidth="1"/>
    <col min="27" max="16384" width="9.140625" style="1"/>
  </cols>
  <sheetData>
    <row r="1" spans="1:26" x14ac:dyDescent="0.25">
      <c r="A1" s="2" t="s">
        <v>4</v>
      </c>
      <c r="E1" s="19"/>
      <c r="F1" s="19"/>
      <c r="G1" s="19"/>
      <c r="H1" s="19"/>
      <c r="I1" s="19"/>
      <c r="J1" s="19"/>
      <c r="K1" s="13"/>
    </row>
    <row r="2" spans="1:26" x14ac:dyDescent="0.25">
      <c r="A2" s="3" t="s">
        <v>5</v>
      </c>
      <c r="K2" s="13"/>
    </row>
    <row r="3" spans="1:26" x14ac:dyDescent="0.25">
      <c r="B3" s="8" t="s">
        <v>6</v>
      </c>
      <c r="C3" s="12" t="s">
        <v>7</v>
      </c>
      <c r="D3" s="17" t="s">
        <v>8</v>
      </c>
      <c r="E3" s="10" t="s">
        <v>9</v>
      </c>
      <c r="F3" s="10" t="s">
        <v>10</v>
      </c>
      <c r="G3" s="10" t="s">
        <v>11</v>
      </c>
      <c r="H3" s="10" t="s">
        <v>12</v>
      </c>
      <c r="I3" s="10" t="s">
        <v>13</v>
      </c>
      <c r="J3" s="10" t="s">
        <v>14</v>
      </c>
      <c r="K3" s="8" t="s">
        <v>15</v>
      </c>
      <c r="L3" s="12" t="s">
        <v>16</v>
      </c>
      <c r="M3" s="12" t="s">
        <v>17</v>
      </c>
      <c r="N3" s="12" t="s">
        <v>18</v>
      </c>
      <c r="O3" s="12" t="s">
        <v>19</v>
      </c>
      <c r="P3" s="12" t="s">
        <v>20</v>
      </c>
      <c r="Q3" s="12" t="s">
        <v>21</v>
      </c>
      <c r="R3" s="12" t="s">
        <v>22</v>
      </c>
    </row>
    <row r="4" spans="1:26" x14ac:dyDescent="0.25">
      <c r="A4"/>
      <c r="B4"/>
      <c r="C4"/>
      <c r="D4" s="18"/>
      <c r="E4"/>
      <c r="F4"/>
      <c r="G4"/>
      <c r="H4"/>
      <c r="I4"/>
      <c r="J4"/>
      <c r="K4"/>
      <c r="L4"/>
      <c r="M4"/>
      <c r="N4"/>
      <c r="O4"/>
      <c r="P4"/>
      <c r="Q4"/>
      <c r="R4"/>
      <c r="T4" s="20" t="s">
        <v>23</v>
      </c>
      <c r="U4" s="21"/>
      <c r="V4" s="22"/>
      <c r="X4" s="20" t="s">
        <v>24</v>
      </c>
      <c r="Y4" s="21"/>
      <c r="Z4" s="22"/>
    </row>
    <row r="5" spans="1:26" x14ac:dyDescent="0.25">
      <c r="A5"/>
      <c r="B5"/>
      <c r="C5"/>
      <c r="D5" s="18"/>
      <c r="E5"/>
      <c r="F5"/>
      <c r="G5"/>
      <c r="H5"/>
      <c r="I5"/>
      <c r="J5"/>
      <c r="K5"/>
      <c r="L5"/>
      <c r="M5"/>
      <c r="N5"/>
      <c r="O5"/>
      <c r="P5"/>
      <c r="Q5"/>
      <c r="R5"/>
      <c r="T5" s="4" t="s">
        <v>25</v>
      </c>
      <c r="U5" s="6" t="s">
        <v>26</v>
      </c>
      <c r="V5" s="7" t="s">
        <v>27</v>
      </c>
      <c r="X5" s="4" t="s">
        <v>25</v>
      </c>
      <c r="Y5" s="6" t="s">
        <v>26</v>
      </c>
      <c r="Z5" s="7" t="s">
        <v>27</v>
      </c>
    </row>
    <row r="6" spans="1:26" x14ac:dyDescent="0.25">
      <c r="A6"/>
      <c r="B6"/>
      <c r="C6"/>
      <c r="D6" s="18"/>
      <c r="E6"/>
      <c r="F6"/>
      <c r="G6"/>
      <c r="H6"/>
      <c r="I6"/>
      <c r="J6"/>
      <c r="K6"/>
      <c r="L6"/>
      <c r="M6"/>
      <c r="N6"/>
      <c r="O6"/>
      <c r="P6"/>
      <c r="Q6"/>
      <c r="R6"/>
      <c r="T6" s="5" t="s">
        <v>28</v>
      </c>
      <c r="U6" s="8">
        <f>SUMIFS($E:$E, $R:$R, "Chai Wan")</f>
        <v>0</v>
      </c>
      <c r="V6" s="9">
        <f>SUMIFS($K:$K, $E:$E, "&lt;&gt;", $R:$R, "Chai Wan")</f>
        <v>0</v>
      </c>
      <c r="X6" s="5" t="s">
        <v>28</v>
      </c>
      <c r="Y6" s="8">
        <f>SUMIFS($E:$E, $R:$R, "North Point")</f>
        <v>0</v>
      </c>
      <c r="Z6" s="9">
        <f>SUMIFS($K:$K, $E:$E, "&lt;&gt;", $R:$R, "North Point")</f>
        <v>0</v>
      </c>
    </row>
    <row r="7" spans="1:26" x14ac:dyDescent="0.25">
      <c r="A7"/>
      <c r="B7"/>
      <c r="C7"/>
      <c r="D7" s="18"/>
      <c r="E7"/>
      <c r="F7"/>
      <c r="G7"/>
      <c r="H7"/>
      <c r="I7"/>
      <c r="J7"/>
      <c r="K7"/>
      <c r="L7"/>
      <c r="M7"/>
      <c r="N7"/>
      <c r="O7"/>
      <c r="P7"/>
      <c r="Q7"/>
      <c r="R7"/>
      <c r="T7" s="5" t="s">
        <v>29</v>
      </c>
      <c r="U7" s="8">
        <f>SUMIFS($F:$F, $R:$R, "Chai Wan")</f>
        <v>0</v>
      </c>
      <c r="V7" s="9">
        <f>SUMIFS($K:$K, $F:$F, "&lt;&gt;", $R:$R, "Chai Wan")</f>
        <v>0</v>
      </c>
      <c r="X7" s="5" t="s">
        <v>29</v>
      </c>
      <c r="Y7" s="8">
        <f>SUMIFS($F:$F, $R:$R, "North Point")</f>
        <v>0</v>
      </c>
      <c r="Z7" s="9">
        <f>SUMIFS($K:$K, $F:$F, "&lt;&gt;", $R:$R, "North Point")</f>
        <v>0</v>
      </c>
    </row>
    <row r="8" spans="1:26" x14ac:dyDescent="0.25">
      <c r="A8"/>
      <c r="B8"/>
      <c r="C8"/>
      <c r="D8" s="18"/>
      <c r="E8"/>
      <c r="F8"/>
      <c r="G8"/>
      <c r="H8"/>
      <c r="I8"/>
      <c r="J8"/>
      <c r="K8"/>
      <c r="L8"/>
      <c r="M8"/>
      <c r="N8"/>
      <c r="O8"/>
      <c r="P8"/>
      <c r="Q8"/>
      <c r="R8"/>
      <c r="T8" s="5" t="s">
        <v>30</v>
      </c>
      <c r="U8" s="8">
        <f>SUMIFS($G:$G, $R:$R, "Chai Wan")</f>
        <v>0</v>
      </c>
      <c r="V8" s="9">
        <f>SUMIFS($K:$K, $G:$G, "&lt;&gt;", $R:$R, "Chai Wan")</f>
        <v>0</v>
      </c>
      <c r="X8" s="5" t="s">
        <v>30</v>
      </c>
      <c r="Y8" s="8">
        <f>SUMIFS($G:$G, $R:$R, "North Point")</f>
        <v>0</v>
      </c>
      <c r="Z8" s="9">
        <f>SUMIFS($K:$K, $G:$G, "&lt;&gt;", $R:$R, "North Point")</f>
        <v>0</v>
      </c>
    </row>
    <row r="9" spans="1:26" x14ac:dyDescent="0.25">
      <c r="A9"/>
      <c r="B9"/>
      <c r="C9"/>
      <c r="D9" s="18"/>
      <c r="E9"/>
      <c r="F9"/>
      <c r="G9"/>
      <c r="H9"/>
      <c r="I9"/>
      <c r="J9"/>
      <c r="K9"/>
      <c r="L9"/>
      <c r="M9"/>
      <c r="N9"/>
      <c r="O9"/>
      <c r="P9"/>
      <c r="Q9"/>
      <c r="R9"/>
      <c r="T9" s="5" t="s">
        <v>31</v>
      </c>
      <c r="U9" s="8">
        <f>SUMIFS($I:$I, $R:$R, "Chai Wan")</f>
        <v>0</v>
      </c>
      <c r="V9" s="9">
        <f>SUMIFS($K:$K, $I:$I, "&lt;&gt;", $R:$R, "Chai Wan")</f>
        <v>0</v>
      </c>
      <c r="X9" s="5" t="s">
        <v>31</v>
      </c>
      <c r="Y9" s="8">
        <f>SUMIFS($I:$I, $R:$R, "North Point")</f>
        <v>0</v>
      </c>
      <c r="Z9" s="9">
        <f>SUMIFS($K:$K, $I:$I, "&lt;&gt;", $R:$R, "North Point")</f>
        <v>0</v>
      </c>
    </row>
    <row r="10" spans="1:26" x14ac:dyDescent="0.25">
      <c r="A10"/>
      <c r="B10"/>
      <c r="C10"/>
      <c r="D10" s="18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T10" s="5" t="s">
        <v>32</v>
      </c>
      <c r="U10" s="8">
        <f>SUM(U6:U8)</f>
        <v>0</v>
      </c>
      <c r="V10" s="9">
        <f>SUM(V6:V8)</f>
        <v>0</v>
      </c>
      <c r="X10" s="5" t="s">
        <v>32</v>
      </c>
      <c r="Y10" s="8">
        <f>SUM(Y6:Y8)</f>
        <v>0</v>
      </c>
      <c r="Z10" s="9">
        <f>SUM(Z6:Z8)</f>
        <v>0</v>
      </c>
    </row>
    <row r="11" spans="1:26" x14ac:dyDescent="0.25">
      <c r="A11"/>
      <c r="B11"/>
      <c r="C11"/>
      <c r="D11" s="18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T11" s="4" t="s">
        <v>33</v>
      </c>
      <c r="U11" s="10">
        <f>SUM(U6:U9)</f>
        <v>0</v>
      </c>
      <c r="V11" s="11">
        <f>SUM(V6:V9)</f>
        <v>0</v>
      </c>
      <c r="X11" s="4" t="s">
        <v>33</v>
      </c>
      <c r="Y11" s="10">
        <f>SUM(Y6:Y9)</f>
        <v>0</v>
      </c>
      <c r="Z11" s="11">
        <f>SUM(Z6:Z9)</f>
        <v>0</v>
      </c>
    </row>
    <row r="12" spans="1:26" x14ac:dyDescent="0.25">
      <c r="A12"/>
      <c r="B12"/>
      <c r="C12"/>
      <c r="D12" s="18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26" x14ac:dyDescent="0.25">
      <c r="A13"/>
      <c r="B13"/>
      <c r="C13"/>
      <c r="D13" s="18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26" x14ac:dyDescent="0.25">
      <c r="A14"/>
      <c r="B14"/>
      <c r="C14"/>
      <c r="D14" s="18"/>
      <c r="E14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1:26" x14ac:dyDescent="0.25">
      <c r="A15"/>
      <c r="B15"/>
      <c r="C15"/>
      <c r="D15" s="18"/>
      <c r="E15"/>
      <c r="F15"/>
      <c r="G15"/>
      <c r="H15"/>
      <c r="I15"/>
      <c r="J15"/>
      <c r="K15"/>
      <c r="L15"/>
      <c r="M15"/>
      <c r="N15"/>
      <c r="O15"/>
      <c r="P15"/>
      <c r="Q15"/>
      <c r="R15"/>
    </row>
    <row r="16" spans="1:26" x14ac:dyDescent="0.25">
      <c r="A16"/>
      <c r="B16"/>
      <c r="C16"/>
      <c r="D16" s="18"/>
      <c r="E16"/>
      <c r="F16"/>
      <c r="G16"/>
      <c r="H16"/>
      <c r="I16"/>
      <c r="J16"/>
      <c r="K16"/>
      <c r="L16"/>
      <c r="M16"/>
      <c r="N16"/>
      <c r="O16"/>
      <c r="P16"/>
      <c r="Q16"/>
      <c r="R16"/>
    </row>
    <row r="17" spans="1:18" x14ac:dyDescent="0.25">
      <c r="A17"/>
      <c r="B17"/>
      <c r="C17"/>
      <c r="D17" s="18"/>
      <c r="E17"/>
      <c r="F17"/>
      <c r="G17"/>
      <c r="H17"/>
      <c r="I17"/>
      <c r="J17"/>
      <c r="K17"/>
      <c r="L17"/>
      <c r="M17"/>
      <c r="N17"/>
      <c r="O17"/>
      <c r="P17"/>
      <c r="Q17"/>
      <c r="R17"/>
    </row>
    <row r="18" spans="1:18" x14ac:dyDescent="0.25">
      <c r="A18"/>
      <c r="B18"/>
      <c r="C18"/>
      <c r="D18" s="18"/>
      <c r="E18"/>
      <c r="F18"/>
      <c r="G18"/>
      <c r="H18"/>
      <c r="I18"/>
      <c r="J18"/>
      <c r="K18"/>
      <c r="L18"/>
      <c r="M18"/>
      <c r="N18"/>
      <c r="O18"/>
      <c r="P18"/>
      <c r="Q18"/>
      <c r="R18"/>
    </row>
    <row r="19" spans="1:18" x14ac:dyDescent="0.25">
      <c r="A19"/>
      <c r="B19"/>
      <c r="C19"/>
      <c r="D19" s="18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x14ac:dyDescent="0.25">
      <c r="A20"/>
      <c r="B20"/>
      <c r="C20"/>
      <c r="D20" s="18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x14ac:dyDescent="0.25">
      <c r="A21"/>
      <c r="B21"/>
      <c r="C21"/>
      <c r="D21" s="18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18" x14ac:dyDescent="0.25">
      <c r="A22"/>
      <c r="B22"/>
      <c r="C22"/>
      <c r="D22" s="18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1:18" x14ac:dyDescent="0.25">
      <c r="A23"/>
      <c r="B23"/>
      <c r="C23"/>
      <c r="D23" s="18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1:18" x14ac:dyDescent="0.25">
      <c r="A24"/>
      <c r="B24"/>
      <c r="C24"/>
      <c r="D24" s="18"/>
      <c r="E24"/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18" x14ac:dyDescent="0.25">
      <c r="A25"/>
      <c r="B25"/>
      <c r="C25"/>
      <c r="D25" s="18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18" x14ac:dyDescent="0.25">
      <c r="A26"/>
      <c r="B26"/>
      <c r="C26"/>
      <c r="D26" s="18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1:18" x14ac:dyDescent="0.25">
      <c r="A27"/>
      <c r="B27"/>
      <c r="C27"/>
      <c r="D27" s="18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1:18" x14ac:dyDescent="0.25">
      <c r="A28"/>
      <c r="B28"/>
      <c r="C28"/>
      <c r="D28" s="1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18" x14ac:dyDescent="0.25">
      <c r="A29"/>
      <c r="B29"/>
      <c r="C29"/>
      <c r="D29" s="18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x14ac:dyDescent="0.25">
      <c r="A30"/>
      <c r="B30"/>
      <c r="C30"/>
      <c r="D30" s="18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18" x14ac:dyDescent="0.25">
      <c r="A31"/>
      <c r="B31"/>
      <c r="C31"/>
      <c r="D31" s="18"/>
      <c r="E31"/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1:18" x14ac:dyDescent="0.25">
      <c r="A32"/>
      <c r="B32"/>
      <c r="C32"/>
      <c r="D32" s="18"/>
      <c r="E32"/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1:18" x14ac:dyDescent="0.25">
      <c r="A33"/>
      <c r="B33"/>
      <c r="C33"/>
      <c r="D33" s="18"/>
      <c r="E33"/>
      <c r="F33"/>
      <c r="G33"/>
      <c r="H33"/>
      <c r="I33"/>
      <c r="J33"/>
      <c r="K33"/>
      <c r="L33"/>
      <c r="M33"/>
      <c r="N33"/>
      <c r="O33"/>
      <c r="P33"/>
      <c r="Q33"/>
      <c r="R33"/>
    </row>
    <row r="34" spans="1:18" x14ac:dyDescent="0.25">
      <c r="A34"/>
      <c r="B34"/>
      <c r="C34"/>
      <c r="D34" s="18"/>
      <c r="E34"/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1:18" x14ac:dyDescent="0.25">
      <c r="A35"/>
      <c r="B35"/>
      <c r="C35"/>
      <c r="D35" s="18"/>
      <c r="E35"/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1:18" x14ac:dyDescent="0.25">
      <c r="A36"/>
      <c r="B36"/>
      <c r="C36"/>
      <c r="D36" s="18"/>
      <c r="E36"/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1:18" x14ac:dyDescent="0.25">
      <c r="A37"/>
      <c r="B37"/>
      <c r="C37"/>
      <c r="D37" s="18"/>
      <c r="E37"/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1:18" x14ac:dyDescent="0.25">
      <c r="A38"/>
      <c r="B38"/>
      <c r="C38"/>
      <c r="D38" s="1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1:18" x14ac:dyDescent="0.25">
      <c r="A39"/>
      <c r="B39"/>
      <c r="C39"/>
      <c r="D39" s="18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18" x14ac:dyDescent="0.25">
      <c r="A40"/>
      <c r="B40"/>
      <c r="C40"/>
      <c r="D40" s="18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x14ac:dyDescent="0.25">
      <c r="A41"/>
      <c r="B41"/>
      <c r="C41"/>
      <c r="D41" s="18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18" x14ac:dyDescent="0.25">
      <c r="A42"/>
      <c r="B42"/>
      <c r="C42"/>
      <c r="D42" s="18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18" x14ac:dyDescent="0.25">
      <c r="A43"/>
      <c r="B43"/>
      <c r="C43"/>
      <c r="D43" s="18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 x14ac:dyDescent="0.25">
      <c r="A44"/>
      <c r="B44"/>
      <c r="C44"/>
      <c r="D44" s="18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 x14ac:dyDescent="0.25">
      <c r="A45"/>
      <c r="B45"/>
      <c r="C45"/>
      <c r="D45" s="18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 x14ac:dyDescent="0.25">
      <c r="A46"/>
      <c r="B46"/>
      <c r="C46"/>
      <c r="D46" s="18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 x14ac:dyDescent="0.25">
      <c r="A47"/>
      <c r="B47"/>
      <c r="C47"/>
      <c r="D47" s="18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 x14ac:dyDescent="0.25">
      <c r="A48"/>
      <c r="B48"/>
      <c r="C48"/>
      <c r="D48" s="1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1:18" x14ac:dyDescent="0.25">
      <c r="A49"/>
      <c r="B49"/>
      <c r="C49"/>
      <c r="D49" s="18"/>
      <c r="E49"/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1:18" x14ac:dyDescent="0.25">
      <c r="A50"/>
      <c r="B50"/>
      <c r="C50"/>
      <c r="D50" s="18"/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 x14ac:dyDescent="0.25">
      <c r="A51"/>
      <c r="B51"/>
      <c r="C51"/>
      <c r="D51" s="18"/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 x14ac:dyDescent="0.25">
      <c r="A52"/>
      <c r="B52"/>
      <c r="C52"/>
      <c r="D52" s="18"/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 x14ac:dyDescent="0.25">
      <c r="A53"/>
      <c r="B53"/>
      <c r="C53"/>
      <c r="D53" s="18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18" x14ac:dyDescent="0.25">
      <c r="A54"/>
      <c r="B54"/>
      <c r="C54"/>
      <c r="D54" s="18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18" x14ac:dyDescent="0.25">
      <c r="A55"/>
      <c r="B55"/>
      <c r="C55"/>
      <c r="D55" s="18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18" x14ac:dyDescent="0.25">
      <c r="A56"/>
      <c r="B56"/>
      <c r="C56"/>
      <c r="D56" s="18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18" x14ac:dyDescent="0.25">
      <c r="A57"/>
      <c r="B57"/>
      <c r="C57"/>
      <c r="D57" s="18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x14ac:dyDescent="0.25">
      <c r="A58"/>
      <c r="B58"/>
      <c r="C58"/>
      <c r="D58" s="1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x14ac:dyDescent="0.25">
      <c r="A59"/>
      <c r="B59"/>
      <c r="C59"/>
      <c r="D59" s="18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x14ac:dyDescent="0.25">
      <c r="A60"/>
      <c r="B60"/>
      <c r="C60"/>
      <c r="D60" s="18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x14ac:dyDescent="0.25">
      <c r="A61"/>
      <c r="B61"/>
      <c r="C61"/>
      <c r="D61" s="18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18" x14ac:dyDescent="0.25">
      <c r="A62"/>
      <c r="B62"/>
      <c r="C62"/>
      <c r="D62" s="18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18" x14ac:dyDescent="0.25">
      <c r="A63"/>
      <c r="B63"/>
      <c r="C63"/>
      <c r="D63" s="18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18" x14ac:dyDescent="0.25">
      <c r="A64"/>
      <c r="B64"/>
      <c r="C64"/>
      <c r="D64" s="18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x14ac:dyDescent="0.25">
      <c r="A65"/>
      <c r="B65"/>
      <c r="C65"/>
      <c r="D65" s="18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x14ac:dyDescent="0.25">
      <c r="A66"/>
      <c r="B66"/>
      <c r="C66"/>
      <c r="D66" s="18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x14ac:dyDescent="0.25">
      <c r="A67"/>
      <c r="B67"/>
      <c r="C67"/>
      <c r="D67" s="18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x14ac:dyDescent="0.25">
      <c r="A68"/>
      <c r="B68"/>
      <c r="C68"/>
      <c r="D68" s="1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x14ac:dyDescent="0.25">
      <c r="A69"/>
      <c r="B69"/>
      <c r="C69"/>
      <c r="D69" s="18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x14ac:dyDescent="0.25">
      <c r="A70"/>
      <c r="B70"/>
      <c r="C70"/>
      <c r="D70" s="18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x14ac:dyDescent="0.25">
      <c r="A71"/>
      <c r="B71"/>
      <c r="C71"/>
      <c r="D71" s="18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x14ac:dyDescent="0.25">
      <c r="A72"/>
      <c r="B72"/>
      <c r="C72"/>
      <c r="D72" s="18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x14ac:dyDescent="0.25">
      <c r="A73"/>
      <c r="B73"/>
      <c r="C73"/>
      <c r="D73" s="18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x14ac:dyDescent="0.25">
      <c r="A74"/>
      <c r="B74"/>
      <c r="C74"/>
      <c r="D74" s="18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x14ac:dyDescent="0.25">
      <c r="A75"/>
      <c r="B75"/>
      <c r="C75"/>
      <c r="D75" s="18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x14ac:dyDescent="0.25">
      <c r="A76"/>
      <c r="B76"/>
      <c r="C76"/>
      <c r="D76" s="18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x14ac:dyDescent="0.25">
      <c r="A77"/>
      <c r="B77"/>
      <c r="C77"/>
      <c r="D77" s="18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x14ac:dyDescent="0.25">
      <c r="A78"/>
      <c r="B78"/>
      <c r="C78"/>
      <c r="D78" s="1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x14ac:dyDescent="0.25">
      <c r="A79"/>
      <c r="B79"/>
      <c r="C79"/>
      <c r="D79" s="18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x14ac:dyDescent="0.25">
      <c r="A80"/>
      <c r="B80"/>
      <c r="C80"/>
      <c r="D80" s="18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x14ac:dyDescent="0.25">
      <c r="A81"/>
      <c r="B81"/>
      <c r="C81"/>
      <c r="D81" s="18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x14ac:dyDescent="0.25">
      <c r="A82"/>
      <c r="B82"/>
      <c r="C82"/>
      <c r="D82" s="18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x14ac:dyDescent="0.25">
      <c r="A83"/>
      <c r="B83"/>
      <c r="C83"/>
      <c r="D83" s="18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x14ac:dyDescent="0.25">
      <c r="A84"/>
      <c r="B84"/>
      <c r="C84"/>
      <c r="D84" s="18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x14ac:dyDescent="0.25">
      <c r="A85"/>
      <c r="B85"/>
      <c r="C85"/>
      <c r="D85" s="18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x14ac:dyDescent="0.25">
      <c r="A86"/>
      <c r="B86"/>
      <c r="C86"/>
      <c r="D86" s="18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x14ac:dyDescent="0.25">
      <c r="A87"/>
      <c r="B87"/>
      <c r="C87"/>
      <c r="D87" s="18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x14ac:dyDescent="0.25">
      <c r="A88"/>
      <c r="B88"/>
      <c r="C88"/>
      <c r="D88" s="1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x14ac:dyDescent="0.25">
      <c r="A89"/>
      <c r="B89"/>
      <c r="C89"/>
      <c r="D89" s="18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x14ac:dyDescent="0.25">
      <c r="A90"/>
      <c r="B90"/>
      <c r="C90"/>
      <c r="D90" s="18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/>
      <c r="B91"/>
      <c r="C91"/>
      <c r="D91" s="18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/>
      <c r="B92"/>
      <c r="C92"/>
      <c r="D92" s="18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x14ac:dyDescent="0.25">
      <c r="A93"/>
      <c r="B93"/>
      <c r="C93"/>
      <c r="D93" s="18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/>
      <c r="B94"/>
      <c r="C94"/>
      <c r="D94" s="18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x14ac:dyDescent="0.25">
      <c r="A95"/>
      <c r="B95"/>
      <c r="C95"/>
      <c r="D95" s="18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x14ac:dyDescent="0.25">
      <c r="A96"/>
      <c r="B96"/>
      <c r="C96"/>
      <c r="D96" s="18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B97"/>
      <c r="C97"/>
      <c r="D97" s="18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B98"/>
      <c r="C98"/>
      <c r="D98" s="1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B99"/>
      <c r="C99"/>
      <c r="D99" s="18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B100"/>
      <c r="C100"/>
      <c r="D100" s="18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B101"/>
      <c r="C101"/>
      <c r="D101" s="18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B102"/>
      <c r="C102"/>
      <c r="D102" s="18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B103"/>
      <c r="C103"/>
      <c r="D103" s="18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B104"/>
      <c r="C104"/>
      <c r="D104" s="18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B105"/>
      <c r="C105"/>
      <c r="D105" s="18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B106"/>
      <c r="C106"/>
      <c r="D106" s="18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B107"/>
      <c r="C107"/>
      <c r="D107" s="18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B108"/>
      <c r="C108"/>
      <c r="D108" s="1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B109"/>
      <c r="C109"/>
      <c r="D109" s="18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B110"/>
      <c r="C110"/>
      <c r="D110" s="18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B111"/>
      <c r="C111"/>
      <c r="D111" s="18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B112"/>
      <c r="C112"/>
      <c r="D112" s="18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B113"/>
      <c r="C113"/>
      <c r="D113" s="18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B114"/>
      <c r="C114"/>
      <c r="D114" s="18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B115"/>
      <c r="C115"/>
      <c r="D115" s="18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B116"/>
      <c r="C116"/>
      <c r="D116" s="18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 s="18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 s="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 s="18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 s="18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 s="18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 s="18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 s="18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 s="18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 s="18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 s="18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 s="18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 s="1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 s="18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 s="18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 s="18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 s="18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 s="18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 s="18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 s="18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 s="18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 s="18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 s="1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 s="18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 s="18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 s="18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 s="18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 s="18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 s="18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 s="18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 s="18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 s="18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 s="1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 s="18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 s="18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 s="18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 s="18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 s="18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 s="18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 s="18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 s="18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 s="18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 s="1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 s="18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 s="18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 s="18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 s="18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 s="18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 s="18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 s="18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 s="18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 s="18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 s="1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 s="18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 s="18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 s="18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 s="18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 s="18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 s="18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 s="18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 s="18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 s="18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 s="1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 s="18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 s="18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 s="18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 s="18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 s="18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 s="18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 s="18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 s="18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 s="18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 s="1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 s="18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</sheetData>
  <mergeCells count="3">
    <mergeCell ref="E1:J1"/>
    <mergeCell ref="T4:V4"/>
    <mergeCell ref="X4:Z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Output --&gt;</vt:lpstr>
      <vt:lpstr>Fuel Purchase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Celine Wang</dc:creator>
  <cp:lastModifiedBy>Celine Wang</cp:lastModifiedBy>
  <dcterms:created xsi:type="dcterms:W3CDTF">2025-11-24T08:45:48Z</dcterms:created>
  <dcterms:modified xsi:type="dcterms:W3CDTF">2026-01-14T09:14:05Z</dcterms:modified>
</cp:coreProperties>
</file>