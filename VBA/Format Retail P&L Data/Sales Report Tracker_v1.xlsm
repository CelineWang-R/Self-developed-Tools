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osino-my.sharepoint.com/personal/celine_wang_rosinogroup_com/Documents/Desktop/Celine Wang/Petrol Stations/P&amp;L/Source Data Prepare/Sales/Template/"/>
    </mc:Choice>
  </mc:AlternateContent>
  <xr:revisionPtr revIDLastSave="1372" documentId="8_{7FBC5385-782F-4456-8669-9301E2335FF7}" xr6:coauthVersionLast="47" xr6:coauthVersionMax="47" xr10:uidLastSave="{8E213B3B-33A9-4906-BBC2-C5737C24D3C5}"/>
  <bookViews>
    <workbookView xWindow="-120" yWindow="-120" windowWidth="29040" windowHeight="15720" xr2:uid="{45BCC84A-88F6-4082-A123-E84791517A20}"/>
  </bookViews>
  <sheets>
    <sheet name="Main" sheetId="3" r:id="rId1"/>
    <sheet name="Output --&gt;" sheetId="10" r:id="rId2"/>
    <sheet name="Sales_CW" sheetId="11" r:id="rId3"/>
    <sheet name="Sales_NP" sheetId="12" r:id="rId4"/>
    <sheet name="Working Sheets --&gt;" sheetId="9" r:id="rId5"/>
    <sheet name="Sales_CW_Working" sheetId="4" r:id="rId6"/>
    <sheet name="Sales_NP_Working" sheetId="5" r:id="rId7"/>
    <sheet name="Raw Data --&gt;" sheetId="2" r:id="rId8"/>
    <sheet name="Sales Report_CW" sheetId="6" r:id="rId9"/>
    <sheet name="Sales Report_NP" sheetId="7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12" l="1"/>
  <c r="J41" i="12"/>
  <c r="I41" i="12"/>
  <c r="AD38" i="12"/>
  <c r="Z38" i="12"/>
  <c r="W38" i="12"/>
  <c r="T38" i="12"/>
  <c r="N38" i="12"/>
  <c r="K38" i="12"/>
  <c r="P38" i="12"/>
  <c r="O38" i="12"/>
  <c r="E38" i="12"/>
  <c r="AC37" i="12"/>
  <c r="Z37" i="12"/>
  <c r="W37" i="12"/>
  <c r="AD37" i="12"/>
  <c r="P37" i="12"/>
  <c r="O37" i="12"/>
  <c r="N37" i="12"/>
  <c r="K37" i="12"/>
  <c r="H37" i="12"/>
  <c r="E37" i="12"/>
  <c r="AD36" i="12"/>
  <c r="AE36" i="12"/>
  <c r="W36" i="12"/>
  <c r="T36" i="12"/>
  <c r="N36" i="12"/>
  <c r="K36" i="12"/>
  <c r="H36" i="12"/>
  <c r="O36" i="12"/>
  <c r="P36" i="12"/>
  <c r="AC35" i="12"/>
  <c r="Z35" i="12"/>
  <c r="W35" i="12"/>
  <c r="AE35" i="12"/>
  <c r="AD35" i="12"/>
  <c r="O35" i="12"/>
  <c r="P35" i="12"/>
  <c r="K35" i="12"/>
  <c r="H35" i="12"/>
  <c r="E35" i="12"/>
  <c r="AC34" i="12"/>
  <c r="AD34" i="12"/>
  <c r="W34" i="12"/>
  <c r="T34" i="12"/>
  <c r="N34" i="12"/>
  <c r="K34" i="12"/>
  <c r="H34" i="12"/>
  <c r="O34" i="12"/>
  <c r="B34" i="12"/>
  <c r="AC33" i="12"/>
  <c r="Z33" i="12"/>
  <c r="W33" i="12"/>
  <c r="AE33" i="12"/>
  <c r="AD33" i="12"/>
  <c r="O33" i="12"/>
  <c r="K33" i="12"/>
  <c r="H33" i="12"/>
  <c r="E33" i="12"/>
  <c r="AC32" i="12"/>
  <c r="Z32" i="12"/>
  <c r="AE32" i="12"/>
  <c r="AD32" i="12"/>
  <c r="T32" i="12"/>
  <c r="N32" i="12"/>
  <c r="K32" i="12"/>
  <c r="H32" i="12"/>
  <c r="P32" i="12"/>
  <c r="O32" i="12"/>
  <c r="B32" i="12"/>
  <c r="AE31" i="12"/>
  <c r="AD31" i="12"/>
  <c r="AC31" i="12"/>
  <c r="Z31" i="12"/>
  <c r="W31" i="12"/>
  <c r="T31" i="12"/>
  <c r="N31" i="12"/>
  <c r="P31" i="12"/>
  <c r="O31" i="12"/>
  <c r="H31" i="12"/>
  <c r="E31" i="12"/>
  <c r="AC30" i="12"/>
  <c r="Z30" i="12"/>
  <c r="AD30" i="12"/>
  <c r="AE30" i="12"/>
  <c r="N30" i="12"/>
  <c r="K30" i="12"/>
  <c r="H30" i="12"/>
  <c r="P30" i="12"/>
  <c r="O30" i="12"/>
  <c r="B30" i="12"/>
  <c r="AD29" i="12"/>
  <c r="AE29" i="12"/>
  <c r="Z29" i="12"/>
  <c r="W29" i="12"/>
  <c r="T29" i="12"/>
  <c r="N29" i="12"/>
  <c r="P29" i="12"/>
  <c r="E29" i="12"/>
  <c r="Z28" i="12"/>
  <c r="P28" i="12"/>
  <c r="N28" i="12"/>
  <c r="K28" i="12"/>
  <c r="G43" i="12"/>
  <c r="E28" i="12"/>
  <c r="O28" i="12"/>
  <c r="AD27" i="12"/>
  <c r="Z27" i="12"/>
  <c r="W27" i="12"/>
  <c r="T27" i="12"/>
  <c r="N27" i="12"/>
  <c r="K27" i="12"/>
  <c r="O27" i="12"/>
  <c r="E27" i="12"/>
  <c r="AC26" i="12"/>
  <c r="Z26" i="12"/>
  <c r="W26" i="12"/>
  <c r="T26" i="12"/>
  <c r="AD26" i="12"/>
  <c r="P26" i="12"/>
  <c r="O26" i="12"/>
  <c r="N26" i="12"/>
  <c r="K26" i="12"/>
  <c r="H26" i="12"/>
  <c r="E26" i="12"/>
  <c r="AC25" i="12"/>
  <c r="AE25" i="12"/>
  <c r="AD25" i="12"/>
  <c r="W25" i="12"/>
  <c r="T25" i="12"/>
  <c r="N25" i="12"/>
  <c r="K25" i="12"/>
  <c r="H25" i="12"/>
  <c r="P25" i="12"/>
  <c r="O25" i="12"/>
  <c r="AC24" i="12"/>
  <c r="Z24" i="12"/>
  <c r="W24" i="12"/>
  <c r="AE24" i="12"/>
  <c r="AD24" i="12"/>
  <c r="P24" i="12"/>
  <c r="O24" i="12"/>
  <c r="K24" i="12"/>
  <c r="H24" i="12"/>
  <c r="E24" i="12"/>
  <c r="AC23" i="12"/>
  <c r="AE23" i="12"/>
  <c r="T23" i="12"/>
  <c r="N23" i="12"/>
  <c r="K23" i="12"/>
  <c r="H23" i="12"/>
  <c r="B23" i="12"/>
  <c r="AE22" i="12"/>
  <c r="AC22" i="12"/>
  <c r="Z22" i="12"/>
  <c r="W22" i="12"/>
  <c r="T22" i="12"/>
  <c r="AD22" i="12"/>
  <c r="O22" i="12"/>
  <c r="P22" i="12"/>
  <c r="H22" i="12"/>
  <c r="E22" i="12"/>
  <c r="AC21" i="12"/>
  <c r="Z21" i="12"/>
  <c r="V42" i="12"/>
  <c r="W42" i="12" s="1"/>
  <c r="U42" i="12"/>
  <c r="T21" i="12"/>
  <c r="AD21" i="12"/>
  <c r="N21" i="12"/>
  <c r="K21" i="12"/>
  <c r="H21" i="12"/>
  <c r="E21" i="12"/>
  <c r="O21" i="12"/>
  <c r="B21" i="12"/>
  <c r="AE20" i="12"/>
  <c r="AD20" i="12"/>
  <c r="AC20" i="12"/>
  <c r="Z20" i="12"/>
  <c r="W20" i="12"/>
  <c r="T20" i="12"/>
  <c r="N20" i="12"/>
  <c r="O20" i="12"/>
  <c r="H20" i="12"/>
  <c r="E20" i="12"/>
  <c r="AC19" i="12"/>
  <c r="Z19" i="12"/>
  <c r="W19" i="12"/>
  <c r="AD19" i="12"/>
  <c r="N19" i="12"/>
  <c r="K19" i="12"/>
  <c r="H19" i="12"/>
  <c r="P19" i="12"/>
  <c r="O19" i="12"/>
  <c r="Z18" i="12"/>
  <c r="W18" i="12"/>
  <c r="T18" i="12"/>
  <c r="N18" i="12"/>
  <c r="E18" i="12"/>
  <c r="AC17" i="12"/>
  <c r="Z17" i="12"/>
  <c r="W17" i="12"/>
  <c r="T17" i="12"/>
  <c r="AD17" i="12"/>
  <c r="P17" i="12"/>
  <c r="O17" i="12"/>
  <c r="N17" i="12"/>
  <c r="K17" i="12"/>
  <c r="H17" i="12"/>
  <c r="E17" i="12"/>
  <c r="AD16" i="12"/>
  <c r="AE16" i="12"/>
  <c r="W16" i="12"/>
  <c r="T16" i="12"/>
  <c r="N16" i="12"/>
  <c r="K16" i="12"/>
  <c r="O16" i="12"/>
  <c r="P16" i="12"/>
  <c r="AC15" i="12"/>
  <c r="Z15" i="12"/>
  <c r="W15" i="12"/>
  <c r="T15" i="12"/>
  <c r="AD15" i="12"/>
  <c r="O15" i="12"/>
  <c r="P15" i="12"/>
  <c r="K15" i="12"/>
  <c r="H15" i="12"/>
  <c r="E15" i="12"/>
  <c r="AC14" i="12"/>
  <c r="AD14" i="12"/>
  <c r="W14" i="12"/>
  <c r="T14" i="12"/>
  <c r="N14" i="12"/>
  <c r="K14" i="12"/>
  <c r="H14" i="12"/>
  <c r="O14" i="12"/>
  <c r="B14" i="12"/>
  <c r="AC13" i="12"/>
  <c r="Z13" i="12"/>
  <c r="W13" i="12"/>
  <c r="AE13" i="12"/>
  <c r="AD13" i="12"/>
  <c r="O13" i="12"/>
  <c r="K13" i="12"/>
  <c r="H13" i="12"/>
  <c r="E13" i="12"/>
  <c r="AC12" i="12"/>
  <c r="Z12" i="12"/>
  <c r="W12" i="12"/>
  <c r="AD12" i="12"/>
  <c r="T12" i="12"/>
  <c r="N12" i="12"/>
  <c r="K12" i="12"/>
  <c r="H12" i="12"/>
  <c r="P12" i="12"/>
  <c r="O12" i="12"/>
  <c r="B12" i="12"/>
  <c r="AE11" i="12"/>
  <c r="AD11" i="12"/>
  <c r="AC11" i="12"/>
  <c r="Z11" i="12"/>
  <c r="W11" i="12"/>
  <c r="T11" i="12"/>
  <c r="N11" i="12"/>
  <c r="L41" i="12"/>
  <c r="P11" i="12"/>
  <c r="O11" i="12"/>
  <c r="H11" i="12"/>
  <c r="E11" i="12"/>
  <c r="AC10" i="12"/>
  <c r="AE10" i="12"/>
  <c r="N10" i="12"/>
  <c r="K10" i="12"/>
  <c r="H10" i="12"/>
  <c r="P10" i="12"/>
  <c r="O10" i="12"/>
  <c r="B10" i="12"/>
  <c r="AD9" i="12"/>
  <c r="AC9" i="12"/>
  <c r="Z9" i="12"/>
  <c r="W9" i="12"/>
  <c r="T9" i="12"/>
  <c r="N9" i="12"/>
  <c r="K9" i="12"/>
  <c r="E9" i="12"/>
  <c r="AB41" i="12"/>
  <c r="W8" i="12"/>
  <c r="P8" i="12"/>
  <c r="N8" i="12"/>
  <c r="M39" i="12"/>
  <c r="K8" i="12"/>
  <c r="O8" i="12"/>
  <c r="B25" i="12"/>
  <c r="E25" i="12" l="1"/>
  <c r="AE8" i="12"/>
  <c r="S41" i="12"/>
  <c r="T8" i="12"/>
  <c r="Z16" i="12"/>
  <c r="X41" i="12"/>
  <c r="P20" i="12"/>
  <c r="K20" i="12"/>
  <c r="Y41" i="12"/>
  <c r="T28" i="12"/>
  <c r="AE28" i="12"/>
  <c r="S43" i="12"/>
  <c r="N24" i="12"/>
  <c r="K41" i="12"/>
  <c r="AD18" i="12"/>
  <c r="AA42" i="12"/>
  <c r="K29" i="12"/>
  <c r="W32" i="12"/>
  <c r="H16" i="12"/>
  <c r="J42" i="12"/>
  <c r="N22" i="12"/>
  <c r="V43" i="12"/>
  <c r="W30" i="12"/>
  <c r="AC36" i="12"/>
  <c r="AE18" i="12"/>
  <c r="AB42" i="12"/>
  <c r="L42" i="12"/>
  <c r="L44" i="12" s="1"/>
  <c r="X43" i="12"/>
  <c r="N35" i="12"/>
  <c r="O23" i="12"/>
  <c r="C42" i="12"/>
  <c r="G42" i="12"/>
  <c r="U43" i="12"/>
  <c r="AC16" i="12"/>
  <c r="X39" i="12"/>
  <c r="O18" i="12"/>
  <c r="O42" i="12" s="1"/>
  <c r="F42" i="12"/>
  <c r="AC41" i="12"/>
  <c r="AB44" i="12"/>
  <c r="S42" i="12"/>
  <c r="AE19" i="12"/>
  <c r="F41" i="12"/>
  <c r="R42" i="12"/>
  <c r="T19" i="12"/>
  <c r="Z25" i="12"/>
  <c r="AA43" i="12"/>
  <c r="E36" i="12"/>
  <c r="H38" i="12"/>
  <c r="H27" i="12"/>
  <c r="P27" i="12"/>
  <c r="R39" i="12"/>
  <c r="AD8" i="12"/>
  <c r="R41" i="12"/>
  <c r="R44" i="12" s="1"/>
  <c r="M43" i="12"/>
  <c r="N33" i="12"/>
  <c r="P33" i="12"/>
  <c r="AC38" i="12"/>
  <c r="AE38" i="12"/>
  <c r="P43" i="12"/>
  <c r="AA39" i="12"/>
  <c r="K22" i="12"/>
  <c r="P34" i="12"/>
  <c r="E34" i="12"/>
  <c r="AC18" i="12"/>
  <c r="I43" i="12"/>
  <c r="O29" i="12"/>
  <c r="K31" i="12"/>
  <c r="T10" i="12"/>
  <c r="E16" i="12"/>
  <c r="H18" i="12"/>
  <c r="T30" i="12"/>
  <c r="Z36" i="12"/>
  <c r="P9" i="12"/>
  <c r="G39" i="12"/>
  <c r="H39" i="12" s="1"/>
  <c r="H9" i="12"/>
  <c r="N15" i="12"/>
  <c r="W21" i="12"/>
  <c r="AE21" i="12"/>
  <c r="AE27" i="12"/>
  <c r="AC27" i="12"/>
  <c r="AC29" i="12"/>
  <c r="H29" i="12"/>
  <c r="T37" i="12"/>
  <c r="AD10" i="12"/>
  <c r="U39" i="12"/>
  <c r="E23" i="12"/>
  <c r="V39" i="12"/>
  <c r="W39" i="12" s="1"/>
  <c r="Y39" i="12"/>
  <c r="R43" i="12"/>
  <c r="AD28" i="12"/>
  <c r="AD43" i="12" s="1"/>
  <c r="AE34" i="12"/>
  <c r="Z34" i="12"/>
  <c r="AA41" i="12"/>
  <c r="J39" i="12"/>
  <c r="O9" i="12"/>
  <c r="O39" i="12" s="1"/>
  <c r="I39" i="12"/>
  <c r="K11" i="12"/>
  <c r="W23" i="12"/>
  <c r="O43" i="12"/>
  <c r="L43" i="12"/>
  <c r="D41" i="12"/>
  <c r="AB43" i="12"/>
  <c r="F39" i="12"/>
  <c r="N13" i="12"/>
  <c r="P13" i="12"/>
  <c r="X42" i="12"/>
  <c r="AD23" i="12"/>
  <c r="J43" i="12"/>
  <c r="K43" i="12" s="1"/>
  <c r="Z14" i="12"/>
  <c r="AE14" i="12"/>
  <c r="U41" i="12"/>
  <c r="S39" i="12"/>
  <c r="AE9" i="12"/>
  <c r="AB39" i="12"/>
  <c r="E14" i="12"/>
  <c r="P14" i="12"/>
  <c r="I42" i="12"/>
  <c r="I44" i="12" s="1"/>
  <c r="G41" i="12"/>
  <c r="L39" i="12"/>
  <c r="N39" i="12" s="1"/>
  <c r="Z23" i="12"/>
  <c r="F43" i="12"/>
  <c r="H43" i="12" s="1"/>
  <c r="Y42" i="12"/>
  <c r="K18" i="12"/>
  <c r="W28" i="12"/>
  <c r="T35" i="12"/>
  <c r="E10" i="12"/>
  <c r="Z10" i="12"/>
  <c r="T24" i="12"/>
  <c r="B37" i="12"/>
  <c r="Z8" i="12"/>
  <c r="B15" i="12"/>
  <c r="B24" i="12"/>
  <c r="B33" i="12"/>
  <c r="B43" i="12"/>
  <c r="D42" i="12"/>
  <c r="E12" i="12"/>
  <c r="B8" i="12"/>
  <c r="E30" i="12"/>
  <c r="H8" i="12"/>
  <c r="AC8" i="12"/>
  <c r="B22" i="12"/>
  <c r="H28" i="12"/>
  <c r="AC28" i="12"/>
  <c r="V41" i="12"/>
  <c r="C43" i="12"/>
  <c r="M41" i="12"/>
  <c r="C39" i="12"/>
  <c r="E19" i="12"/>
  <c r="B11" i="12"/>
  <c r="B31" i="12"/>
  <c r="B41" i="12"/>
  <c r="M42" i="12"/>
  <c r="D43" i="12"/>
  <c r="Y43" i="12"/>
  <c r="B17" i="12"/>
  <c r="T13" i="12"/>
  <c r="B20" i="12"/>
  <c r="C41" i="12"/>
  <c r="E8" i="12"/>
  <c r="B9" i="12"/>
  <c r="P23" i="12"/>
  <c r="B29" i="12"/>
  <c r="AE37" i="12"/>
  <c r="W10" i="12"/>
  <c r="B19" i="12"/>
  <c r="E32" i="12"/>
  <c r="B28" i="12"/>
  <c r="B26" i="12"/>
  <c r="T33" i="12"/>
  <c r="B35" i="12"/>
  <c r="AE12" i="12"/>
  <c r="P18" i="12"/>
  <c r="B13" i="12"/>
  <c r="AE17" i="12"/>
  <c r="B18" i="12"/>
  <c r="AE26" i="12"/>
  <c r="B38" i="12"/>
  <c r="AE15" i="12"/>
  <c r="P21" i="12"/>
  <c r="B27" i="12"/>
  <c r="B36" i="12"/>
  <c r="D39" i="12"/>
  <c r="B16" i="12"/>
  <c r="AC39" i="12" l="1"/>
  <c r="AA44" i="12"/>
  <c r="AC43" i="12"/>
  <c r="U44" i="12"/>
  <c r="AE42" i="12"/>
  <c r="N43" i="12"/>
  <c r="K39" i="12"/>
  <c r="P39" i="12"/>
  <c r="O41" i="12"/>
  <c r="O44" i="12" s="1"/>
  <c r="J44" i="12"/>
  <c r="E39" i="12"/>
  <c r="P41" i="12"/>
  <c r="AC42" i="12"/>
  <c r="H41" i="12"/>
  <c r="G44" i="12"/>
  <c r="N41" i="12"/>
  <c r="M44" i="12"/>
  <c r="Z39" i="12"/>
  <c r="T43" i="12"/>
  <c r="Z41" i="12"/>
  <c r="Y44" i="12"/>
  <c r="E42" i="12"/>
  <c r="E41" i="12"/>
  <c r="D44" i="12"/>
  <c r="F44" i="12"/>
  <c r="W43" i="12"/>
  <c r="S44" i="12"/>
  <c r="T41" i="12"/>
  <c r="AD39" i="12"/>
  <c r="AD41" i="12"/>
  <c r="Z42" i="12"/>
  <c r="Z43" i="12"/>
  <c r="E43" i="12"/>
  <c r="AD42" i="12"/>
  <c r="V44" i="12"/>
  <c r="W41" i="12"/>
  <c r="H42" i="12"/>
  <c r="AE43" i="12"/>
  <c r="C44" i="12"/>
  <c r="X44" i="12"/>
  <c r="AE39" i="12"/>
  <c r="AE41" i="12"/>
  <c r="P42" i="12"/>
  <c r="N42" i="12"/>
  <c r="T39" i="12"/>
  <c r="T42" i="12"/>
  <c r="K42" i="12"/>
  <c r="AE44" i="12" l="1"/>
  <c r="P44" i="12"/>
  <c r="AD44" i="12"/>
  <c r="B4" i="5" l="1"/>
  <c r="AB38" i="5"/>
  <c r="AA38" i="5"/>
  <c r="Y38" i="5"/>
  <c r="X38" i="5"/>
  <c r="V38" i="5"/>
  <c r="U38" i="5"/>
  <c r="S38" i="5"/>
  <c r="R38" i="5"/>
  <c r="M38" i="5"/>
  <c r="L38" i="5"/>
  <c r="J38" i="5"/>
  <c r="I38" i="5"/>
  <c r="G38" i="5"/>
  <c r="F38" i="5"/>
  <c r="D38" i="5"/>
  <c r="C38" i="5"/>
  <c r="AB37" i="5"/>
  <c r="AA37" i="5"/>
  <c r="Y37" i="5"/>
  <c r="X37" i="5"/>
  <c r="V37" i="5"/>
  <c r="U37" i="5"/>
  <c r="W37" i="5" s="1"/>
  <c r="S37" i="5"/>
  <c r="R37" i="5"/>
  <c r="M37" i="5"/>
  <c r="L37" i="5"/>
  <c r="J37" i="5"/>
  <c r="I37" i="5"/>
  <c r="G37" i="5"/>
  <c r="F37" i="5"/>
  <c r="D37" i="5"/>
  <c r="C37" i="5"/>
  <c r="AB36" i="5"/>
  <c r="AC36" i="5" s="1"/>
  <c r="AA36" i="5"/>
  <c r="Y36" i="5"/>
  <c r="X36" i="5"/>
  <c r="V36" i="5"/>
  <c r="U36" i="5"/>
  <c r="S36" i="5"/>
  <c r="R36" i="5"/>
  <c r="M36" i="5"/>
  <c r="L36" i="5"/>
  <c r="J36" i="5"/>
  <c r="I36" i="5"/>
  <c r="G36" i="5"/>
  <c r="F36" i="5"/>
  <c r="D36" i="5"/>
  <c r="C36" i="5"/>
  <c r="AB35" i="5"/>
  <c r="AE35" i="5" s="1"/>
  <c r="AA35" i="5"/>
  <c r="Y35" i="5"/>
  <c r="X35" i="5"/>
  <c r="V35" i="5"/>
  <c r="U35" i="5"/>
  <c r="S35" i="5"/>
  <c r="R35" i="5"/>
  <c r="M35" i="5"/>
  <c r="L35" i="5"/>
  <c r="J35" i="5"/>
  <c r="I35" i="5"/>
  <c r="G35" i="5"/>
  <c r="F35" i="5"/>
  <c r="D35" i="5"/>
  <c r="C35" i="5"/>
  <c r="AB34" i="5"/>
  <c r="AA34" i="5"/>
  <c r="Y34" i="5"/>
  <c r="X34" i="5"/>
  <c r="AD34" i="5" s="1"/>
  <c r="V34" i="5"/>
  <c r="W34" i="5" s="1"/>
  <c r="U34" i="5"/>
  <c r="S34" i="5"/>
  <c r="R34" i="5"/>
  <c r="M34" i="5"/>
  <c r="L34" i="5"/>
  <c r="J34" i="5"/>
  <c r="I34" i="5"/>
  <c r="G34" i="5"/>
  <c r="F34" i="5"/>
  <c r="D34" i="5"/>
  <c r="C34" i="5"/>
  <c r="AB33" i="5"/>
  <c r="AA33" i="5"/>
  <c r="Y33" i="5"/>
  <c r="X33" i="5"/>
  <c r="Z33" i="5" s="1"/>
  <c r="V33" i="5"/>
  <c r="U33" i="5"/>
  <c r="S33" i="5"/>
  <c r="R33" i="5"/>
  <c r="AD33" i="5" s="1"/>
  <c r="M33" i="5"/>
  <c r="L33" i="5"/>
  <c r="J33" i="5"/>
  <c r="I33" i="5"/>
  <c r="G33" i="5"/>
  <c r="F33" i="5"/>
  <c r="D33" i="5"/>
  <c r="C33" i="5"/>
  <c r="O33" i="5" s="1"/>
  <c r="AB32" i="5"/>
  <c r="AA32" i="5"/>
  <c r="Y32" i="5"/>
  <c r="X32" i="5"/>
  <c r="V32" i="5"/>
  <c r="U32" i="5"/>
  <c r="S32" i="5"/>
  <c r="R32" i="5"/>
  <c r="M32" i="5"/>
  <c r="L32" i="5"/>
  <c r="J32" i="5"/>
  <c r="I32" i="5"/>
  <c r="G32" i="5"/>
  <c r="F32" i="5"/>
  <c r="D32" i="5"/>
  <c r="C32" i="5"/>
  <c r="AB31" i="5"/>
  <c r="AA31" i="5"/>
  <c r="Y31" i="5"/>
  <c r="X31" i="5"/>
  <c r="V31" i="5"/>
  <c r="U31" i="5"/>
  <c r="S31" i="5"/>
  <c r="R31" i="5"/>
  <c r="M31" i="5"/>
  <c r="L31" i="5"/>
  <c r="J31" i="5"/>
  <c r="I31" i="5"/>
  <c r="G31" i="5"/>
  <c r="F31" i="5"/>
  <c r="D31" i="5"/>
  <c r="P31" i="5" s="1"/>
  <c r="C31" i="5"/>
  <c r="AB30" i="5"/>
  <c r="AC30" i="5" s="1"/>
  <c r="AA30" i="5"/>
  <c r="Y30" i="5"/>
  <c r="X30" i="5"/>
  <c r="V30" i="5"/>
  <c r="U30" i="5"/>
  <c r="S30" i="5"/>
  <c r="R30" i="5"/>
  <c r="M30" i="5"/>
  <c r="L30" i="5"/>
  <c r="J30" i="5"/>
  <c r="I30" i="5"/>
  <c r="G30" i="5"/>
  <c r="F30" i="5"/>
  <c r="D30" i="5"/>
  <c r="C30" i="5"/>
  <c r="AB29" i="5"/>
  <c r="AA29" i="5"/>
  <c r="Y29" i="5"/>
  <c r="X29" i="5"/>
  <c r="AD29" i="5" s="1"/>
  <c r="V29" i="5"/>
  <c r="AE29" i="5" s="1"/>
  <c r="U29" i="5"/>
  <c r="S29" i="5"/>
  <c r="R29" i="5"/>
  <c r="M29" i="5"/>
  <c r="L29" i="5"/>
  <c r="J29" i="5"/>
  <c r="I29" i="5"/>
  <c r="G29" i="5"/>
  <c r="F29" i="5"/>
  <c r="D29" i="5"/>
  <c r="C29" i="5"/>
  <c r="AB28" i="5"/>
  <c r="AA28" i="5"/>
  <c r="Y28" i="5"/>
  <c r="X28" i="5"/>
  <c r="V28" i="5"/>
  <c r="U28" i="5"/>
  <c r="S28" i="5"/>
  <c r="R28" i="5"/>
  <c r="M28" i="5"/>
  <c r="L28" i="5"/>
  <c r="J28" i="5"/>
  <c r="I28" i="5"/>
  <c r="K28" i="5" s="1"/>
  <c r="G28" i="5"/>
  <c r="F28" i="5"/>
  <c r="D28" i="5"/>
  <c r="C28" i="5"/>
  <c r="AB27" i="5"/>
  <c r="AA27" i="5"/>
  <c r="Y27" i="5"/>
  <c r="X27" i="5"/>
  <c r="V27" i="5"/>
  <c r="U27" i="5"/>
  <c r="S27" i="5"/>
  <c r="R27" i="5"/>
  <c r="M27" i="5"/>
  <c r="L27" i="5"/>
  <c r="J27" i="5"/>
  <c r="I27" i="5"/>
  <c r="G27" i="5"/>
  <c r="F27" i="5"/>
  <c r="D27" i="5"/>
  <c r="C27" i="5"/>
  <c r="AB26" i="5"/>
  <c r="AA26" i="5"/>
  <c r="Y26" i="5"/>
  <c r="X26" i="5"/>
  <c r="V26" i="5"/>
  <c r="AE26" i="5" s="1"/>
  <c r="U26" i="5"/>
  <c r="S26" i="5"/>
  <c r="R26" i="5"/>
  <c r="M26" i="5"/>
  <c r="L26" i="5"/>
  <c r="J26" i="5"/>
  <c r="I26" i="5"/>
  <c r="G26" i="5"/>
  <c r="F26" i="5"/>
  <c r="D26" i="5"/>
  <c r="C26" i="5"/>
  <c r="AB25" i="5"/>
  <c r="AC25" i="5" s="1"/>
  <c r="AA25" i="5"/>
  <c r="Y25" i="5"/>
  <c r="X25" i="5"/>
  <c r="V25" i="5"/>
  <c r="U25" i="5"/>
  <c r="S25" i="5"/>
  <c r="R25" i="5"/>
  <c r="AD25" i="5" s="1"/>
  <c r="M25" i="5"/>
  <c r="L25" i="5"/>
  <c r="J25" i="5"/>
  <c r="I25" i="5"/>
  <c r="G25" i="5"/>
  <c r="F25" i="5"/>
  <c r="D25" i="5"/>
  <c r="C25" i="5"/>
  <c r="AB24" i="5"/>
  <c r="AC24" i="5" s="1"/>
  <c r="AA24" i="5"/>
  <c r="Y24" i="5"/>
  <c r="X24" i="5"/>
  <c r="Z24" i="5" s="1"/>
  <c r="V24" i="5"/>
  <c r="W24" i="5" s="1"/>
  <c r="U24" i="5"/>
  <c r="S24" i="5"/>
  <c r="R24" i="5"/>
  <c r="M24" i="5"/>
  <c r="L24" i="5"/>
  <c r="J24" i="5"/>
  <c r="I24" i="5"/>
  <c r="G24" i="5"/>
  <c r="F24" i="5"/>
  <c r="D24" i="5"/>
  <c r="C24" i="5"/>
  <c r="AB23" i="5"/>
  <c r="AA23" i="5"/>
  <c r="AC23" i="5" s="1"/>
  <c r="Y23" i="5"/>
  <c r="X23" i="5"/>
  <c r="V23" i="5"/>
  <c r="U23" i="5"/>
  <c r="S23" i="5"/>
  <c r="AE23" i="5" s="1"/>
  <c r="R23" i="5"/>
  <c r="M23" i="5"/>
  <c r="N23" i="5" s="1"/>
  <c r="L23" i="5"/>
  <c r="J23" i="5"/>
  <c r="I23" i="5"/>
  <c r="G23" i="5"/>
  <c r="F23" i="5"/>
  <c r="H23" i="5" s="1"/>
  <c r="D23" i="5"/>
  <c r="C23" i="5"/>
  <c r="O23" i="5" s="1"/>
  <c r="AB22" i="5"/>
  <c r="AA22" i="5"/>
  <c r="Y22" i="5"/>
  <c r="X22" i="5"/>
  <c r="Z22" i="5" s="1"/>
  <c r="V22" i="5"/>
  <c r="U22" i="5"/>
  <c r="S22" i="5"/>
  <c r="R22" i="5"/>
  <c r="M22" i="5"/>
  <c r="L22" i="5"/>
  <c r="J22" i="5"/>
  <c r="I22" i="5"/>
  <c r="G22" i="5"/>
  <c r="F22" i="5"/>
  <c r="D22" i="5"/>
  <c r="C22" i="5"/>
  <c r="AB21" i="5"/>
  <c r="AA21" i="5"/>
  <c r="Y21" i="5"/>
  <c r="X21" i="5"/>
  <c r="V21" i="5"/>
  <c r="U21" i="5"/>
  <c r="S21" i="5"/>
  <c r="R21" i="5"/>
  <c r="M21" i="5"/>
  <c r="L21" i="5"/>
  <c r="J21" i="5"/>
  <c r="I21" i="5"/>
  <c r="G21" i="5"/>
  <c r="F21" i="5"/>
  <c r="D21" i="5"/>
  <c r="C21" i="5"/>
  <c r="AB20" i="5"/>
  <c r="AE20" i="5" s="1"/>
  <c r="AA20" i="5"/>
  <c r="Y20" i="5"/>
  <c r="X20" i="5"/>
  <c r="V20" i="5"/>
  <c r="U20" i="5"/>
  <c r="S20" i="5"/>
  <c r="R20" i="5"/>
  <c r="AD20" i="5" s="1"/>
  <c r="M20" i="5"/>
  <c r="L20" i="5"/>
  <c r="J20" i="5"/>
  <c r="I20" i="5"/>
  <c r="G20" i="5"/>
  <c r="F20" i="5"/>
  <c r="D20" i="5"/>
  <c r="C20" i="5"/>
  <c r="AB19" i="5"/>
  <c r="AA19" i="5"/>
  <c r="Y19" i="5"/>
  <c r="X19" i="5"/>
  <c r="V19" i="5"/>
  <c r="W19" i="5" s="1"/>
  <c r="U19" i="5"/>
  <c r="S19" i="5"/>
  <c r="R19" i="5"/>
  <c r="M19" i="5"/>
  <c r="L19" i="5"/>
  <c r="J19" i="5"/>
  <c r="I19" i="5"/>
  <c r="G19" i="5"/>
  <c r="F19" i="5"/>
  <c r="D19" i="5"/>
  <c r="C19" i="5"/>
  <c r="AB18" i="5"/>
  <c r="AA18" i="5"/>
  <c r="Y18" i="5"/>
  <c r="X18" i="5"/>
  <c r="Z18" i="5" s="1"/>
  <c r="V18" i="5"/>
  <c r="U18" i="5"/>
  <c r="U42" i="5" s="1"/>
  <c r="S18" i="5"/>
  <c r="R18" i="5"/>
  <c r="AD18" i="5" s="1"/>
  <c r="M18" i="5"/>
  <c r="L18" i="5"/>
  <c r="J18" i="5"/>
  <c r="I18" i="5"/>
  <c r="G18" i="5"/>
  <c r="F18" i="5"/>
  <c r="D18" i="5"/>
  <c r="C18" i="5"/>
  <c r="O18" i="5" s="1"/>
  <c r="AB17" i="5"/>
  <c r="AA17" i="5"/>
  <c r="Y17" i="5"/>
  <c r="X17" i="5"/>
  <c r="V17" i="5"/>
  <c r="W17" i="5" s="1"/>
  <c r="U17" i="5"/>
  <c r="S17" i="5"/>
  <c r="R17" i="5"/>
  <c r="M17" i="5"/>
  <c r="L17" i="5"/>
  <c r="J17" i="5"/>
  <c r="I17" i="5"/>
  <c r="G17" i="5"/>
  <c r="F17" i="5"/>
  <c r="D17" i="5"/>
  <c r="C17" i="5"/>
  <c r="AB16" i="5"/>
  <c r="AA16" i="5"/>
  <c r="Y16" i="5"/>
  <c r="X16" i="5"/>
  <c r="V16" i="5"/>
  <c r="U16" i="5"/>
  <c r="W16" i="5" s="1"/>
  <c r="S16" i="5"/>
  <c r="R16" i="5"/>
  <c r="M16" i="5"/>
  <c r="L16" i="5"/>
  <c r="J16" i="5"/>
  <c r="I16" i="5"/>
  <c r="G16" i="5"/>
  <c r="F16" i="5"/>
  <c r="D16" i="5"/>
  <c r="C16" i="5"/>
  <c r="AB15" i="5"/>
  <c r="AC15" i="5" s="1"/>
  <c r="AA15" i="5"/>
  <c r="Y15" i="5"/>
  <c r="X15" i="5"/>
  <c r="V15" i="5"/>
  <c r="U15" i="5"/>
  <c r="S15" i="5"/>
  <c r="R15" i="5"/>
  <c r="M15" i="5"/>
  <c r="L15" i="5"/>
  <c r="J15" i="5"/>
  <c r="I15" i="5"/>
  <c r="G15" i="5"/>
  <c r="F15" i="5"/>
  <c r="D15" i="5"/>
  <c r="C15" i="5"/>
  <c r="AB14" i="5"/>
  <c r="AA14" i="5"/>
  <c r="Y14" i="5"/>
  <c r="X14" i="5"/>
  <c r="V14" i="5"/>
  <c r="W14" i="5" s="1"/>
  <c r="U14" i="5"/>
  <c r="S14" i="5"/>
  <c r="R14" i="5"/>
  <c r="M14" i="5"/>
  <c r="L14" i="5"/>
  <c r="J14" i="5"/>
  <c r="I14" i="5"/>
  <c r="G14" i="5"/>
  <c r="F14" i="5"/>
  <c r="D14" i="5"/>
  <c r="C14" i="5"/>
  <c r="AB13" i="5"/>
  <c r="AA13" i="5"/>
  <c r="Y13" i="5"/>
  <c r="X13" i="5"/>
  <c r="V13" i="5"/>
  <c r="U13" i="5"/>
  <c r="S13" i="5"/>
  <c r="R13" i="5"/>
  <c r="M13" i="5"/>
  <c r="L13" i="5"/>
  <c r="J13" i="5"/>
  <c r="I13" i="5"/>
  <c r="G13" i="5"/>
  <c r="F13" i="5"/>
  <c r="D13" i="5"/>
  <c r="C13" i="5"/>
  <c r="O13" i="5" s="1"/>
  <c r="AB12" i="5"/>
  <c r="AA12" i="5"/>
  <c r="Y12" i="5"/>
  <c r="X12" i="5"/>
  <c r="V12" i="5"/>
  <c r="U12" i="5"/>
  <c r="S12" i="5"/>
  <c r="R12" i="5"/>
  <c r="M12" i="5"/>
  <c r="L12" i="5"/>
  <c r="J12" i="5"/>
  <c r="I12" i="5"/>
  <c r="G12" i="5"/>
  <c r="F12" i="5"/>
  <c r="D12" i="5"/>
  <c r="C12" i="5"/>
  <c r="AB11" i="5"/>
  <c r="AA11" i="5"/>
  <c r="Y11" i="5"/>
  <c r="X11" i="5"/>
  <c r="V11" i="5"/>
  <c r="U11" i="5"/>
  <c r="S11" i="5"/>
  <c r="R11" i="5"/>
  <c r="M11" i="5"/>
  <c r="L11" i="5"/>
  <c r="J11" i="5"/>
  <c r="I11" i="5"/>
  <c r="G11" i="5"/>
  <c r="F11" i="5"/>
  <c r="D11" i="5"/>
  <c r="C11" i="5"/>
  <c r="AB10" i="5"/>
  <c r="AC10" i="5" s="1"/>
  <c r="AA10" i="5"/>
  <c r="Y10" i="5"/>
  <c r="X10" i="5"/>
  <c r="V10" i="5"/>
  <c r="U10" i="5"/>
  <c r="S10" i="5"/>
  <c r="R10" i="5"/>
  <c r="M10" i="5"/>
  <c r="L10" i="5"/>
  <c r="J10" i="5"/>
  <c r="I10" i="5"/>
  <c r="G10" i="5"/>
  <c r="F10" i="5"/>
  <c r="D10" i="5"/>
  <c r="C10" i="5"/>
  <c r="AB9" i="5"/>
  <c r="AA9" i="5"/>
  <c r="Y9" i="5"/>
  <c r="X9" i="5"/>
  <c r="V9" i="5"/>
  <c r="W9" i="5" s="1"/>
  <c r="U9" i="5"/>
  <c r="S9" i="5"/>
  <c r="R9" i="5"/>
  <c r="M9" i="5"/>
  <c r="L9" i="5"/>
  <c r="J9" i="5"/>
  <c r="I9" i="5"/>
  <c r="G9" i="5"/>
  <c r="F9" i="5"/>
  <c r="D9" i="5"/>
  <c r="C9" i="5"/>
  <c r="AB8" i="5"/>
  <c r="AA8" i="5"/>
  <c r="Y8" i="5"/>
  <c r="X8" i="5"/>
  <c r="V8" i="5"/>
  <c r="U8" i="5"/>
  <c r="S8" i="5"/>
  <c r="R8" i="5"/>
  <c r="M8" i="5"/>
  <c r="N8" i="5" s="1"/>
  <c r="L8" i="5"/>
  <c r="J8" i="5"/>
  <c r="I8" i="5"/>
  <c r="G8" i="5"/>
  <c r="F8" i="5"/>
  <c r="D8" i="5"/>
  <c r="C8" i="5"/>
  <c r="B42" i="5"/>
  <c r="B43" i="5"/>
  <c r="B37" i="5"/>
  <c r="Z35" i="5"/>
  <c r="AD35" i="5"/>
  <c r="AC33" i="5"/>
  <c r="K33" i="5"/>
  <c r="AC31" i="5"/>
  <c r="T29" i="5"/>
  <c r="AC26" i="5"/>
  <c r="Z26" i="5"/>
  <c r="AD26" i="5"/>
  <c r="K23" i="5"/>
  <c r="B21" i="5"/>
  <c r="K18" i="5"/>
  <c r="T16" i="5"/>
  <c r="T14" i="5"/>
  <c r="W10" i="5"/>
  <c r="K8" i="5"/>
  <c r="E8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H8" i="4"/>
  <c r="B4" i="4"/>
  <c r="Z9" i="5" l="1"/>
  <c r="Z29" i="5"/>
  <c r="T38" i="5"/>
  <c r="W8" i="5"/>
  <c r="W18" i="5"/>
  <c r="W33" i="5"/>
  <c r="Z13" i="5"/>
  <c r="T32" i="5"/>
  <c r="Z38" i="5"/>
  <c r="W12" i="5"/>
  <c r="AC13" i="5"/>
  <c r="W22" i="5"/>
  <c r="W27" i="5"/>
  <c r="Z16" i="5"/>
  <c r="Z31" i="5"/>
  <c r="AD14" i="5"/>
  <c r="AC9" i="5"/>
  <c r="AC14" i="5"/>
  <c r="T12" i="5"/>
  <c r="T27" i="5"/>
  <c r="AC22" i="5"/>
  <c r="W25" i="5"/>
  <c r="AE24" i="5"/>
  <c r="K17" i="5"/>
  <c r="E21" i="5"/>
  <c r="K27" i="5"/>
  <c r="K32" i="5"/>
  <c r="P37" i="5"/>
  <c r="E26" i="5"/>
  <c r="K12" i="5"/>
  <c r="K22" i="5"/>
  <c r="E36" i="5"/>
  <c r="H20" i="5"/>
  <c r="E11" i="5"/>
  <c r="P34" i="5"/>
  <c r="P8" i="5"/>
  <c r="P13" i="5"/>
  <c r="P28" i="5"/>
  <c r="P33" i="5"/>
  <c r="N28" i="5"/>
  <c r="AD23" i="5"/>
  <c r="AD28" i="5"/>
  <c r="AD38" i="5"/>
  <c r="W13" i="5"/>
  <c r="AC19" i="5"/>
  <c r="AC35" i="5"/>
  <c r="AD17" i="5"/>
  <c r="AA42" i="5"/>
  <c r="AD22" i="5"/>
  <c r="AC18" i="5"/>
  <c r="AD11" i="5"/>
  <c r="AD16" i="5"/>
  <c r="AD31" i="5"/>
  <c r="X43" i="5"/>
  <c r="AD36" i="5"/>
  <c r="AD37" i="5"/>
  <c r="AC20" i="5"/>
  <c r="AE11" i="5"/>
  <c r="Z12" i="5"/>
  <c r="AE16" i="5"/>
  <c r="Z17" i="5"/>
  <c r="T21" i="5"/>
  <c r="AE22" i="5"/>
  <c r="Z27" i="5"/>
  <c r="AE31" i="5"/>
  <c r="Z32" i="5"/>
  <c r="T36" i="5"/>
  <c r="Z37" i="5"/>
  <c r="Z36" i="5"/>
  <c r="W35" i="5"/>
  <c r="X42" i="5"/>
  <c r="W11" i="5"/>
  <c r="AC37" i="5"/>
  <c r="AE15" i="5"/>
  <c r="AE25" i="5"/>
  <c r="W20" i="5"/>
  <c r="V43" i="5"/>
  <c r="AD9" i="5"/>
  <c r="AD24" i="5"/>
  <c r="T23" i="5"/>
  <c r="T9" i="5"/>
  <c r="Z15" i="5"/>
  <c r="Z20" i="5"/>
  <c r="Z30" i="5"/>
  <c r="AE34" i="5"/>
  <c r="AD13" i="5"/>
  <c r="AC34" i="5"/>
  <c r="V42" i="5"/>
  <c r="W28" i="5"/>
  <c r="W29" i="5"/>
  <c r="AA41" i="5"/>
  <c r="AB41" i="5"/>
  <c r="AC41" i="5" s="1"/>
  <c r="AC17" i="5"/>
  <c r="W31" i="5"/>
  <c r="W36" i="5"/>
  <c r="Z11" i="5"/>
  <c r="T20" i="5"/>
  <c r="Z21" i="5"/>
  <c r="AE30" i="5"/>
  <c r="T35" i="5"/>
  <c r="AC11" i="5"/>
  <c r="AC21" i="5"/>
  <c r="E15" i="5"/>
  <c r="H10" i="5"/>
  <c r="H15" i="5"/>
  <c r="N21" i="5"/>
  <c r="H25" i="5"/>
  <c r="N31" i="5"/>
  <c r="N36" i="5"/>
  <c r="E9" i="5"/>
  <c r="P10" i="5"/>
  <c r="K15" i="5"/>
  <c r="E24" i="5"/>
  <c r="P25" i="5"/>
  <c r="P30" i="5"/>
  <c r="P35" i="5"/>
  <c r="E22" i="5"/>
  <c r="E27" i="5"/>
  <c r="H22" i="5"/>
  <c r="O11" i="5"/>
  <c r="O16" i="5"/>
  <c r="N17" i="5"/>
  <c r="O21" i="5"/>
  <c r="O26" i="5"/>
  <c r="O31" i="5"/>
  <c r="O36" i="5"/>
  <c r="K16" i="5"/>
  <c r="E20" i="5"/>
  <c r="K21" i="5"/>
  <c r="K26" i="5"/>
  <c r="E35" i="5"/>
  <c r="K36" i="5"/>
  <c r="N10" i="5"/>
  <c r="H29" i="5"/>
  <c r="E37" i="5"/>
  <c r="K35" i="5"/>
  <c r="H17" i="5"/>
  <c r="H37" i="5"/>
  <c r="H11" i="5"/>
  <c r="O27" i="5"/>
  <c r="N12" i="5"/>
  <c r="G42" i="5"/>
  <c r="N27" i="5"/>
  <c r="F42" i="5"/>
  <c r="L42" i="5"/>
  <c r="O37" i="5"/>
  <c r="O10" i="5"/>
  <c r="K37" i="5"/>
  <c r="N37" i="5"/>
  <c r="P12" i="5"/>
  <c r="F41" i="5"/>
  <c r="H14" i="5"/>
  <c r="N15" i="5"/>
  <c r="H19" i="5"/>
  <c r="N20" i="5"/>
  <c r="H24" i="5"/>
  <c r="N25" i="5"/>
  <c r="N30" i="5"/>
  <c r="H34" i="5"/>
  <c r="D41" i="5"/>
  <c r="E41" i="5" s="1"/>
  <c r="J41" i="5"/>
  <c r="E18" i="5"/>
  <c r="K19" i="5"/>
  <c r="K24" i="5"/>
  <c r="E33" i="5"/>
  <c r="K34" i="5"/>
  <c r="E38" i="5"/>
  <c r="E31" i="5"/>
  <c r="F39" i="5"/>
  <c r="L41" i="5"/>
  <c r="F43" i="5"/>
  <c r="L43" i="5"/>
  <c r="M41" i="5"/>
  <c r="H13" i="5"/>
  <c r="N14" i="5"/>
  <c r="H18" i="5"/>
  <c r="N19" i="5"/>
  <c r="N24" i="5"/>
  <c r="H33" i="5"/>
  <c r="N34" i="5"/>
  <c r="I41" i="5"/>
  <c r="O12" i="5"/>
  <c r="O17" i="5"/>
  <c r="O22" i="5"/>
  <c r="O32" i="5"/>
  <c r="P21" i="5"/>
  <c r="K13" i="5"/>
  <c r="P17" i="5"/>
  <c r="P22" i="5"/>
  <c r="P32" i="5"/>
  <c r="K38" i="5"/>
  <c r="E17" i="5"/>
  <c r="N11" i="5"/>
  <c r="N16" i="5"/>
  <c r="N26" i="5"/>
  <c r="H30" i="5"/>
  <c r="H35" i="5"/>
  <c r="P16" i="5"/>
  <c r="P26" i="5"/>
  <c r="H31" i="5"/>
  <c r="N32" i="5"/>
  <c r="H36" i="5"/>
  <c r="K10" i="5"/>
  <c r="O14" i="5"/>
  <c r="O15" i="5"/>
  <c r="O20" i="5"/>
  <c r="O24" i="5"/>
  <c r="O25" i="5"/>
  <c r="E29" i="5"/>
  <c r="O30" i="5"/>
  <c r="O34" i="5"/>
  <c r="O35" i="5"/>
  <c r="W42" i="5"/>
  <c r="S42" i="5"/>
  <c r="T31" i="5"/>
  <c r="B15" i="5"/>
  <c r="B17" i="5"/>
  <c r="E13" i="5"/>
  <c r="P15" i="5"/>
  <c r="T25" i="5"/>
  <c r="B30" i="5"/>
  <c r="AE37" i="5"/>
  <c r="T11" i="5"/>
  <c r="T15" i="5"/>
  <c r="B28" i="5"/>
  <c r="K30" i="5"/>
  <c r="T34" i="5"/>
  <c r="Y39" i="5"/>
  <c r="B34" i="5"/>
  <c r="B9" i="5"/>
  <c r="B32" i="5"/>
  <c r="B36" i="5"/>
  <c r="AE17" i="5"/>
  <c r="B24" i="5"/>
  <c r="B26" i="5"/>
  <c r="D43" i="5"/>
  <c r="B33" i="5"/>
  <c r="W38" i="5"/>
  <c r="B16" i="5"/>
  <c r="B10" i="5"/>
  <c r="B14" i="5"/>
  <c r="B25" i="5"/>
  <c r="B35" i="5"/>
  <c r="B23" i="5"/>
  <c r="B13" i="5"/>
  <c r="H26" i="5"/>
  <c r="B8" i="5"/>
  <c r="B12" i="5"/>
  <c r="W15" i="5"/>
  <c r="Z10" i="5"/>
  <c r="N38" i="5"/>
  <c r="AA39" i="5"/>
  <c r="AC12" i="5"/>
  <c r="T24" i="5"/>
  <c r="G41" i="5"/>
  <c r="P14" i="5"/>
  <c r="E14" i="5"/>
  <c r="AD27" i="5"/>
  <c r="AD32" i="5"/>
  <c r="W23" i="5"/>
  <c r="Z25" i="5"/>
  <c r="W26" i="5"/>
  <c r="T30" i="5"/>
  <c r="AE32" i="5"/>
  <c r="W32" i="5"/>
  <c r="M43" i="5"/>
  <c r="N35" i="5"/>
  <c r="O8" i="5"/>
  <c r="C41" i="5"/>
  <c r="C39" i="5"/>
  <c r="AE28" i="5"/>
  <c r="T28" i="5"/>
  <c r="O19" i="5"/>
  <c r="C42" i="5"/>
  <c r="L39" i="5"/>
  <c r="AE27" i="5"/>
  <c r="AC27" i="5"/>
  <c r="J39" i="5"/>
  <c r="AB42" i="5"/>
  <c r="AC42" i="5" s="1"/>
  <c r="AC29" i="5"/>
  <c r="P9" i="5"/>
  <c r="G39" i="5"/>
  <c r="E16" i="5"/>
  <c r="AC32" i="5"/>
  <c r="H12" i="5"/>
  <c r="R39" i="5"/>
  <c r="R41" i="5"/>
  <c r="AD8" i="5"/>
  <c r="N9" i="5"/>
  <c r="P23" i="5"/>
  <c r="E25" i="5"/>
  <c r="N29" i="5"/>
  <c r="H9" i="5"/>
  <c r="Z23" i="5"/>
  <c r="AE8" i="5"/>
  <c r="S41" i="5"/>
  <c r="T8" i="5"/>
  <c r="N13" i="5"/>
  <c r="G43" i="5"/>
  <c r="S39" i="5"/>
  <c r="R43" i="5"/>
  <c r="E10" i="5"/>
  <c r="P20" i="5"/>
  <c r="J42" i="5"/>
  <c r="K20" i="5"/>
  <c r="H21" i="5"/>
  <c r="D39" i="5"/>
  <c r="U41" i="5"/>
  <c r="I42" i="5"/>
  <c r="P27" i="5"/>
  <c r="H27" i="5"/>
  <c r="P29" i="5"/>
  <c r="P36" i="5"/>
  <c r="AE36" i="5"/>
  <c r="S43" i="5"/>
  <c r="P19" i="5"/>
  <c r="E19" i="5"/>
  <c r="AA43" i="5"/>
  <c r="AA44" i="5" s="1"/>
  <c r="AE38" i="5"/>
  <c r="AC38" i="5"/>
  <c r="V41" i="5"/>
  <c r="AD19" i="5"/>
  <c r="J43" i="5"/>
  <c r="AD30" i="5"/>
  <c r="U43" i="5"/>
  <c r="AC16" i="5"/>
  <c r="Z28" i="5"/>
  <c r="O28" i="5"/>
  <c r="C43" i="5"/>
  <c r="K11" i="5"/>
  <c r="AE10" i="5"/>
  <c r="AD15" i="5"/>
  <c r="AE19" i="5"/>
  <c r="K25" i="5"/>
  <c r="I43" i="5"/>
  <c r="O29" i="5"/>
  <c r="E30" i="5"/>
  <c r="AE33" i="5"/>
  <c r="T33" i="5"/>
  <c r="M39" i="5"/>
  <c r="AE13" i="5"/>
  <c r="T13" i="5"/>
  <c r="X41" i="5"/>
  <c r="X39" i="5"/>
  <c r="T10" i="5"/>
  <c r="AD12" i="5"/>
  <c r="M42" i="5"/>
  <c r="N42" i="5" s="1"/>
  <c r="N18" i="5"/>
  <c r="T19" i="5"/>
  <c r="AD21" i="5"/>
  <c r="N22" i="5"/>
  <c r="K29" i="5"/>
  <c r="H32" i="5"/>
  <c r="O38" i="5"/>
  <c r="T22" i="5"/>
  <c r="Z19" i="5"/>
  <c r="AE21" i="5"/>
  <c r="W21" i="5"/>
  <c r="AB39" i="5"/>
  <c r="AC39" i="5" s="1"/>
  <c r="AE9" i="5"/>
  <c r="I39" i="5"/>
  <c r="O9" i="5"/>
  <c r="K14" i="5"/>
  <c r="AB43" i="5"/>
  <c r="H16" i="5"/>
  <c r="P11" i="5"/>
  <c r="Y41" i="5"/>
  <c r="AD10" i="5"/>
  <c r="U39" i="5"/>
  <c r="AE14" i="5"/>
  <c r="Z14" i="5"/>
  <c r="R42" i="5"/>
  <c r="K31" i="5"/>
  <c r="P38" i="5"/>
  <c r="H38" i="5"/>
  <c r="N33" i="5"/>
  <c r="E34" i="5"/>
  <c r="Z34" i="5"/>
  <c r="V39" i="5"/>
  <c r="K9" i="5"/>
  <c r="T17" i="5"/>
  <c r="AE18" i="5"/>
  <c r="E23" i="5"/>
  <c r="P24" i="5"/>
  <c r="W30" i="5"/>
  <c r="T37" i="5"/>
  <c r="D42" i="5"/>
  <c r="Y42" i="5"/>
  <c r="E12" i="5"/>
  <c r="B19" i="5"/>
  <c r="T26" i="5"/>
  <c r="E32" i="5"/>
  <c r="E8" i="5"/>
  <c r="P18" i="5"/>
  <c r="H8" i="5"/>
  <c r="AC8" i="5"/>
  <c r="B22" i="5"/>
  <c r="H28" i="5"/>
  <c r="AC28" i="5"/>
  <c r="Z8" i="5"/>
  <c r="E28" i="5"/>
  <c r="B11" i="5"/>
  <c r="T18" i="5"/>
  <c r="B31" i="5"/>
  <c r="B41" i="5"/>
  <c r="Y43" i="5"/>
  <c r="AE12" i="5"/>
  <c r="B20" i="5"/>
  <c r="B29" i="5"/>
  <c r="B18" i="5"/>
  <c r="B38" i="5"/>
  <c r="B27" i="5"/>
  <c r="O42" i="5" l="1"/>
  <c r="Z42" i="5"/>
  <c r="Z39" i="5"/>
  <c r="T42" i="5"/>
  <c r="Z43" i="5"/>
  <c r="W43" i="5"/>
  <c r="AC43" i="5"/>
  <c r="X44" i="5"/>
  <c r="H42" i="5"/>
  <c r="F44" i="5"/>
  <c r="N41" i="5"/>
  <c r="K41" i="5"/>
  <c r="H43" i="5"/>
  <c r="E43" i="5"/>
  <c r="H39" i="5"/>
  <c r="E39" i="5"/>
  <c r="K43" i="5"/>
  <c r="N43" i="5"/>
  <c r="L44" i="5"/>
  <c r="P43" i="5"/>
  <c r="AD42" i="5"/>
  <c r="K39" i="5"/>
  <c r="I44" i="5"/>
  <c r="O43" i="5"/>
  <c r="U44" i="5"/>
  <c r="AD43" i="5"/>
  <c r="E42" i="5"/>
  <c r="P39" i="5"/>
  <c r="R44" i="5"/>
  <c r="Z41" i="5"/>
  <c r="Y44" i="5"/>
  <c r="AE42" i="5"/>
  <c r="W39" i="5"/>
  <c r="N39" i="5"/>
  <c r="O39" i="5"/>
  <c r="O41" i="5"/>
  <c r="T39" i="5"/>
  <c r="P41" i="5"/>
  <c r="AE39" i="5"/>
  <c r="AE41" i="5"/>
  <c r="AE43" i="5"/>
  <c r="AD39" i="5"/>
  <c r="AD41" i="5"/>
  <c r="C44" i="5"/>
  <c r="H41" i="5"/>
  <c r="G44" i="5"/>
  <c r="K42" i="5"/>
  <c r="V44" i="5"/>
  <c r="W41" i="5"/>
  <c r="AB44" i="5"/>
  <c r="M44" i="5"/>
  <c r="D44" i="5"/>
  <c r="P42" i="5"/>
  <c r="T43" i="5"/>
  <c r="T41" i="5"/>
  <c r="S44" i="5"/>
  <c r="J44" i="5"/>
  <c r="P44" i="5" l="1"/>
  <c r="O44" i="5"/>
  <c r="AD44" i="5"/>
  <c r="AE44" i="5"/>
  <c r="B43" i="11" l="1"/>
  <c r="B42" i="11"/>
  <c r="B41" i="11"/>
  <c r="AB38" i="11"/>
  <c r="AA38" i="11"/>
  <c r="Y38" i="11"/>
  <c r="X38" i="11"/>
  <c r="V38" i="11"/>
  <c r="U38" i="11"/>
  <c r="S38" i="11"/>
  <c r="R38" i="11"/>
  <c r="M38" i="11"/>
  <c r="L38" i="11"/>
  <c r="J38" i="11"/>
  <c r="I38" i="11"/>
  <c r="G38" i="11"/>
  <c r="F38" i="11"/>
  <c r="D38" i="11"/>
  <c r="C38" i="11"/>
  <c r="B38" i="11"/>
  <c r="AB37" i="11"/>
  <c r="AA37" i="11"/>
  <c r="Y37" i="11"/>
  <c r="X37" i="11"/>
  <c r="V37" i="11"/>
  <c r="U37" i="11"/>
  <c r="S37" i="11"/>
  <c r="R37" i="11"/>
  <c r="M37" i="11"/>
  <c r="L37" i="11"/>
  <c r="J37" i="11"/>
  <c r="I37" i="11"/>
  <c r="G37" i="11"/>
  <c r="F37" i="11"/>
  <c r="D37" i="11"/>
  <c r="C37" i="11"/>
  <c r="B37" i="11"/>
  <c r="AB36" i="11"/>
  <c r="AA36" i="11"/>
  <c r="Y36" i="11"/>
  <c r="X36" i="11"/>
  <c r="V36" i="11"/>
  <c r="U36" i="11"/>
  <c r="S36" i="11"/>
  <c r="R36" i="11"/>
  <c r="M36" i="11"/>
  <c r="L36" i="11"/>
  <c r="J36" i="11"/>
  <c r="I36" i="11"/>
  <c r="K36" i="11" s="1"/>
  <c r="G36" i="11"/>
  <c r="F36" i="11"/>
  <c r="D36" i="11"/>
  <c r="C36" i="11"/>
  <c r="B36" i="11"/>
  <c r="AB35" i="11"/>
  <c r="AA35" i="11"/>
  <c r="Y35" i="11"/>
  <c r="X35" i="11"/>
  <c r="V35" i="11"/>
  <c r="U35" i="11"/>
  <c r="S35" i="11"/>
  <c r="R35" i="11"/>
  <c r="M35" i="11"/>
  <c r="L35" i="11"/>
  <c r="J35" i="11"/>
  <c r="I35" i="11"/>
  <c r="G35" i="11"/>
  <c r="F35" i="11"/>
  <c r="D35" i="11"/>
  <c r="C35" i="11"/>
  <c r="B35" i="11"/>
  <c r="AB34" i="11"/>
  <c r="AA34" i="11"/>
  <c r="Y34" i="11"/>
  <c r="X34" i="11"/>
  <c r="V34" i="11"/>
  <c r="U34" i="11"/>
  <c r="S34" i="11"/>
  <c r="R34" i="11"/>
  <c r="M34" i="11"/>
  <c r="L34" i="11"/>
  <c r="J34" i="11"/>
  <c r="I34" i="11"/>
  <c r="K34" i="11" s="1"/>
  <c r="G34" i="11"/>
  <c r="F34" i="11"/>
  <c r="D34" i="11"/>
  <c r="C34" i="11"/>
  <c r="B34" i="11"/>
  <c r="AB33" i="11"/>
  <c r="AA33" i="11"/>
  <c r="Y33" i="11"/>
  <c r="X33" i="11"/>
  <c r="V33" i="11"/>
  <c r="U33" i="11"/>
  <c r="S33" i="11"/>
  <c r="R33" i="11"/>
  <c r="M33" i="11"/>
  <c r="L33" i="11"/>
  <c r="J33" i="11"/>
  <c r="I33" i="11"/>
  <c r="G33" i="11"/>
  <c r="F33" i="11"/>
  <c r="D33" i="11"/>
  <c r="C33" i="11"/>
  <c r="B33" i="11"/>
  <c r="AB32" i="11"/>
  <c r="AA32" i="11"/>
  <c r="Y32" i="11"/>
  <c r="X32" i="11"/>
  <c r="V32" i="11"/>
  <c r="U32" i="11"/>
  <c r="S32" i="11"/>
  <c r="R32" i="11"/>
  <c r="M32" i="11"/>
  <c r="L32" i="11"/>
  <c r="J32" i="11"/>
  <c r="I32" i="11"/>
  <c r="G32" i="11"/>
  <c r="F32" i="11"/>
  <c r="D32" i="11"/>
  <c r="C32" i="11"/>
  <c r="B32" i="11"/>
  <c r="AB31" i="11"/>
  <c r="AA31" i="11"/>
  <c r="Y31" i="11"/>
  <c r="X31" i="11"/>
  <c r="V31" i="11"/>
  <c r="U31" i="11"/>
  <c r="S31" i="11"/>
  <c r="R31" i="11"/>
  <c r="M31" i="11"/>
  <c r="L31" i="11"/>
  <c r="J31" i="11"/>
  <c r="I31" i="11"/>
  <c r="G31" i="11"/>
  <c r="F31" i="11"/>
  <c r="D31" i="11"/>
  <c r="C31" i="11"/>
  <c r="B31" i="11"/>
  <c r="AB30" i="11"/>
  <c r="AA30" i="11"/>
  <c r="Y30" i="11"/>
  <c r="X30" i="11"/>
  <c r="V30" i="11"/>
  <c r="U30" i="11"/>
  <c r="S30" i="11"/>
  <c r="R30" i="11"/>
  <c r="M30" i="11"/>
  <c r="L30" i="11"/>
  <c r="J30" i="11"/>
  <c r="I30" i="11"/>
  <c r="K30" i="11" s="1"/>
  <c r="G30" i="11"/>
  <c r="F30" i="11"/>
  <c r="D30" i="11"/>
  <c r="C30" i="11"/>
  <c r="B30" i="11"/>
  <c r="AB29" i="11"/>
  <c r="AA29" i="11"/>
  <c r="Y29" i="11"/>
  <c r="X29" i="11"/>
  <c r="V29" i="11"/>
  <c r="U29" i="11"/>
  <c r="S29" i="11"/>
  <c r="R29" i="11"/>
  <c r="M29" i="11"/>
  <c r="L29" i="11"/>
  <c r="J29" i="11"/>
  <c r="I29" i="11"/>
  <c r="G29" i="11"/>
  <c r="F29" i="11"/>
  <c r="D29" i="11"/>
  <c r="C29" i="11"/>
  <c r="B29" i="11"/>
  <c r="AB28" i="11"/>
  <c r="AA28" i="11"/>
  <c r="Y28" i="11"/>
  <c r="X28" i="11"/>
  <c r="Z28" i="11" s="1"/>
  <c r="V28" i="11"/>
  <c r="U28" i="11"/>
  <c r="S28" i="11"/>
  <c r="R28" i="11"/>
  <c r="M28" i="11"/>
  <c r="L28" i="11"/>
  <c r="J28" i="11"/>
  <c r="I28" i="11"/>
  <c r="G28" i="11"/>
  <c r="F28" i="11"/>
  <c r="D28" i="11"/>
  <c r="C28" i="11"/>
  <c r="B28" i="11"/>
  <c r="AB27" i="11"/>
  <c r="AA27" i="11"/>
  <c r="Y27" i="11"/>
  <c r="X27" i="11"/>
  <c r="V27" i="11"/>
  <c r="U27" i="11"/>
  <c r="S27" i="11"/>
  <c r="R27" i="11"/>
  <c r="M27" i="11"/>
  <c r="L27" i="11"/>
  <c r="J27" i="11"/>
  <c r="I27" i="11"/>
  <c r="G27" i="11"/>
  <c r="F27" i="11"/>
  <c r="D27" i="11"/>
  <c r="C27" i="11"/>
  <c r="B27" i="11"/>
  <c r="AB26" i="11"/>
  <c r="AA26" i="11"/>
  <c r="Y26" i="11"/>
  <c r="X26" i="11"/>
  <c r="V26" i="11"/>
  <c r="U26" i="11"/>
  <c r="S26" i="11"/>
  <c r="R26" i="11"/>
  <c r="M26" i="11"/>
  <c r="L26" i="11"/>
  <c r="J26" i="11"/>
  <c r="I26" i="11"/>
  <c r="G26" i="11"/>
  <c r="F26" i="11"/>
  <c r="D26" i="11"/>
  <c r="C26" i="11"/>
  <c r="B26" i="11"/>
  <c r="AB25" i="11"/>
  <c r="AA25" i="11"/>
  <c r="Y25" i="11"/>
  <c r="X25" i="11"/>
  <c r="V25" i="11"/>
  <c r="U25" i="11"/>
  <c r="S25" i="11"/>
  <c r="R25" i="11"/>
  <c r="M25" i="11"/>
  <c r="L25" i="11"/>
  <c r="J25" i="11"/>
  <c r="I25" i="11"/>
  <c r="G25" i="11"/>
  <c r="F25" i="11"/>
  <c r="D25" i="11"/>
  <c r="C25" i="11"/>
  <c r="B25" i="11"/>
  <c r="AB24" i="11"/>
  <c r="AA24" i="11"/>
  <c r="Y24" i="11"/>
  <c r="X24" i="11"/>
  <c r="V24" i="11"/>
  <c r="U24" i="11"/>
  <c r="S24" i="11"/>
  <c r="R24" i="11"/>
  <c r="M24" i="11"/>
  <c r="L24" i="11"/>
  <c r="J24" i="11"/>
  <c r="I24" i="11"/>
  <c r="G24" i="11"/>
  <c r="F24" i="11"/>
  <c r="D24" i="11"/>
  <c r="C24" i="11"/>
  <c r="B24" i="11"/>
  <c r="AB23" i="11"/>
  <c r="AA23" i="11"/>
  <c r="Y23" i="11"/>
  <c r="X23" i="11"/>
  <c r="V23" i="11"/>
  <c r="U23" i="11"/>
  <c r="S23" i="11"/>
  <c r="R23" i="11"/>
  <c r="M23" i="11"/>
  <c r="L23" i="11"/>
  <c r="J23" i="11"/>
  <c r="I23" i="11"/>
  <c r="G23" i="11"/>
  <c r="F23" i="11"/>
  <c r="D23" i="11"/>
  <c r="C23" i="11"/>
  <c r="B23" i="11"/>
  <c r="AB22" i="11"/>
  <c r="AA22" i="11"/>
  <c r="Y22" i="11"/>
  <c r="X22" i="11"/>
  <c r="V22" i="11"/>
  <c r="U22" i="11"/>
  <c r="S22" i="11"/>
  <c r="R22" i="11"/>
  <c r="M22" i="11"/>
  <c r="L22" i="11"/>
  <c r="J22" i="11"/>
  <c r="I22" i="11"/>
  <c r="G22" i="11"/>
  <c r="F22" i="11"/>
  <c r="D22" i="11"/>
  <c r="C22" i="11"/>
  <c r="B22" i="11"/>
  <c r="AB21" i="11"/>
  <c r="AA21" i="11"/>
  <c r="AC21" i="11" s="1"/>
  <c r="Y21" i="11"/>
  <c r="X21" i="11"/>
  <c r="V21" i="11"/>
  <c r="U21" i="11"/>
  <c r="S21" i="11"/>
  <c r="R21" i="11"/>
  <c r="M21" i="11"/>
  <c r="L21" i="11"/>
  <c r="J21" i="11"/>
  <c r="I21" i="11"/>
  <c r="G21" i="11"/>
  <c r="F21" i="11"/>
  <c r="D21" i="11"/>
  <c r="C21" i="11"/>
  <c r="B21" i="11"/>
  <c r="AB20" i="11"/>
  <c r="AA20" i="11"/>
  <c r="Y20" i="11"/>
  <c r="X20" i="11"/>
  <c r="V20" i="11"/>
  <c r="U20" i="11"/>
  <c r="S20" i="11"/>
  <c r="R20" i="11"/>
  <c r="M20" i="11"/>
  <c r="L20" i="11"/>
  <c r="J20" i="11"/>
  <c r="I20" i="11"/>
  <c r="G20" i="11"/>
  <c r="F20" i="11"/>
  <c r="D20" i="11"/>
  <c r="C20" i="11"/>
  <c r="B20" i="11"/>
  <c r="AB19" i="11"/>
  <c r="AA19" i="11"/>
  <c r="Y19" i="11"/>
  <c r="X19" i="11"/>
  <c r="V19" i="11"/>
  <c r="U19" i="11"/>
  <c r="S19" i="11"/>
  <c r="R19" i="11"/>
  <c r="M19" i="11"/>
  <c r="L19" i="11"/>
  <c r="J19" i="11"/>
  <c r="I19" i="11"/>
  <c r="G19" i="11"/>
  <c r="F19" i="11"/>
  <c r="D19" i="11"/>
  <c r="C19" i="11"/>
  <c r="B19" i="11"/>
  <c r="AB18" i="11"/>
  <c r="AA18" i="11"/>
  <c r="Y18" i="11"/>
  <c r="X18" i="11"/>
  <c r="V18" i="11"/>
  <c r="U18" i="11"/>
  <c r="S18" i="11"/>
  <c r="R18" i="11"/>
  <c r="M18" i="11"/>
  <c r="L18" i="11"/>
  <c r="J18" i="11"/>
  <c r="I18" i="11"/>
  <c r="G18" i="11"/>
  <c r="F18" i="11"/>
  <c r="D18" i="11"/>
  <c r="P18" i="11" s="1"/>
  <c r="C18" i="11"/>
  <c r="B18" i="11"/>
  <c r="AB17" i="11"/>
  <c r="AA17" i="11"/>
  <c r="Y17" i="11"/>
  <c r="X17" i="11"/>
  <c r="V17" i="11"/>
  <c r="U17" i="11"/>
  <c r="S17" i="11"/>
  <c r="R17" i="11"/>
  <c r="M17" i="11"/>
  <c r="L17" i="11"/>
  <c r="J17" i="11"/>
  <c r="I17" i="11"/>
  <c r="G17" i="11"/>
  <c r="F17" i="11"/>
  <c r="D17" i="11"/>
  <c r="C17" i="11"/>
  <c r="B17" i="11"/>
  <c r="AB16" i="11"/>
  <c r="AA16" i="11"/>
  <c r="Y16" i="11"/>
  <c r="X16" i="11"/>
  <c r="V16" i="11"/>
  <c r="U16" i="11"/>
  <c r="S16" i="11"/>
  <c r="R16" i="11"/>
  <c r="M16" i="11"/>
  <c r="L16" i="11"/>
  <c r="J16" i="11"/>
  <c r="I16" i="11"/>
  <c r="G16" i="11"/>
  <c r="F16" i="11"/>
  <c r="D16" i="11"/>
  <c r="C16" i="11"/>
  <c r="B16" i="11"/>
  <c r="AB15" i="11"/>
  <c r="AA15" i="11"/>
  <c r="Y15" i="11"/>
  <c r="X15" i="11"/>
  <c r="V15" i="11"/>
  <c r="U15" i="11"/>
  <c r="S15" i="11"/>
  <c r="R15" i="11"/>
  <c r="M15" i="11"/>
  <c r="L15" i="11"/>
  <c r="J15" i="11"/>
  <c r="I15" i="11"/>
  <c r="G15" i="11"/>
  <c r="F15" i="11"/>
  <c r="D15" i="11"/>
  <c r="C15" i="11"/>
  <c r="B15" i="11"/>
  <c r="AB14" i="11"/>
  <c r="AA14" i="11"/>
  <c r="Y14" i="11"/>
  <c r="X14" i="11"/>
  <c r="V14" i="11"/>
  <c r="U14" i="11"/>
  <c r="S14" i="11"/>
  <c r="R14" i="11"/>
  <c r="M14" i="11"/>
  <c r="L14" i="11"/>
  <c r="J14" i="11"/>
  <c r="I14" i="11"/>
  <c r="K14" i="11" s="1"/>
  <c r="G14" i="11"/>
  <c r="F14" i="11"/>
  <c r="D14" i="11"/>
  <c r="C14" i="11"/>
  <c r="B14" i="11"/>
  <c r="AB13" i="11"/>
  <c r="AA13" i="11"/>
  <c r="Y13" i="11"/>
  <c r="X13" i="11"/>
  <c r="V13" i="11"/>
  <c r="U13" i="11"/>
  <c r="S13" i="11"/>
  <c r="R13" i="11"/>
  <c r="M13" i="11"/>
  <c r="L13" i="11"/>
  <c r="J13" i="11"/>
  <c r="I13" i="11"/>
  <c r="G13" i="11"/>
  <c r="F13" i="11"/>
  <c r="D13" i="11"/>
  <c r="C13" i="11"/>
  <c r="B13" i="11"/>
  <c r="AB12" i="11"/>
  <c r="AA12" i="11"/>
  <c r="Y12" i="11"/>
  <c r="X12" i="11"/>
  <c r="V12" i="11"/>
  <c r="U12" i="11"/>
  <c r="S12" i="11"/>
  <c r="R12" i="11"/>
  <c r="M12" i="11"/>
  <c r="L12" i="11"/>
  <c r="J12" i="11"/>
  <c r="I12" i="11"/>
  <c r="G12" i="11"/>
  <c r="F12" i="11"/>
  <c r="D12" i="11"/>
  <c r="C12" i="11"/>
  <c r="B12" i="11"/>
  <c r="AB11" i="11"/>
  <c r="AA11" i="11"/>
  <c r="Y11" i="11"/>
  <c r="X11" i="11"/>
  <c r="V11" i="11"/>
  <c r="U11" i="11"/>
  <c r="S11" i="11"/>
  <c r="R11" i="11"/>
  <c r="M11" i="11"/>
  <c r="L11" i="11"/>
  <c r="J11" i="11"/>
  <c r="I11" i="11"/>
  <c r="G11" i="11"/>
  <c r="F11" i="11"/>
  <c r="D11" i="11"/>
  <c r="C11" i="11"/>
  <c r="B11" i="11"/>
  <c r="AB10" i="11"/>
  <c r="AA10" i="11"/>
  <c r="Y10" i="11"/>
  <c r="X10" i="11"/>
  <c r="V10" i="11"/>
  <c r="U10" i="11"/>
  <c r="S10" i="11"/>
  <c r="R10" i="11"/>
  <c r="M10" i="11"/>
  <c r="L10" i="11"/>
  <c r="J10" i="11"/>
  <c r="I10" i="11"/>
  <c r="G10" i="11"/>
  <c r="F10" i="11"/>
  <c r="D10" i="11"/>
  <c r="C10" i="11"/>
  <c r="B10" i="11"/>
  <c r="AB9" i="11"/>
  <c r="AA9" i="11"/>
  <c r="Y9" i="11"/>
  <c r="X9" i="11"/>
  <c r="V9" i="11"/>
  <c r="U9" i="11"/>
  <c r="S9" i="11"/>
  <c r="R9" i="11"/>
  <c r="M9" i="11"/>
  <c r="L9" i="11"/>
  <c r="J9" i="11"/>
  <c r="I9" i="11"/>
  <c r="G9" i="11"/>
  <c r="F9" i="11"/>
  <c r="D9" i="11"/>
  <c r="C9" i="11"/>
  <c r="B9" i="11"/>
  <c r="AB8" i="11"/>
  <c r="AA8" i="11"/>
  <c r="Y8" i="11"/>
  <c r="X8" i="11"/>
  <c r="Z8" i="11" s="1"/>
  <c r="V8" i="11"/>
  <c r="U8" i="11"/>
  <c r="S8" i="11"/>
  <c r="R8" i="11"/>
  <c r="M8" i="11"/>
  <c r="L8" i="11"/>
  <c r="J8" i="11"/>
  <c r="I8" i="11"/>
  <c r="G8" i="11"/>
  <c r="F8" i="11"/>
  <c r="D8" i="11"/>
  <c r="C8" i="11"/>
  <c r="B8" i="11"/>
  <c r="AB38" i="4"/>
  <c r="AA38" i="4"/>
  <c r="Y38" i="4"/>
  <c r="X38" i="4"/>
  <c r="V38" i="4"/>
  <c r="U38" i="4"/>
  <c r="S38" i="4"/>
  <c r="AE38" i="4" s="1"/>
  <c r="R38" i="4"/>
  <c r="M38" i="4"/>
  <c r="L38" i="4"/>
  <c r="J38" i="4"/>
  <c r="I38" i="4"/>
  <c r="G38" i="4"/>
  <c r="F38" i="4"/>
  <c r="D38" i="4"/>
  <c r="C38" i="4"/>
  <c r="AB37" i="4"/>
  <c r="AA37" i="4"/>
  <c r="Y37" i="4"/>
  <c r="X37" i="4"/>
  <c r="V37" i="4"/>
  <c r="U37" i="4"/>
  <c r="W37" i="4" s="1"/>
  <c r="S37" i="4"/>
  <c r="R37" i="4"/>
  <c r="M37" i="4"/>
  <c r="L37" i="4"/>
  <c r="N37" i="4" s="1"/>
  <c r="J37" i="4"/>
  <c r="I37" i="4"/>
  <c r="G37" i="4"/>
  <c r="F37" i="4"/>
  <c r="D37" i="4"/>
  <c r="C37" i="4"/>
  <c r="AB36" i="4"/>
  <c r="AA36" i="4"/>
  <c r="Y36" i="4"/>
  <c r="X36" i="4"/>
  <c r="V36" i="4"/>
  <c r="U36" i="4"/>
  <c r="S36" i="4"/>
  <c r="R36" i="4"/>
  <c r="M36" i="4"/>
  <c r="N36" i="4" s="1"/>
  <c r="L36" i="4"/>
  <c r="J36" i="4"/>
  <c r="I36" i="4"/>
  <c r="K36" i="4" s="1"/>
  <c r="G36" i="4"/>
  <c r="F36" i="4"/>
  <c r="H36" i="4" s="1"/>
  <c r="D36" i="4"/>
  <c r="C36" i="4"/>
  <c r="AB35" i="4"/>
  <c r="AA35" i="4"/>
  <c r="Y35" i="4"/>
  <c r="X35" i="4"/>
  <c r="V35" i="4"/>
  <c r="U35" i="4"/>
  <c r="S35" i="4"/>
  <c r="R35" i="4"/>
  <c r="M35" i="4"/>
  <c r="L35" i="4"/>
  <c r="J35" i="4"/>
  <c r="I35" i="4"/>
  <c r="G35" i="4"/>
  <c r="F35" i="4"/>
  <c r="D35" i="4"/>
  <c r="C35" i="4"/>
  <c r="AB34" i="4"/>
  <c r="AA34" i="4"/>
  <c r="Y34" i="4"/>
  <c r="X34" i="4"/>
  <c r="V34" i="4"/>
  <c r="U34" i="4"/>
  <c r="S34" i="4"/>
  <c r="R34" i="4"/>
  <c r="M34" i="4"/>
  <c r="L34" i="4"/>
  <c r="J34" i="4"/>
  <c r="I34" i="4"/>
  <c r="G34" i="4"/>
  <c r="F34" i="4"/>
  <c r="D34" i="4"/>
  <c r="C34" i="4"/>
  <c r="AB33" i="4"/>
  <c r="AA33" i="4"/>
  <c r="Y33" i="4"/>
  <c r="X33" i="4"/>
  <c r="V33" i="4"/>
  <c r="U33" i="4"/>
  <c r="S33" i="4"/>
  <c r="R33" i="4"/>
  <c r="M33" i="4"/>
  <c r="L33" i="4"/>
  <c r="J33" i="4"/>
  <c r="I33" i="4"/>
  <c r="G33" i="4"/>
  <c r="F33" i="4"/>
  <c r="D33" i="4"/>
  <c r="C33" i="4"/>
  <c r="AB32" i="4"/>
  <c r="AA32" i="4"/>
  <c r="Y32" i="4"/>
  <c r="X32" i="4"/>
  <c r="V32" i="4"/>
  <c r="U32" i="4"/>
  <c r="S32" i="4"/>
  <c r="R32" i="4"/>
  <c r="M32" i="4"/>
  <c r="L32" i="4"/>
  <c r="J32" i="4"/>
  <c r="I32" i="4"/>
  <c r="G32" i="4"/>
  <c r="F32" i="4"/>
  <c r="D32" i="4"/>
  <c r="C32" i="4"/>
  <c r="AB31" i="4"/>
  <c r="AA31" i="4"/>
  <c r="Y31" i="4"/>
  <c r="X31" i="4"/>
  <c r="V31" i="4"/>
  <c r="U31" i="4"/>
  <c r="S31" i="4"/>
  <c r="R31" i="4"/>
  <c r="M31" i="4"/>
  <c r="L31" i="4"/>
  <c r="J31" i="4"/>
  <c r="I31" i="4"/>
  <c r="G31" i="4"/>
  <c r="F31" i="4"/>
  <c r="D31" i="4"/>
  <c r="P31" i="4" s="1"/>
  <c r="C31" i="4"/>
  <c r="AB30" i="4"/>
  <c r="AA30" i="4"/>
  <c r="Y30" i="4"/>
  <c r="X30" i="4"/>
  <c r="V30" i="4"/>
  <c r="U30" i="4"/>
  <c r="S30" i="4"/>
  <c r="R30" i="4"/>
  <c r="M30" i="4"/>
  <c r="L30" i="4"/>
  <c r="J30" i="4"/>
  <c r="I30" i="4"/>
  <c r="G30" i="4"/>
  <c r="F30" i="4"/>
  <c r="D30" i="4"/>
  <c r="C30" i="4"/>
  <c r="AB29" i="4"/>
  <c r="AA29" i="4"/>
  <c r="Y29" i="4"/>
  <c r="X29" i="4"/>
  <c r="V29" i="4"/>
  <c r="U29" i="4"/>
  <c r="S29" i="4"/>
  <c r="R29" i="4"/>
  <c r="M29" i="4"/>
  <c r="L29" i="4"/>
  <c r="J29" i="4"/>
  <c r="I29" i="4"/>
  <c r="G29" i="4"/>
  <c r="F29" i="4"/>
  <c r="D29" i="4"/>
  <c r="C29" i="4"/>
  <c r="AB28" i="4"/>
  <c r="AA28" i="4"/>
  <c r="Y28" i="4"/>
  <c r="X28" i="4"/>
  <c r="V28" i="4"/>
  <c r="U28" i="4"/>
  <c r="S28" i="4"/>
  <c r="R28" i="4"/>
  <c r="M28" i="4"/>
  <c r="L28" i="4"/>
  <c r="J28" i="4"/>
  <c r="I28" i="4"/>
  <c r="G28" i="4"/>
  <c r="F28" i="4"/>
  <c r="D28" i="4"/>
  <c r="C28" i="4"/>
  <c r="AB27" i="4"/>
  <c r="AA27" i="4"/>
  <c r="Y27" i="4"/>
  <c r="X27" i="4"/>
  <c r="V27" i="4"/>
  <c r="U27" i="4"/>
  <c r="S27" i="4"/>
  <c r="R27" i="4"/>
  <c r="M27" i="4"/>
  <c r="L27" i="4"/>
  <c r="J27" i="4"/>
  <c r="I27" i="4"/>
  <c r="G27" i="4"/>
  <c r="F27" i="4"/>
  <c r="D27" i="4"/>
  <c r="C27" i="4"/>
  <c r="AB26" i="4"/>
  <c r="AA26" i="4"/>
  <c r="Y26" i="4"/>
  <c r="X26" i="4"/>
  <c r="V26" i="4"/>
  <c r="U26" i="4"/>
  <c r="S26" i="4"/>
  <c r="R26" i="4"/>
  <c r="M26" i="4"/>
  <c r="L26" i="4"/>
  <c r="J26" i="4"/>
  <c r="I26" i="4"/>
  <c r="K26" i="4" s="1"/>
  <c r="G26" i="4"/>
  <c r="F26" i="4"/>
  <c r="D26" i="4"/>
  <c r="P26" i="4" s="1"/>
  <c r="C26" i="4"/>
  <c r="AB25" i="4"/>
  <c r="AA25" i="4"/>
  <c r="Y25" i="4"/>
  <c r="X25" i="4"/>
  <c r="V25" i="4"/>
  <c r="U25" i="4"/>
  <c r="S25" i="4"/>
  <c r="R25" i="4"/>
  <c r="M25" i="4"/>
  <c r="L25" i="4"/>
  <c r="J25" i="4"/>
  <c r="I25" i="4"/>
  <c r="G25" i="4"/>
  <c r="F25" i="4"/>
  <c r="D25" i="4"/>
  <c r="C25" i="4"/>
  <c r="AB24" i="4"/>
  <c r="AA24" i="4"/>
  <c r="Y24" i="4"/>
  <c r="X24" i="4"/>
  <c r="V24" i="4"/>
  <c r="U24" i="4"/>
  <c r="S24" i="4"/>
  <c r="R24" i="4"/>
  <c r="M24" i="4"/>
  <c r="L24" i="4"/>
  <c r="J24" i="4"/>
  <c r="I24" i="4"/>
  <c r="G24" i="4"/>
  <c r="F24" i="4"/>
  <c r="D24" i="4"/>
  <c r="C24" i="4"/>
  <c r="AB23" i="4"/>
  <c r="AA23" i="4"/>
  <c r="Y23" i="4"/>
  <c r="X23" i="4"/>
  <c r="V23" i="4"/>
  <c r="U23" i="4"/>
  <c r="S23" i="4"/>
  <c r="R23" i="4"/>
  <c r="M23" i="4"/>
  <c r="L23" i="4"/>
  <c r="J23" i="4"/>
  <c r="I23" i="4"/>
  <c r="G23" i="4"/>
  <c r="F23" i="4"/>
  <c r="D23" i="4"/>
  <c r="C23" i="4"/>
  <c r="AB22" i="4"/>
  <c r="AA22" i="4"/>
  <c r="Y22" i="4"/>
  <c r="X22" i="4"/>
  <c r="V22" i="4"/>
  <c r="U22" i="4"/>
  <c r="S22" i="4"/>
  <c r="R22" i="4"/>
  <c r="M22" i="4"/>
  <c r="L22" i="4"/>
  <c r="J22" i="4"/>
  <c r="I22" i="4"/>
  <c r="G22" i="4"/>
  <c r="F22" i="4"/>
  <c r="H22" i="4" s="1"/>
  <c r="D22" i="4"/>
  <c r="C22" i="4"/>
  <c r="AB21" i="4"/>
  <c r="AA21" i="4"/>
  <c r="Y21" i="4"/>
  <c r="X21" i="4"/>
  <c r="V21" i="4"/>
  <c r="U21" i="4"/>
  <c r="S21" i="4"/>
  <c r="R21" i="4"/>
  <c r="M21" i="4"/>
  <c r="L21" i="4"/>
  <c r="J21" i="4"/>
  <c r="I21" i="4"/>
  <c r="G21" i="4"/>
  <c r="F21" i="4"/>
  <c r="D21" i="4"/>
  <c r="C21" i="4"/>
  <c r="AB20" i="4"/>
  <c r="AA20" i="4"/>
  <c r="Y20" i="4"/>
  <c r="X20" i="4"/>
  <c r="V20" i="4"/>
  <c r="U20" i="4"/>
  <c r="S20" i="4"/>
  <c r="R20" i="4"/>
  <c r="M20" i="4"/>
  <c r="L20" i="4"/>
  <c r="J20" i="4"/>
  <c r="I20" i="4"/>
  <c r="G20" i="4"/>
  <c r="F20" i="4"/>
  <c r="D20" i="4"/>
  <c r="C20" i="4"/>
  <c r="AB19" i="4"/>
  <c r="AA19" i="4"/>
  <c r="Y19" i="4"/>
  <c r="X19" i="4"/>
  <c r="V19" i="4"/>
  <c r="U19" i="4"/>
  <c r="S19" i="4"/>
  <c r="R19" i="4"/>
  <c r="M19" i="4"/>
  <c r="L19" i="4"/>
  <c r="J19" i="4"/>
  <c r="I19" i="4"/>
  <c r="G19" i="4"/>
  <c r="F19" i="4"/>
  <c r="D19" i="4"/>
  <c r="C19" i="4"/>
  <c r="AB18" i="4"/>
  <c r="AA18" i="4"/>
  <c r="Y18" i="4"/>
  <c r="X18" i="4"/>
  <c r="V18" i="4"/>
  <c r="U18" i="4"/>
  <c r="W18" i="4" s="1"/>
  <c r="S18" i="4"/>
  <c r="AE18" i="4" s="1"/>
  <c r="R18" i="4"/>
  <c r="M18" i="4"/>
  <c r="L18" i="4"/>
  <c r="J18" i="4"/>
  <c r="I18" i="4"/>
  <c r="G18" i="4"/>
  <c r="F18" i="4"/>
  <c r="D18" i="4"/>
  <c r="C18" i="4"/>
  <c r="AB17" i="4"/>
  <c r="AA17" i="4"/>
  <c r="Y17" i="4"/>
  <c r="X17" i="4"/>
  <c r="V17" i="4"/>
  <c r="U17" i="4"/>
  <c r="S17" i="4"/>
  <c r="AE17" i="4" s="1"/>
  <c r="R17" i="4"/>
  <c r="AD17" i="4" s="1"/>
  <c r="M17" i="4"/>
  <c r="L17" i="4"/>
  <c r="J17" i="4"/>
  <c r="I17" i="4"/>
  <c r="G17" i="4"/>
  <c r="F17" i="4"/>
  <c r="D17" i="4"/>
  <c r="C17" i="4"/>
  <c r="AB16" i="4"/>
  <c r="AA16" i="4"/>
  <c r="Y16" i="4"/>
  <c r="X16" i="4"/>
  <c r="V16" i="4"/>
  <c r="U16" i="4"/>
  <c r="S16" i="4"/>
  <c r="R16" i="4"/>
  <c r="M16" i="4"/>
  <c r="L16" i="4"/>
  <c r="J16" i="4"/>
  <c r="I16" i="4"/>
  <c r="G16" i="4"/>
  <c r="F16" i="4"/>
  <c r="D16" i="4"/>
  <c r="P16" i="4" s="1"/>
  <c r="C16" i="4"/>
  <c r="AB15" i="4"/>
  <c r="AA15" i="4"/>
  <c r="Y15" i="4"/>
  <c r="X15" i="4"/>
  <c r="V15" i="4"/>
  <c r="U15" i="4"/>
  <c r="S15" i="4"/>
  <c r="R15" i="4"/>
  <c r="M15" i="4"/>
  <c r="L15" i="4"/>
  <c r="J15" i="4"/>
  <c r="I15" i="4"/>
  <c r="G15" i="4"/>
  <c r="F15" i="4"/>
  <c r="D15" i="4"/>
  <c r="C15" i="4"/>
  <c r="AB14" i="4"/>
  <c r="AA14" i="4"/>
  <c r="Y14" i="4"/>
  <c r="X14" i="4"/>
  <c r="V14" i="4"/>
  <c r="U14" i="4"/>
  <c r="S14" i="4"/>
  <c r="R14" i="4"/>
  <c r="M14" i="4"/>
  <c r="L14" i="4"/>
  <c r="J14" i="4"/>
  <c r="I14" i="4"/>
  <c r="G14" i="4"/>
  <c r="F14" i="4"/>
  <c r="D14" i="4"/>
  <c r="C14" i="4"/>
  <c r="AB13" i="4"/>
  <c r="AA13" i="4"/>
  <c r="AC13" i="4" s="1"/>
  <c r="Y13" i="4"/>
  <c r="X13" i="4"/>
  <c r="V13" i="4"/>
  <c r="U13" i="4"/>
  <c r="S13" i="4"/>
  <c r="R13" i="4"/>
  <c r="M13" i="4"/>
  <c r="L13" i="4"/>
  <c r="J13" i="4"/>
  <c r="I13" i="4"/>
  <c r="G13" i="4"/>
  <c r="F13" i="4"/>
  <c r="D13" i="4"/>
  <c r="C13" i="4"/>
  <c r="AB12" i="4"/>
  <c r="AA12" i="4"/>
  <c r="Y12" i="4"/>
  <c r="X12" i="4"/>
  <c r="V12" i="4"/>
  <c r="U12" i="4"/>
  <c r="S12" i="4"/>
  <c r="R12" i="4"/>
  <c r="AD12" i="4" s="1"/>
  <c r="M12" i="4"/>
  <c r="L12" i="4"/>
  <c r="J12" i="4"/>
  <c r="I12" i="4"/>
  <c r="G12" i="4"/>
  <c r="F12" i="4"/>
  <c r="D12" i="4"/>
  <c r="C12" i="4"/>
  <c r="AB11" i="4"/>
  <c r="AA11" i="4"/>
  <c r="Y11" i="4"/>
  <c r="Z11" i="4" s="1"/>
  <c r="X11" i="4"/>
  <c r="V11" i="4"/>
  <c r="U11" i="4"/>
  <c r="S11" i="4"/>
  <c r="R11" i="4"/>
  <c r="M11" i="4"/>
  <c r="L11" i="4"/>
  <c r="N11" i="4" s="1"/>
  <c r="J11" i="4"/>
  <c r="I11" i="4"/>
  <c r="K11" i="4" s="1"/>
  <c r="G11" i="4"/>
  <c r="F11" i="4"/>
  <c r="D11" i="4"/>
  <c r="C11" i="4"/>
  <c r="AB10" i="4"/>
  <c r="AA10" i="4"/>
  <c r="Y10" i="4"/>
  <c r="X10" i="4"/>
  <c r="V10" i="4"/>
  <c r="U10" i="4"/>
  <c r="S10" i="4"/>
  <c r="R10" i="4"/>
  <c r="M10" i="4"/>
  <c r="L10" i="4"/>
  <c r="J10" i="4"/>
  <c r="I10" i="4"/>
  <c r="G10" i="4"/>
  <c r="F10" i="4"/>
  <c r="D10" i="4"/>
  <c r="C10" i="4"/>
  <c r="AB9" i="4"/>
  <c r="AA9" i="4"/>
  <c r="Y9" i="4"/>
  <c r="X9" i="4"/>
  <c r="V9" i="4"/>
  <c r="U9" i="4"/>
  <c r="S9" i="4"/>
  <c r="R9" i="4"/>
  <c r="M9" i="4"/>
  <c r="L9" i="4"/>
  <c r="J9" i="4"/>
  <c r="I9" i="4"/>
  <c r="G9" i="4"/>
  <c r="F9" i="4"/>
  <c r="D9" i="4"/>
  <c r="C9" i="4"/>
  <c r="AB8" i="4"/>
  <c r="AA8" i="4"/>
  <c r="Y8" i="4"/>
  <c r="X8" i="4"/>
  <c r="V8" i="4"/>
  <c r="U8" i="4"/>
  <c r="S8" i="4"/>
  <c r="R8" i="4"/>
  <c r="M8" i="4"/>
  <c r="L8" i="4"/>
  <c r="J8" i="4"/>
  <c r="I8" i="4"/>
  <c r="G8" i="4"/>
  <c r="F8" i="4"/>
  <c r="D8" i="4"/>
  <c r="C8" i="4"/>
  <c r="B43" i="4"/>
  <c r="B42" i="4"/>
  <c r="B41" i="4"/>
  <c r="B38" i="4"/>
  <c r="B37" i="4"/>
  <c r="B36" i="4"/>
  <c r="H35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Z20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W11" i="4" l="1"/>
  <c r="Z26" i="4"/>
  <c r="N16" i="11"/>
  <c r="N15" i="11"/>
  <c r="T9" i="4"/>
  <c r="Z10" i="4"/>
  <c r="T24" i="4"/>
  <c r="T27" i="11"/>
  <c r="N32" i="11"/>
  <c r="K16" i="4"/>
  <c r="Z18" i="4"/>
  <c r="N16" i="4"/>
  <c r="AC18" i="4"/>
  <c r="H25" i="4"/>
  <c r="Z33" i="11"/>
  <c r="W26" i="4"/>
  <c r="AC32" i="4"/>
  <c r="K12" i="4"/>
  <c r="K8" i="4"/>
  <c r="T14" i="4"/>
  <c r="Z15" i="4"/>
  <c r="T29" i="4"/>
  <c r="Z30" i="4"/>
  <c r="Z35" i="4"/>
  <c r="AD27" i="11"/>
  <c r="H15" i="4"/>
  <c r="N31" i="4"/>
  <c r="AE16" i="4"/>
  <c r="AE21" i="4"/>
  <c r="AE36" i="4"/>
  <c r="E8" i="11"/>
  <c r="N10" i="11"/>
  <c r="T31" i="11"/>
  <c r="N22" i="4"/>
  <c r="N21" i="4"/>
  <c r="N11" i="11"/>
  <c r="AC12" i="11"/>
  <c r="N37" i="11"/>
  <c r="K31" i="4"/>
  <c r="AE26" i="4"/>
  <c r="AE31" i="4"/>
  <c r="H21" i="11"/>
  <c r="K29" i="11"/>
  <c r="AC31" i="4"/>
  <c r="P34" i="11"/>
  <c r="W9" i="11"/>
  <c r="O12" i="11"/>
  <c r="O19" i="11"/>
  <c r="Z23" i="11"/>
  <c r="P19" i="11"/>
  <c r="W9" i="4"/>
  <c r="H12" i="4"/>
  <c r="AC15" i="4"/>
  <c r="AC30" i="4"/>
  <c r="AD14" i="11"/>
  <c r="H16" i="4"/>
  <c r="T20" i="11"/>
  <c r="N12" i="11"/>
  <c r="K21" i="4"/>
  <c r="W13" i="11"/>
  <c r="E30" i="11"/>
  <c r="AC11" i="4"/>
  <c r="H13" i="4"/>
  <c r="L41" i="4"/>
  <c r="O11" i="4"/>
  <c r="O16" i="4"/>
  <c r="K17" i="4"/>
  <c r="O26" i="4"/>
  <c r="O31" i="4"/>
  <c r="AE14" i="11"/>
  <c r="H36" i="11"/>
  <c r="T38" i="11"/>
  <c r="N33" i="4"/>
  <c r="E13" i="11"/>
  <c r="Z14" i="4"/>
  <c r="Z24" i="4"/>
  <c r="Z29" i="4"/>
  <c r="Z34" i="4"/>
  <c r="K37" i="4"/>
  <c r="T18" i="4"/>
  <c r="AD14" i="4"/>
  <c r="W15" i="11"/>
  <c r="N21" i="11"/>
  <c r="E10" i="11"/>
  <c r="H26" i="11"/>
  <c r="E33" i="11"/>
  <c r="W29" i="11"/>
  <c r="AC8" i="4"/>
  <c r="W12" i="4"/>
  <c r="W17" i="4"/>
  <c r="W22" i="4"/>
  <c r="AC23" i="4"/>
  <c r="W27" i="4"/>
  <c r="AC28" i="4"/>
  <c r="W32" i="4"/>
  <c r="AC33" i="4"/>
  <c r="AC38" i="4"/>
  <c r="Z22" i="11"/>
  <c r="K26" i="11"/>
  <c r="AC30" i="11"/>
  <c r="H33" i="11"/>
  <c r="W36" i="11"/>
  <c r="Z37" i="11"/>
  <c r="O10" i="4"/>
  <c r="AD11" i="4"/>
  <c r="AD16" i="4"/>
  <c r="AD21" i="4"/>
  <c r="AD26" i="4"/>
  <c r="AD31" i="4"/>
  <c r="O35" i="4"/>
  <c r="AD36" i="4"/>
  <c r="K10" i="11"/>
  <c r="H18" i="11"/>
  <c r="K19" i="11"/>
  <c r="Z29" i="11"/>
  <c r="AE35" i="11"/>
  <c r="AC37" i="11"/>
  <c r="T23" i="4"/>
  <c r="W8" i="11"/>
  <c r="N14" i="11"/>
  <c r="K13" i="11"/>
  <c r="K12" i="11"/>
  <c r="AE31" i="11"/>
  <c r="AC14" i="11"/>
  <c r="N19" i="11"/>
  <c r="H9" i="4"/>
  <c r="N10" i="4"/>
  <c r="N15" i="4"/>
  <c r="AC17" i="4"/>
  <c r="H19" i="4"/>
  <c r="N20" i="4"/>
  <c r="H24" i="4"/>
  <c r="N25" i="4"/>
  <c r="N30" i="4"/>
  <c r="H34" i="4"/>
  <c r="Z13" i="11"/>
  <c r="W20" i="11"/>
  <c r="O23" i="11"/>
  <c r="H24" i="11"/>
  <c r="AE26" i="11"/>
  <c r="AE27" i="11"/>
  <c r="AE34" i="11"/>
  <c r="AC36" i="11"/>
  <c r="H27" i="4"/>
  <c r="AC10" i="11"/>
  <c r="AC24" i="11"/>
  <c r="N36" i="11"/>
  <c r="K27" i="11"/>
  <c r="I41" i="4"/>
  <c r="O13" i="4"/>
  <c r="C43" i="4"/>
  <c r="I43" i="4"/>
  <c r="O33" i="4"/>
  <c r="O38" i="4"/>
  <c r="AE12" i="11"/>
  <c r="AD20" i="11"/>
  <c r="O30" i="11"/>
  <c r="H31" i="11"/>
  <c r="L43" i="11"/>
  <c r="H9" i="11"/>
  <c r="T12" i="11"/>
  <c r="Z21" i="11"/>
  <c r="G39" i="11"/>
  <c r="O37" i="11"/>
  <c r="W10" i="4"/>
  <c r="AE25" i="11"/>
  <c r="N19" i="4"/>
  <c r="H23" i="4"/>
  <c r="N24" i="4"/>
  <c r="H28" i="4"/>
  <c r="N29" i="4"/>
  <c r="W30" i="4"/>
  <c r="H33" i="4"/>
  <c r="N34" i="4"/>
  <c r="H38" i="4"/>
  <c r="W10" i="11"/>
  <c r="N17" i="11"/>
  <c r="P22" i="11"/>
  <c r="H37" i="11"/>
  <c r="O36" i="11"/>
  <c r="N23" i="4"/>
  <c r="H37" i="4"/>
  <c r="AE9" i="4"/>
  <c r="T13" i="4"/>
  <c r="K27" i="4"/>
  <c r="N22" i="11"/>
  <c r="AC14" i="4"/>
  <c r="AC24" i="4"/>
  <c r="E11" i="11"/>
  <c r="H20" i="11"/>
  <c r="W30" i="11"/>
  <c r="O27" i="11"/>
  <c r="O17" i="4"/>
  <c r="O22" i="4"/>
  <c r="O32" i="4"/>
  <c r="O37" i="4"/>
  <c r="L39" i="11"/>
  <c r="P17" i="4"/>
  <c r="P22" i="4"/>
  <c r="K38" i="4"/>
  <c r="M39" i="11"/>
  <c r="AC11" i="11"/>
  <c r="O21" i="11"/>
  <c r="AE24" i="11"/>
  <c r="AC26" i="11"/>
  <c r="E28" i="11"/>
  <c r="AD31" i="11"/>
  <c r="AC9" i="11"/>
  <c r="W13" i="4"/>
  <c r="AC19" i="4"/>
  <c r="W33" i="4"/>
  <c r="AC34" i="4"/>
  <c r="W38" i="4"/>
  <c r="T37" i="11"/>
  <c r="Z23" i="4"/>
  <c r="AA43" i="4"/>
  <c r="AC29" i="11"/>
  <c r="Z9" i="4"/>
  <c r="AD26" i="11"/>
  <c r="AC28" i="11"/>
  <c r="W19" i="11"/>
  <c r="AE20" i="11"/>
  <c r="T17" i="11"/>
  <c r="T36" i="11"/>
  <c r="Z27" i="11"/>
  <c r="AE38" i="11"/>
  <c r="T35" i="11"/>
  <c r="AD37" i="11"/>
  <c r="AD17" i="11"/>
  <c r="AC19" i="11"/>
  <c r="AC27" i="11"/>
  <c r="Z38" i="11"/>
  <c r="AD22" i="4"/>
  <c r="AD27" i="4"/>
  <c r="X43" i="4"/>
  <c r="AD37" i="4"/>
  <c r="T16" i="11"/>
  <c r="AE17" i="11"/>
  <c r="T34" i="11"/>
  <c r="AD36" i="11"/>
  <c r="T11" i="4"/>
  <c r="Z12" i="4"/>
  <c r="Z22" i="4"/>
  <c r="Z27" i="4"/>
  <c r="Z37" i="4"/>
  <c r="T14" i="11"/>
  <c r="Z25" i="11"/>
  <c r="AE36" i="11"/>
  <c r="W16" i="11"/>
  <c r="Z17" i="11"/>
  <c r="AC18" i="11"/>
  <c r="W24" i="11"/>
  <c r="AD33" i="11"/>
  <c r="W34" i="11"/>
  <c r="AC12" i="4"/>
  <c r="W16" i="4"/>
  <c r="AC22" i="4"/>
  <c r="AC27" i="4"/>
  <c r="W31" i="4"/>
  <c r="W36" i="4"/>
  <c r="AC37" i="4"/>
  <c r="W14" i="11"/>
  <c r="T23" i="11"/>
  <c r="AC25" i="11"/>
  <c r="AD25" i="4"/>
  <c r="AD30" i="4"/>
  <c r="AD35" i="4"/>
  <c r="S41" i="11"/>
  <c r="AE16" i="11"/>
  <c r="AC17" i="11"/>
  <c r="T32" i="11"/>
  <c r="AC35" i="11"/>
  <c r="AE10" i="4"/>
  <c r="T20" i="4"/>
  <c r="Z21" i="4"/>
  <c r="AE25" i="4"/>
  <c r="AE30" i="4"/>
  <c r="Z31" i="4"/>
  <c r="AE35" i="4"/>
  <c r="Z36" i="4"/>
  <c r="AD11" i="11"/>
  <c r="AD12" i="11"/>
  <c r="AD16" i="11"/>
  <c r="T22" i="11"/>
  <c r="AE23" i="11"/>
  <c r="AD30" i="11"/>
  <c r="Z32" i="11"/>
  <c r="AD34" i="4"/>
  <c r="Z12" i="11"/>
  <c r="AD13" i="11"/>
  <c r="AC15" i="11"/>
  <c r="AD21" i="11"/>
  <c r="AC33" i="11"/>
  <c r="AD29" i="4"/>
  <c r="T19" i="4"/>
  <c r="Z25" i="4"/>
  <c r="T34" i="4"/>
  <c r="AE13" i="11"/>
  <c r="AC23" i="11"/>
  <c r="Z31" i="11"/>
  <c r="AD32" i="11"/>
  <c r="T32" i="4"/>
  <c r="U42" i="4"/>
  <c r="AA42" i="4"/>
  <c r="AE30" i="11"/>
  <c r="AC16" i="4"/>
  <c r="AC36" i="4"/>
  <c r="AD9" i="11"/>
  <c r="W31" i="11"/>
  <c r="AD10" i="11"/>
  <c r="V39" i="4"/>
  <c r="AE14" i="4"/>
  <c r="W19" i="4"/>
  <c r="AC25" i="4"/>
  <c r="W29" i="4"/>
  <c r="AE34" i="4"/>
  <c r="AC35" i="4"/>
  <c r="Z10" i="11"/>
  <c r="AD22" i="11"/>
  <c r="Z30" i="11"/>
  <c r="AC31" i="11"/>
  <c r="AD13" i="4"/>
  <c r="AD18" i="4"/>
  <c r="AD23" i="4"/>
  <c r="AD33" i="4"/>
  <c r="AD19" i="11"/>
  <c r="AB42" i="11"/>
  <c r="AD29" i="11"/>
  <c r="H25" i="11"/>
  <c r="H16" i="11"/>
  <c r="K35" i="11"/>
  <c r="K37" i="11"/>
  <c r="K28" i="4"/>
  <c r="P24" i="11"/>
  <c r="N8" i="11"/>
  <c r="H23" i="11"/>
  <c r="D39" i="11"/>
  <c r="N8" i="4"/>
  <c r="N13" i="4"/>
  <c r="H17" i="4"/>
  <c r="N28" i="4"/>
  <c r="P32" i="4"/>
  <c r="N24" i="11"/>
  <c r="E18" i="11"/>
  <c r="G42" i="11"/>
  <c r="K23" i="11"/>
  <c r="E36" i="11"/>
  <c r="K32" i="4"/>
  <c r="H19" i="11"/>
  <c r="E37" i="11"/>
  <c r="M41" i="4"/>
  <c r="E17" i="11"/>
  <c r="E31" i="11"/>
  <c r="O16" i="11"/>
  <c r="O33" i="11"/>
  <c r="H34" i="11"/>
  <c r="H35" i="11"/>
  <c r="E38" i="11"/>
  <c r="O15" i="4"/>
  <c r="O25" i="4"/>
  <c r="E12" i="11"/>
  <c r="O15" i="11"/>
  <c r="H17" i="11"/>
  <c r="K21" i="11"/>
  <c r="O32" i="11"/>
  <c r="P33" i="11"/>
  <c r="O38" i="11"/>
  <c r="D42" i="11"/>
  <c r="O13" i="11"/>
  <c r="O11" i="11"/>
  <c r="H14" i="11"/>
  <c r="H15" i="11"/>
  <c r="P31" i="11"/>
  <c r="K33" i="11"/>
  <c r="N35" i="11"/>
  <c r="K38" i="11"/>
  <c r="I42" i="4"/>
  <c r="P11" i="11"/>
  <c r="O19" i="4"/>
  <c r="O24" i="4"/>
  <c r="O29" i="4"/>
  <c r="O34" i="4"/>
  <c r="K10" i="4"/>
  <c r="P14" i="4"/>
  <c r="K15" i="4"/>
  <c r="P19" i="4"/>
  <c r="K20" i="4"/>
  <c r="P25" i="4"/>
  <c r="P30" i="4"/>
  <c r="K35" i="4"/>
  <c r="E9" i="11"/>
  <c r="K15" i="11"/>
  <c r="O25" i="11"/>
  <c r="N30" i="11"/>
  <c r="N31" i="11"/>
  <c r="P11" i="4"/>
  <c r="P15" i="4"/>
  <c r="L42" i="4"/>
  <c r="L43" i="4"/>
  <c r="H10" i="11"/>
  <c r="K28" i="11"/>
  <c r="P37" i="11"/>
  <c r="P13" i="4"/>
  <c r="K24" i="4"/>
  <c r="P28" i="4"/>
  <c r="K29" i="4"/>
  <c r="P33" i="4"/>
  <c r="P38" i="4"/>
  <c r="N14" i="4"/>
  <c r="W11" i="11"/>
  <c r="AC32" i="11"/>
  <c r="Z24" i="11"/>
  <c r="AB43" i="11"/>
  <c r="C39" i="11"/>
  <c r="O10" i="11"/>
  <c r="C41" i="11"/>
  <c r="AC16" i="11"/>
  <c r="AE22" i="11"/>
  <c r="E22" i="11"/>
  <c r="I43" i="11"/>
  <c r="O31" i="11"/>
  <c r="E14" i="11"/>
  <c r="P14" i="11"/>
  <c r="P16" i="11"/>
  <c r="E16" i="11"/>
  <c r="E21" i="11"/>
  <c r="P21" i="11"/>
  <c r="O22" i="11"/>
  <c r="F42" i="11"/>
  <c r="H8" i="11"/>
  <c r="P8" i="11"/>
  <c r="G41" i="11"/>
  <c r="N29" i="11"/>
  <c r="S39" i="11"/>
  <c r="AE11" i="11"/>
  <c r="T11" i="11"/>
  <c r="W23" i="11"/>
  <c r="AE32" i="11"/>
  <c r="AC22" i="11"/>
  <c r="P32" i="11"/>
  <c r="E32" i="11"/>
  <c r="H30" i="11"/>
  <c r="P30" i="11"/>
  <c r="F39" i="11"/>
  <c r="O8" i="11"/>
  <c r="F41" i="11"/>
  <c r="I42" i="11"/>
  <c r="N26" i="11"/>
  <c r="N27" i="11"/>
  <c r="I39" i="11"/>
  <c r="I41" i="11"/>
  <c r="K9" i="11"/>
  <c r="AD25" i="11"/>
  <c r="M43" i="11"/>
  <c r="N28" i="11"/>
  <c r="W33" i="11"/>
  <c r="Z11" i="11"/>
  <c r="P13" i="11"/>
  <c r="H13" i="11"/>
  <c r="P28" i="11"/>
  <c r="J43" i="11"/>
  <c r="AD28" i="11"/>
  <c r="R43" i="11"/>
  <c r="AD34" i="11"/>
  <c r="W25" i="11"/>
  <c r="W17" i="11"/>
  <c r="Z16" i="11"/>
  <c r="Z15" i="11"/>
  <c r="P10" i="11"/>
  <c r="D41" i="11"/>
  <c r="H38" i="11"/>
  <c r="P38" i="11"/>
  <c r="H22" i="11"/>
  <c r="L42" i="11"/>
  <c r="K20" i="11"/>
  <c r="M42" i="11"/>
  <c r="N18" i="11"/>
  <c r="N13" i="11"/>
  <c r="O18" i="11"/>
  <c r="N20" i="11"/>
  <c r="AD24" i="11"/>
  <c r="T25" i="11"/>
  <c r="T26" i="11"/>
  <c r="T28" i="11"/>
  <c r="S43" i="11"/>
  <c r="AE28" i="11"/>
  <c r="T33" i="11"/>
  <c r="AE33" i="11"/>
  <c r="W35" i="11"/>
  <c r="AD35" i="11"/>
  <c r="AE18" i="11"/>
  <c r="V42" i="11"/>
  <c r="K22" i="11"/>
  <c r="U43" i="11"/>
  <c r="Z34" i="11"/>
  <c r="K31" i="11"/>
  <c r="N38" i="11"/>
  <c r="X42" i="11"/>
  <c r="M41" i="11"/>
  <c r="Y42" i="11"/>
  <c r="Z18" i="11"/>
  <c r="T8" i="11"/>
  <c r="N9" i="11"/>
  <c r="AA42" i="11"/>
  <c r="AE21" i="11"/>
  <c r="T21" i="11"/>
  <c r="P25" i="11"/>
  <c r="AA43" i="11"/>
  <c r="T30" i="11"/>
  <c r="Z36" i="11"/>
  <c r="R42" i="11"/>
  <c r="U41" i="11"/>
  <c r="U39" i="11"/>
  <c r="P9" i="11"/>
  <c r="H11" i="11"/>
  <c r="K16" i="11"/>
  <c r="O17" i="11"/>
  <c r="Z19" i="11"/>
  <c r="E25" i="11"/>
  <c r="S42" i="11"/>
  <c r="AC34" i="11"/>
  <c r="P23" i="11"/>
  <c r="W26" i="11"/>
  <c r="W12" i="11"/>
  <c r="H32" i="11"/>
  <c r="Z20" i="11"/>
  <c r="AD15" i="11"/>
  <c r="K24" i="11"/>
  <c r="P27" i="11"/>
  <c r="E27" i="11"/>
  <c r="O29" i="11"/>
  <c r="H12" i="11"/>
  <c r="P12" i="11"/>
  <c r="AE15" i="11"/>
  <c r="T15" i="11"/>
  <c r="AC20" i="11"/>
  <c r="AD23" i="11"/>
  <c r="P29" i="11"/>
  <c r="Z26" i="11"/>
  <c r="E29" i="11"/>
  <c r="W18" i="11"/>
  <c r="V41" i="11"/>
  <c r="V39" i="11"/>
  <c r="E26" i="11"/>
  <c r="P26" i="11"/>
  <c r="P36" i="11"/>
  <c r="K17" i="11"/>
  <c r="X39" i="11"/>
  <c r="X41" i="11"/>
  <c r="J42" i="11"/>
  <c r="P20" i="11"/>
  <c r="E20" i="11"/>
  <c r="O28" i="11"/>
  <c r="J41" i="11"/>
  <c r="F43" i="11"/>
  <c r="T19" i="11"/>
  <c r="V43" i="11"/>
  <c r="AD8" i="11"/>
  <c r="R41" i="11"/>
  <c r="R39" i="11"/>
  <c r="O26" i="11"/>
  <c r="AE37" i="11"/>
  <c r="W37" i="11"/>
  <c r="K11" i="11"/>
  <c r="W38" i="11"/>
  <c r="E19" i="11"/>
  <c r="AA39" i="11"/>
  <c r="AA41" i="11"/>
  <c r="O20" i="11"/>
  <c r="AC8" i="11"/>
  <c r="AB41" i="11"/>
  <c r="AB39" i="11"/>
  <c r="AC13" i="11"/>
  <c r="P17" i="11"/>
  <c r="AE8" i="11"/>
  <c r="Z9" i="11"/>
  <c r="Y41" i="11"/>
  <c r="Y39" i="11"/>
  <c r="K18" i="11"/>
  <c r="U42" i="11"/>
  <c r="H28" i="11"/>
  <c r="H29" i="11"/>
  <c r="N34" i="11"/>
  <c r="G43" i="11"/>
  <c r="Z14" i="11"/>
  <c r="AD18" i="11"/>
  <c r="K25" i="11"/>
  <c r="W27" i="11"/>
  <c r="K32" i="11"/>
  <c r="T9" i="11"/>
  <c r="AE9" i="11"/>
  <c r="T18" i="11"/>
  <c r="T24" i="11"/>
  <c r="O14" i="11"/>
  <c r="W21" i="11"/>
  <c r="E23" i="11"/>
  <c r="N25" i="11"/>
  <c r="AE10" i="11"/>
  <c r="O34" i="11"/>
  <c r="C42" i="11"/>
  <c r="O24" i="11"/>
  <c r="W28" i="11"/>
  <c r="E34" i="11"/>
  <c r="J39" i="11"/>
  <c r="T10" i="11"/>
  <c r="H27" i="11"/>
  <c r="K8" i="11"/>
  <c r="T13" i="11"/>
  <c r="Y43" i="11"/>
  <c r="T29" i="11"/>
  <c r="L41" i="11"/>
  <c r="W22" i="11"/>
  <c r="N23" i="11"/>
  <c r="C43" i="11"/>
  <c r="N33" i="11"/>
  <c r="O35" i="11"/>
  <c r="AC38" i="11"/>
  <c r="O9" i="11"/>
  <c r="E15" i="11"/>
  <c r="P15" i="11"/>
  <c r="AE19" i="11"/>
  <c r="E24" i="11"/>
  <c r="X43" i="11"/>
  <c r="Z35" i="11"/>
  <c r="D43" i="11"/>
  <c r="W32" i="11"/>
  <c r="E35" i="11"/>
  <c r="AE29" i="11"/>
  <c r="P35" i="11"/>
  <c r="AD38" i="11"/>
  <c r="J43" i="4"/>
  <c r="P20" i="4"/>
  <c r="G41" i="4"/>
  <c r="K25" i="4"/>
  <c r="AE12" i="4"/>
  <c r="W14" i="4"/>
  <c r="T16" i="4"/>
  <c r="T10" i="4"/>
  <c r="AE20" i="4"/>
  <c r="P35" i="4"/>
  <c r="T25" i="4"/>
  <c r="T36" i="4"/>
  <c r="AE27" i="4"/>
  <c r="K30" i="4"/>
  <c r="T38" i="4"/>
  <c r="H32" i="4"/>
  <c r="O20" i="4"/>
  <c r="V42" i="4"/>
  <c r="Z19" i="4"/>
  <c r="Y39" i="4"/>
  <c r="O23" i="4"/>
  <c r="C42" i="4"/>
  <c r="W15" i="4"/>
  <c r="X42" i="4"/>
  <c r="AD19" i="4"/>
  <c r="P23" i="4"/>
  <c r="D42" i="4"/>
  <c r="D39" i="4"/>
  <c r="T33" i="4"/>
  <c r="AE33" i="4"/>
  <c r="P10" i="4"/>
  <c r="K22" i="4"/>
  <c r="O18" i="4"/>
  <c r="F42" i="4"/>
  <c r="G42" i="4"/>
  <c r="H18" i="4"/>
  <c r="X39" i="4"/>
  <c r="J41" i="4"/>
  <c r="J39" i="4"/>
  <c r="K13" i="4"/>
  <c r="K9" i="4"/>
  <c r="Z32" i="4"/>
  <c r="R41" i="4"/>
  <c r="R39" i="4"/>
  <c r="AD8" i="4"/>
  <c r="AE8" i="4"/>
  <c r="S41" i="4"/>
  <c r="S39" i="4"/>
  <c r="T8" i="4"/>
  <c r="N12" i="4"/>
  <c r="Y43" i="4"/>
  <c r="Z28" i="4"/>
  <c r="AC10" i="4"/>
  <c r="H31" i="4"/>
  <c r="U41" i="4"/>
  <c r="N17" i="4"/>
  <c r="Z38" i="4"/>
  <c r="M43" i="4"/>
  <c r="N9" i="4"/>
  <c r="H10" i="4"/>
  <c r="T12" i="4"/>
  <c r="H14" i="4"/>
  <c r="J42" i="4"/>
  <c r="T21" i="4"/>
  <c r="N26" i="4"/>
  <c r="F43" i="4"/>
  <c r="Z33" i="4"/>
  <c r="N35" i="4"/>
  <c r="W8" i="4"/>
  <c r="O9" i="4"/>
  <c r="W34" i="4"/>
  <c r="X41" i="4"/>
  <c r="K14" i="4"/>
  <c r="W25" i="4"/>
  <c r="T30" i="4"/>
  <c r="Z16" i="4"/>
  <c r="M42" i="4"/>
  <c r="W21" i="4"/>
  <c r="K23" i="4"/>
  <c r="AE24" i="4"/>
  <c r="AD38" i="4"/>
  <c r="R43" i="4"/>
  <c r="C41" i="4"/>
  <c r="N18" i="4"/>
  <c r="AC20" i="4"/>
  <c r="T22" i="4"/>
  <c r="AB43" i="4"/>
  <c r="S43" i="4"/>
  <c r="R42" i="4"/>
  <c r="T35" i="4"/>
  <c r="P36" i="4"/>
  <c r="C39" i="4"/>
  <c r="H11" i="4"/>
  <c r="T27" i="4"/>
  <c r="G43" i="4"/>
  <c r="P29" i="4"/>
  <c r="H20" i="4"/>
  <c r="H29" i="4"/>
  <c r="AE29" i="4"/>
  <c r="P34" i="4"/>
  <c r="W35" i="4"/>
  <c r="AD10" i="4"/>
  <c r="O12" i="4"/>
  <c r="O21" i="4"/>
  <c r="AC21" i="4"/>
  <c r="O28" i="4"/>
  <c r="T31" i="4"/>
  <c r="I39" i="4"/>
  <c r="P12" i="4"/>
  <c r="Z13" i="4"/>
  <c r="Z17" i="4"/>
  <c r="P21" i="4"/>
  <c r="O30" i="4"/>
  <c r="N32" i="4"/>
  <c r="K33" i="4"/>
  <c r="Y42" i="4"/>
  <c r="W24" i="4"/>
  <c r="D43" i="4"/>
  <c r="K18" i="4"/>
  <c r="Y41" i="4"/>
  <c r="Z8" i="4"/>
  <c r="S42" i="4"/>
  <c r="AA41" i="4"/>
  <c r="T17" i="4"/>
  <c r="N27" i="4"/>
  <c r="AD20" i="4"/>
  <c r="AC29" i="4"/>
  <c r="F41" i="4"/>
  <c r="AE11" i="4"/>
  <c r="AA39" i="4"/>
  <c r="AD28" i="4"/>
  <c r="P37" i="4"/>
  <c r="AE28" i="4"/>
  <c r="M39" i="4"/>
  <c r="F39" i="4"/>
  <c r="AC9" i="4"/>
  <c r="H21" i="4"/>
  <c r="P24" i="4"/>
  <c r="AC26" i="4"/>
  <c r="T28" i="4"/>
  <c r="AE37" i="4"/>
  <c r="N38" i="4"/>
  <c r="AB41" i="4"/>
  <c r="AB42" i="4"/>
  <c r="G39" i="4"/>
  <c r="P9" i="4"/>
  <c r="AD9" i="4"/>
  <c r="AE13" i="4"/>
  <c r="AD15" i="4"/>
  <c r="AD24" i="4"/>
  <c r="U43" i="4"/>
  <c r="H30" i="4"/>
  <c r="AD32" i="4"/>
  <c r="K34" i="4"/>
  <c r="T37" i="4"/>
  <c r="U39" i="4"/>
  <c r="D41" i="4"/>
  <c r="V41" i="4"/>
  <c r="O8" i="4"/>
  <c r="P18" i="4"/>
  <c r="AE22" i="4"/>
  <c r="O27" i="4"/>
  <c r="V43" i="4"/>
  <c r="O36" i="4"/>
  <c r="W20" i="4"/>
  <c r="K19" i="4"/>
  <c r="T26" i="4"/>
  <c r="AE23" i="4"/>
  <c r="L39" i="4"/>
  <c r="AB39" i="4"/>
  <c r="AC39" i="4" s="1"/>
  <c r="AE19" i="4"/>
  <c r="W23" i="4"/>
  <c r="AE32" i="4"/>
  <c r="AE15" i="4"/>
  <c r="P8" i="4"/>
  <c r="O14" i="4"/>
  <c r="T15" i="4"/>
  <c r="H26" i="4"/>
  <c r="P27" i="4"/>
  <c r="W28" i="4"/>
  <c r="AC42" i="11" l="1"/>
  <c r="I44" i="4"/>
  <c r="K43" i="4"/>
  <c r="H42" i="4"/>
  <c r="Z43" i="11"/>
  <c r="N41" i="4"/>
  <c r="L44" i="4"/>
  <c r="Z42" i="11"/>
  <c r="N39" i="4"/>
  <c r="L44" i="11"/>
  <c r="M44" i="4"/>
  <c r="E39" i="4"/>
  <c r="S44" i="11"/>
  <c r="E42" i="4"/>
  <c r="R44" i="11"/>
  <c r="E43" i="4"/>
  <c r="Z39" i="11"/>
  <c r="Z42" i="4"/>
  <c r="N42" i="11"/>
  <c r="N43" i="11"/>
  <c r="K42" i="4"/>
  <c r="H39" i="11"/>
  <c r="E42" i="11"/>
  <c r="K43" i="11"/>
  <c r="N39" i="11"/>
  <c r="E39" i="11"/>
  <c r="W39" i="4"/>
  <c r="AE42" i="4"/>
  <c r="AC42" i="4"/>
  <c r="W42" i="4"/>
  <c r="AA44" i="11"/>
  <c r="Z43" i="4"/>
  <c r="W39" i="11"/>
  <c r="AA44" i="4"/>
  <c r="AC43" i="4"/>
  <c r="W42" i="11"/>
  <c r="N42" i="4"/>
  <c r="N43" i="4"/>
  <c r="K39" i="11"/>
  <c r="K39" i="4"/>
  <c r="H42" i="11"/>
  <c r="W43" i="11"/>
  <c r="P42" i="11"/>
  <c r="AC43" i="11"/>
  <c r="AC39" i="11"/>
  <c r="E43" i="11"/>
  <c r="X44" i="11"/>
  <c r="AE43" i="11"/>
  <c r="O41" i="11"/>
  <c r="O39" i="11"/>
  <c r="H43" i="11"/>
  <c r="T43" i="11"/>
  <c r="G44" i="11"/>
  <c r="H41" i="11"/>
  <c r="AE42" i="11"/>
  <c r="P39" i="11"/>
  <c r="P41" i="11"/>
  <c r="AD42" i="11"/>
  <c r="AE39" i="11"/>
  <c r="AE41" i="11"/>
  <c r="AD39" i="11"/>
  <c r="AD41" i="11"/>
  <c r="O43" i="11"/>
  <c r="K42" i="11"/>
  <c r="E41" i="11"/>
  <c r="D44" i="11"/>
  <c r="P43" i="11"/>
  <c r="Z41" i="11"/>
  <c r="Y44" i="11"/>
  <c r="F44" i="11"/>
  <c r="T41" i="11"/>
  <c r="K41" i="11"/>
  <c r="J44" i="11"/>
  <c r="I44" i="11"/>
  <c r="AC41" i="11"/>
  <c r="AB44" i="11"/>
  <c r="AD43" i="11"/>
  <c r="V44" i="11"/>
  <c r="W41" i="11"/>
  <c r="M44" i="11"/>
  <c r="N41" i="11"/>
  <c r="T39" i="11"/>
  <c r="T42" i="11"/>
  <c r="U44" i="11"/>
  <c r="O42" i="11"/>
  <c r="C44" i="11"/>
  <c r="AD42" i="4"/>
  <c r="R44" i="4"/>
  <c r="P43" i="4"/>
  <c r="H43" i="4"/>
  <c r="F44" i="4"/>
  <c r="T43" i="4"/>
  <c r="AD39" i="4"/>
  <c r="AD41" i="4"/>
  <c r="AE43" i="4"/>
  <c r="AD43" i="4"/>
  <c r="J44" i="4"/>
  <c r="K41" i="4"/>
  <c r="W43" i="4"/>
  <c r="X44" i="4"/>
  <c r="AB44" i="4"/>
  <c r="AC41" i="4"/>
  <c r="H39" i="4"/>
  <c r="O39" i="4"/>
  <c r="O41" i="4"/>
  <c r="O42" i="4"/>
  <c r="S44" i="4"/>
  <c r="T41" i="4"/>
  <c r="H41" i="4"/>
  <c r="P42" i="4"/>
  <c r="V44" i="4"/>
  <c r="W41" i="4"/>
  <c r="T42" i="4"/>
  <c r="P41" i="4"/>
  <c r="P39" i="4"/>
  <c r="E41" i="4"/>
  <c r="D44" i="4"/>
  <c r="Z41" i="4"/>
  <c r="Y44" i="4"/>
  <c r="G44" i="4"/>
  <c r="C44" i="4"/>
  <c r="Z39" i="4"/>
  <c r="U44" i="4"/>
  <c r="O43" i="4"/>
  <c r="T39" i="4"/>
  <c r="AE41" i="4"/>
  <c r="AE39" i="4"/>
  <c r="AE44" i="4" l="1"/>
  <c r="P44" i="11"/>
  <c r="O44" i="11"/>
  <c r="AD44" i="11"/>
  <c r="AE44" i="11"/>
  <c r="AD44" i="4"/>
  <c r="O44" i="4"/>
  <c r="P44" i="4"/>
</calcChain>
</file>

<file path=xl/sharedStrings.xml><?xml version="1.0" encoding="utf-8"?>
<sst xmlns="http://schemas.openxmlformats.org/spreadsheetml/2006/main" count="272" uniqueCount="30">
  <si>
    <t>x</t>
  </si>
  <si>
    <t>SALES VOLUME</t>
  </si>
  <si>
    <t>North Point</t>
  </si>
  <si>
    <t>Total Sales</t>
  </si>
  <si>
    <t>Fleet Sales</t>
  </si>
  <si>
    <t>Extra</t>
  </si>
  <si>
    <t>Supreme</t>
  </si>
  <si>
    <t>Diesel</t>
  </si>
  <si>
    <t>LPG</t>
  </si>
  <si>
    <t>Total</t>
  </si>
  <si>
    <t>Date</t>
  </si>
  <si>
    <t>Litre</t>
  </si>
  <si>
    <t>Amount (HKD)</t>
  </si>
  <si>
    <t>Pump Price</t>
  </si>
  <si>
    <t>Subtotal</t>
  </si>
  <si>
    <t>Notes</t>
  </si>
  <si>
    <t xml:space="preserve">On the subtotal row, the pump price is the total amount (HKD) divided by the total volume (Litre) in the corresponding time period. </t>
  </si>
  <si>
    <t>ExxonMobil Fleet Card Sales</t>
  </si>
  <si>
    <t>Amount</t>
  </si>
  <si>
    <t>Chai Wan</t>
  </si>
  <si>
    <t>TOTAL SALES</t>
  </si>
  <si>
    <t>Sales CW Automation</t>
  </si>
  <si>
    <r>
      <rPr>
        <b/>
        <sz val="11"/>
        <color theme="1"/>
        <rFont val="Aptos Narrow"/>
        <family val="2"/>
        <scheme val="minor"/>
      </rPr>
      <t>Step 2:</t>
    </r>
    <r>
      <rPr>
        <sz val="11"/>
        <color theme="1"/>
        <rFont val="Aptos Narrow"/>
        <family val="2"/>
        <scheme val="minor"/>
      </rPr>
      <t xml:space="preserve"> Run the macro to clean data</t>
    </r>
  </si>
  <si>
    <t>Sales NP Automation</t>
  </si>
  <si>
    <r>
      <rPr>
        <b/>
        <sz val="11"/>
        <color theme="1"/>
        <rFont val="Aptos Narrow"/>
        <family val="2"/>
        <scheme val="minor"/>
      </rPr>
      <t xml:space="preserve">Step 4: </t>
    </r>
    <r>
      <rPr>
        <sz val="11"/>
        <color theme="1"/>
        <rFont val="Aptos Narrow"/>
        <family val="2"/>
        <scheme val="minor"/>
      </rPr>
      <t>Run the macro to break links. Please find the final output on sheet &lt;Sales_CW&gt;.</t>
    </r>
  </si>
  <si>
    <r>
      <rPr>
        <b/>
        <sz val="11"/>
        <color theme="1"/>
        <rFont val="Aptos Narrow"/>
        <family val="2"/>
        <scheme val="minor"/>
      </rPr>
      <t xml:space="preserve">Step 4: </t>
    </r>
    <r>
      <rPr>
        <sz val="11"/>
        <color theme="1"/>
        <rFont val="Aptos Narrow"/>
        <family val="2"/>
        <scheme val="minor"/>
      </rPr>
      <t>Run the macro to break links. Please find the final output on sheet &lt;Sales_NP&gt;.</t>
    </r>
  </si>
  <si>
    <r>
      <rPr>
        <b/>
        <sz val="11"/>
        <color theme="1"/>
        <rFont val="Aptos Narrow"/>
        <family val="2"/>
        <scheme val="minor"/>
      </rPr>
      <t xml:space="preserve">Step 3: </t>
    </r>
    <r>
      <rPr>
        <sz val="11"/>
        <color theme="1"/>
        <rFont val="Aptos Narrow"/>
        <family val="2"/>
        <scheme val="minor"/>
      </rPr>
      <t>Please go to sheet &lt;Sales_CW_Working&gt;, refresh your formulas or calculations.</t>
    </r>
  </si>
  <si>
    <r>
      <rPr>
        <b/>
        <sz val="11"/>
        <color theme="1"/>
        <rFont val="Aptos Narrow"/>
        <family val="2"/>
        <scheme val="minor"/>
      </rPr>
      <t xml:space="preserve">Step 3: </t>
    </r>
    <r>
      <rPr>
        <sz val="11"/>
        <color theme="1"/>
        <rFont val="Aptos Narrow"/>
        <family val="2"/>
        <scheme val="minor"/>
      </rPr>
      <t>Please go to sheet &lt;Sales_NP_Working&gt;, refresh your formulas or calculations.</t>
    </r>
  </si>
  <si>
    <r>
      <t>Step 1:</t>
    </r>
    <r>
      <rPr>
        <sz val="11"/>
        <color theme="1"/>
        <rFont val="Aptos Narrow"/>
        <family val="2"/>
        <scheme val="minor"/>
      </rPr>
      <t xml:space="preserve"> Please go to sheet &lt;Sales Report_CW&gt;, clear template ranges, update the time period in cell B4/L4 andcopy and paste from EOD reports.</t>
    </r>
  </si>
  <si>
    <r>
      <t>Step 1:</t>
    </r>
    <r>
      <rPr>
        <sz val="11"/>
        <color theme="1"/>
        <rFont val="Aptos Narrow"/>
        <family val="2"/>
        <scheme val="minor"/>
      </rPr>
      <t xml:space="preserve"> Please go to sheet &lt;Sales Report_NP&gt;, clear template ranges, update the time period in cell B4/L4 andcopy and paste from EOD reports.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</si>
</sst>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10"/>
      <color rgb="FF000000"/>
      <name val="Arial"/>
      <family val="2"/>
    </font>
    <font>
      <b/>
      <sz val="11"/>
      <color theme="1"/>
      <name val="Arial"/>
      <family val="2"/>
    </font>
    <font>
      <b/>
      <u/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u/>
      <sz val="11"/>
      <color theme="1"/>
      <name val="Aptos Narrow"/>
      <family val="2"/>
      <scheme val="minor"/>
    </font>
    <font>
      <b/>
      <u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17" fontId="2" fillId="2" borderId="0" xfId="0" applyNumberFormat="1" applyFont="1" applyFill="1" applyAlignment="1">
      <alignment vertical="center"/>
    </xf>
    <xf numFmtId="0" fontId="6" fillId="2" borderId="3" xfId="0" applyFont="1" applyFill="1" applyBorder="1" applyAlignment="1">
      <alignment vertical="center"/>
    </xf>
    <xf numFmtId="4" fontId="3" fillId="2" borderId="0" xfId="0" applyNumberFormat="1" applyFont="1" applyFill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4" fontId="3" fillId="0" borderId="0" xfId="0" applyNumberFormat="1" applyFont="1" applyAlignment="1">
      <alignment horizontal="right" vertical="center"/>
    </xf>
    <xf numFmtId="17" fontId="3" fillId="0" borderId="0" xfId="0" applyNumberFormat="1" applyFont="1" applyAlignment="1">
      <alignment vertical="center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0" fillId="0" borderId="0" xfId="0" applyFont="1"/>
    <xf numFmtId="0" fontId="0" fillId="0" borderId="0" xfId="0" applyAlignment="1">
      <alignment vertical="center"/>
    </xf>
    <xf numFmtId="0" fontId="10" fillId="0" borderId="0" xfId="0" applyFont="1" applyAlignment="1">
      <alignment vertical="center" wrapText="1"/>
    </xf>
    <xf numFmtId="14" fontId="3" fillId="2" borderId="0" xfId="0" applyNumberFormat="1" applyFont="1" applyFill="1" applyAlignment="1">
      <alignment horizontal="left" vertical="center"/>
    </xf>
    <xf numFmtId="4" fontId="3" fillId="2" borderId="0" xfId="0" applyNumberFormat="1" applyFont="1" applyFill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7" fillId="0" borderId="2" xfId="0" applyFont="1" applyBorder="1" applyAlignment="1">
      <alignment horizontal="left" vertical="center"/>
    </xf>
    <xf numFmtId="0" fontId="6" fillId="2" borderId="3" xfId="0" applyFont="1" applyFill="1" applyBorder="1" applyAlignment="1">
      <alignment horizontal="right" vertical="center"/>
    </xf>
    <xf numFmtId="4" fontId="7" fillId="0" borderId="2" xfId="0" applyNumberFormat="1" applyFont="1" applyBorder="1" applyAlignment="1">
      <alignment horizontal="right" vertical="center"/>
    </xf>
    <xf numFmtId="14" fontId="3" fillId="0" borderId="0" xfId="0" applyNumberFormat="1" applyFont="1" applyAlignment="1">
      <alignment horizontal="left" vertical="center"/>
    </xf>
    <xf numFmtId="164" fontId="7" fillId="0" borderId="2" xfId="0" applyNumberFormat="1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5" fillId="2" borderId="2" xfId="0" applyFont="1" applyFill="1" applyBorder="1" applyAlignment="1">
      <alignment horizontal="right" vertical="center"/>
    </xf>
    <xf numFmtId="0" fontId="6" fillId="2" borderId="2" xfId="0" applyFont="1" applyFill="1" applyBorder="1" applyAlignment="1">
      <alignment horizontal="right" vertical="center"/>
    </xf>
    <xf numFmtId="0" fontId="12" fillId="0" borderId="0" xfId="0" applyFont="1"/>
    <xf numFmtId="0" fontId="3" fillId="0" borderId="4" xfId="0" applyFont="1" applyBorder="1" applyAlignment="1">
      <alignment horizontal="right" vertical="center"/>
    </xf>
    <xf numFmtId="4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5" xfId="0" applyFont="1" applyBorder="1" applyAlignment="1">
      <alignment horizontal="right" vertical="center"/>
    </xf>
    <xf numFmtId="4" fontId="3" fillId="0" borderId="6" xfId="0" applyNumberFormat="1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4" fontId="3" fillId="0" borderId="3" xfId="0" applyNumberFormat="1" applyFont="1" applyBorder="1" applyAlignment="1">
      <alignment horizontal="right" vertical="center"/>
    </xf>
    <xf numFmtId="0" fontId="3" fillId="0" borderId="3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7" fontId="3" fillId="0" borderId="1" xfId="0" applyNumberFormat="1" applyFont="1" applyBorder="1" applyAlignment="1">
      <alignment horizontal="left" vertical="center"/>
    </xf>
    <xf numFmtId="17" fontId="3" fillId="2" borderId="0" xfId="0" applyNumberFormat="1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19050</xdr:rowOff>
        </xdr:from>
        <xdr:to>
          <xdr:col>1</xdr:col>
          <xdr:colOff>38100</xdr:colOff>
          <xdr:row>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2: 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18</xdr:row>
          <xdr:rowOff>19050</xdr:rowOff>
        </xdr:from>
        <xdr:to>
          <xdr:col>1</xdr:col>
          <xdr:colOff>38100</xdr:colOff>
          <xdr:row>19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2: 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9525</xdr:rowOff>
        </xdr:from>
        <xdr:to>
          <xdr:col>1</xdr:col>
          <xdr:colOff>38100</xdr:colOff>
          <xdr:row>11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4: Break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9525</xdr:rowOff>
        </xdr:from>
        <xdr:to>
          <xdr:col>1</xdr:col>
          <xdr:colOff>38100</xdr:colOff>
          <xdr:row>24</xdr:row>
          <xdr:rowOff>28575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4: Break Links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BC7E-E734-4214-AC24-0ECAC2D5B5B5}">
  <sheetPr codeName="Sheet1"/>
  <dimension ref="A1:A23"/>
  <sheetViews>
    <sheetView showGridLines="0" tabSelected="1" workbookViewId="0"/>
  </sheetViews>
  <sheetFormatPr defaultRowHeight="15" x14ac:dyDescent="0.25"/>
  <cols>
    <col min="1" max="1" width="26.28515625" bestFit="1" customWidth="1"/>
    <col min="2" max="2" width="24.7109375" customWidth="1"/>
  </cols>
  <sheetData>
    <row r="1" spans="1:1" x14ac:dyDescent="0.25">
      <c r="A1" s="33" t="s">
        <v>21</v>
      </c>
    </row>
    <row r="3" spans="1:1" x14ac:dyDescent="0.25">
      <c r="A3" s="18" t="s">
        <v>28</v>
      </c>
    </row>
    <row r="5" spans="1:1" x14ac:dyDescent="0.25">
      <c r="A5" s="19" t="s">
        <v>22</v>
      </c>
    </row>
    <row r="6" spans="1:1" x14ac:dyDescent="0.25">
      <c r="A6" s="20"/>
    </row>
    <row r="8" spans="1:1" x14ac:dyDescent="0.25">
      <c r="A8" t="s">
        <v>26</v>
      </c>
    </row>
    <row r="10" spans="1:1" x14ac:dyDescent="0.25">
      <c r="A10" t="s">
        <v>24</v>
      </c>
    </row>
    <row r="14" spans="1:1" x14ac:dyDescent="0.25">
      <c r="A14" s="33" t="s">
        <v>23</v>
      </c>
    </row>
    <row r="16" spans="1:1" x14ac:dyDescent="0.25">
      <c r="A16" s="18" t="s">
        <v>29</v>
      </c>
    </row>
    <row r="18" spans="1:1" x14ac:dyDescent="0.25">
      <c r="A18" s="19" t="s">
        <v>22</v>
      </c>
    </row>
    <row r="19" spans="1:1" x14ac:dyDescent="0.25">
      <c r="A19" s="20"/>
    </row>
    <row r="21" spans="1:1" x14ac:dyDescent="0.25">
      <c r="A21" t="s">
        <v>27</v>
      </c>
    </row>
    <row r="23" spans="1:1" x14ac:dyDescent="0.25">
      <c r="A23" t="s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tep2_CleanSalesReportCW">
                <anchor moveWithCells="1" sizeWithCells="1">
                  <from>
                    <xdr:col>0</xdr:col>
                    <xdr:colOff>28575</xdr:colOff>
                    <xdr:row>5</xdr:row>
                    <xdr:rowOff>19050</xdr:rowOff>
                  </from>
                  <to>
                    <xdr:col>1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tep2_CleanSalesReportNP">
                <anchor moveWithCells="1" sizeWithCells="1">
                  <from>
                    <xdr:col>0</xdr:col>
                    <xdr:colOff>28575</xdr:colOff>
                    <xdr:row>18</xdr:row>
                    <xdr:rowOff>19050</xdr:rowOff>
                  </from>
                  <to>
                    <xdr:col>1</xdr:col>
                    <xdr:colOff>38100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Step4_CopyPaste_CW">
                <anchor moveWithCells="1" sizeWithCells="1">
                  <from>
                    <xdr:col>0</xdr:col>
                    <xdr:colOff>0</xdr:colOff>
                    <xdr:row>10</xdr:row>
                    <xdr:rowOff>9525</xdr:rowOff>
                  </from>
                  <to>
                    <xdr:col>1</xdr:col>
                    <xdr:colOff>38100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tep4_CopyPaste_NP">
                <anchor moveWithCells="1" sizeWithCells="1">
                  <from>
                    <xdr:col>0</xdr:col>
                    <xdr:colOff>0</xdr:colOff>
                    <xdr:row>23</xdr:row>
                    <xdr:rowOff>9525</xdr:rowOff>
                  </from>
                  <to>
                    <xdr:col>1</xdr:col>
                    <xdr:colOff>38100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8A660-4450-4E0B-9FB5-C91F69808E92}">
  <sheetPr codeName="Sheet8">
    <tabColor theme="0" tint="-0.34998626667073579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E2A1F-FC31-41DB-AE4B-4FC3D59F6479}">
  <sheetPr codeName="Sheet4"/>
  <dimension ref="A1:AE79"/>
  <sheetViews>
    <sheetView showGridLines="0" workbookViewId="0">
      <pane xSplit="2" ySplit="7" topLeftCell="C8" activePane="bottomRight" state="frozen"/>
      <selection activeCell="I8" sqref="I8"/>
      <selection pane="topRight" activeCell="I8" sqref="I8"/>
      <selection pane="bottomLeft" activeCell="I8" sqref="I8"/>
      <selection pane="bottomRight" activeCell="C8" sqref="C8"/>
    </sheetView>
  </sheetViews>
  <sheetFormatPr defaultColWidth="9.140625" defaultRowHeight="14.25" x14ac:dyDescent="0.25"/>
  <cols>
    <col min="1" max="1" width="9.140625" style="12"/>
    <col min="2" max="2" width="12.42578125" style="12" bestFit="1" customWidth="1"/>
    <col min="3" max="3" width="10.140625" style="12" bestFit="1" customWidth="1"/>
    <col min="4" max="4" width="13.5703125" style="12" bestFit="1" customWidth="1"/>
    <col min="5" max="5" width="12.140625" style="12" bestFit="1" customWidth="1"/>
    <col min="6" max="6" width="14.5703125" style="12" bestFit="1" customWidth="1"/>
    <col min="7" max="7" width="12.140625" style="12" bestFit="1" customWidth="1"/>
    <col min="8" max="8" width="14.5703125" style="12" bestFit="1" customWidth="1"/>
    <col min="9" max="9" width="12.140625" style="12" bestFit="1" customWidth="1"/>
    <col min="10" max="10" width="14.5703125" style="12" bestFit="1" customWidth="1"/>
    <col min="11" max="11" width="12.85546875" style="12" bestFit="1" customWidth="1"/>
    <col min="12" max="16" width="15.7109375" style="12" customWidth="1"/>
    <col min="17" max="17" width="9.140625" style="12"/>
    <col min="18" max="18" width="10.140625" style="12" bestFit="1" customWidth="1"/>
    <col min="19" max="19" width="13.5703125" style="12" bestFit="1" customWidth="1"/>
    <col min="20" max="20" width="12.140625" style="12" bestFit="1" customWidth="1"/>
    <col min="21" max="21" width="14.5703125" style="12" bestFit="1" customWidth="1"/>
    <col min="22" max="22" width="12.140625" style="12" bestFit="1" customWidth="1"/>
    <col min="23" max="23" width="14.5703125" style="12" bestFit="1" customWidth="1"/>
    <col min="24" max="24" width="12.140625" style="12" bestFit="1" customWidth="1"/>
    <col min="25" max="25" width="14.5703125" style="12" bestFit="1" customWidth="1"/>
    <col min="26" max="26" width="12.85546875" style="12" bestFit="1" customWidth="1"/>
    <col min="27" max="31" width="15.7109375" style="12" customWidth="1"/>
    <col min="32" max="16384" width="9.140625" style="12"/>
  </cols>
  <sheetData>
    <row r="1" spans="1:31" x14ac:dyDescent="0.25">
      <c r="A1" s="12" t="s">
        <v>0</v>
      </c>
      <c r="P1" s="12" t="s">
        <v>0</v>
      </c>
    </row>
    <row r="2" spans="1:31" ht="15.95" customHeight="1" x14ac:dyDescent="0.25"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31" ht="15" x14ac:dyDescent="0.25">
      <c r="B3" s="2" t="s">
        <v>19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31" ht="15" x14ac:dyDescent="0.25">
      <c r="B4" s="54">
        <v>45839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"/>
      <c r="P4" s="3"/>
    </row>
    <row r="5" spans="1:31" ht="15" x14ac:dyDescent="0.25">
      <c r="C5" s="13" t="s">
        <v>3</v>
      </c>
      <c r="R5" s="13" t="s">
        <v>4</v>
      </c>
    </row>
    <row r="6" spans="1:31" s="30" customFormat="1" x14ac:dyDescent="0.25">
      <c r="C6" s="31" t="s">
        <v>5</v>
      </c>
      <c r="D6" s="32"/>
      <c r="E6" s="32"/>
      <c r="F6" s="31" t="s">
        <v>6</v>
      </c>
      <c r="G6" s="32"/>
      <c r="H6" s="32"/>
      <c r="I6" s="31" t="s">
        <v>7</v>
      </c>
      <c r="J6" s="32"/>
      <c r="K6" s="32"/>
      <c r="L6" s="31" t="s">
        <v>8</v>
      </c>
      <c r="M6" s="32"/>
      <c r="N6" s="32"/>
      <c r="O6" s="31" t="s">
        <v>9</v>
      </c>
      <c r="P6" s="31" t="s">
        <v>9</v>
      </c>
      <c r="R6" s="31" t="s">
        <v>5</v>
      </c>
      <c r="S6" s="32"/>
      <c r="T6" s="32"/>
      <c r="U6" s="31" t="s">
        <v>6</v>
      </c>
      <c r="V6" s="32"/>
      <c r="W6" s="32"/>
      <c r="X6" s="31" t="s">
        <v>7</v>
      </c>
      <c r="Y6" s="32"/>
      <c r="Z6" s="32"/>
      <c r="AA6" s="31" t="s">
        <v>8</v>
      </c>
      <c r="AB6" s="32"/>
      <c r="AC6" s="32"/>
      <c r="AD6" s="31" t="s">
        <v>9</v>
      </c>
      <c r="AE6" s="31" t="s">
        <v>9</v>
      </c>
    </row>
    <row r="7" spans="1:31" x14ac:dyDescent="0.25">
      <c r="B7" s="4" t="s">
        <v>10</v>
      </c>
      <c r="C7" s="25" t="s">
        <v>11</v>
      </c>
      <c r="D7" s="25" t="s">
        <v>12</v>
      </c>
      <c r="E7" s="25" t="s">
        <v>13</v>
      </c>
      <c r="F7" s="25" t="s">
        <v>11</v>
      </c>
      <c r="G7" s="25" t="s">
        <v>12</v>
      </c>
      <c r="H7" s="25" t="s">
        <v>13</v>
      </c>
      <c r="I7" s="25" t="s">
        <v>11</v>
      </c>
      <c r="J7" s="25" t="s">
        <v>12</v>
      </c>
      <c r="K7" s="25" t="s">
        <v>13</v>
      </c>
      <c r="L7" s="25" t="s">
        <v>11</v>
      </c>
      <c r="M7" s="25" t="s">
        <v>12</v>
      </c>
      <c r="N7" s="25" t="s">
        <v>13</v>
      </c>
      <c r="O7" s="25" t="s">
        <v>11</v>
      </c>
      <c r="P7" s="25" t="s">
        <v>12</v>
      </c>
      <c r="R7" s="25" t="s">
        <v>11</v>
      </c>
      <c r="S7" s="25" t="s">
        <v>12</v>
      </c>
      <c r="T7" s="25" t="s">
        <v>13</v>
      </c>
      <c r="U7" s="25" t="s">
        <v>11</v>
      </c>
      <c r="V7" s="25" t="s">
        <v>12</v>
      </c>
      <c r="W7" s="25" t="s">
        <v>13</v>
      </c>
      <c r="X7" s="25" t="s">
        <v>11</v>
      </c>
      <c r="Y7" s="25" t="s">
        <v>12</v>
      </c>
      <c r="Z7" s="25" t="s">
        <v>13</v>
      </c>
      <c r="AA7" s="25" t="s">
        <v>11</v>
      </c>
      <c r="AB7" s="25" t="s">
        <v>12</v>
      </c>
      <c r="AC7" s="25" t="s">
        <v>13</v>
      </c>
      <c r="AD7" s="25" t="s">
        <v>11</v>
      </c>
      <c r="AE7" s="25" t="s">
        <v>12</v>
      </c>
    </row>
    <row r="8" spans="1:31" ht="15" x14ac:dyDescent="0.25">
      <c r="B8" s="21">
        <f>IF(DAY(DATE(YEAR($B$4),MONTH($B$4),ROW()-7))=ROW()-7,DATE(YEAR($B$4),MONTH($B$4),ROW()-7),"")</f>
        <v>45839</v>
      </c>
      <c r="C8" s="22">
        <f>'Sales Report_CW'!$C8</f>
        <v>0</v>
      </c>
      <c r="D8" s="22">
        <f>'Sales Report_CW'!$D8</f>
        <v>0</v>
      </c>
      <c r="E8" s="23" t="str">
        <f>IFERROR(D8/C8,"")</f>
        <v/>
      </c>
      <c r="F8" s="22">
        <f>'Sales Report_CW'!$E8</f>
        <v>0</v>
      </c>
      <c r="G8" s="22">
        <f>'Sales Report_CW'!$F8</f>
        <v>0</v>
      </c>
      <c r="H8" s="23" t="str">
        <f>IFERROR(G8/F8,"-")</f>
        <v>-</v>
      </c>
      <c r="I8" s="22">
        <f>'Sales Report_CW'!$G8</f>
        <v>0</v>
      </c>
      <c r="J8" s="22">
        <f>'Sales Report_CW'!$H8</f>
        <v>0</v>
      </c>
      <c r="K8" s="23" t="str">
        <f>IFERROR(J8/I8,"-")</f>
        <v>-</v>
      </c>
      <c r="L8" s="22">
        <f>'Sales Report_CW'!$I8</f>
        <v>0</v>
      </c>
      <c r="M8" s="22">
        <f>'Sales Report_CW'!$J8</f>
        <v>0</v>
      </c>
      <c r="N8" s="23" t="str">
        <f>IFERROR(M8/L8,"-")</f>
        <v>-</v>
      </c>
      <c r="O8" s="22">
        <f>C8+F8+I8+L8</f>
        <v>0</v>
      </c>
      <c r="P8" s="22">
        <f>D8+G8+J8+M8</f>
        <v>0</v>
      </c>
      <c r="R8" s="22">
        <f>'Sales Report_CW'!$M8</f>
        <v>0</v>
      </c>
      <c r="S8" s="22">
        <f>'Sales Report_CW'!$N8</f>
        <v>0</v>
      </c>
      <c r="T8" s="23" t="str">
        <f>IFERROR(S8/R8,"-")</f>
        <v>-</v>
      </c>
      <c r="U8" s="22">
        <f>'Sales Report_CW'!$O8</f>
        <v>0</v>
      </c>
      <c r="V8" s="22">
        <f>'Sales Report_CW'!$P8</f>
        <v>0</v>
      </c>
      <c r="W8" s="23" t="str">
        <f>IFERROR(V8/U8,"-")</f>
        <v>-</v>
      </c>
      <c r="X8" s="22">
        <f>'Sales Report_CW'!$Q8</f>
        <v>0</v>
      </c>
      <c r="Y8" s="22">
        <f>'Sales Report_CW'!$R8</f>
        <v>0</v>
      </c>
      <c r="Z8" s="23" t="str">
        <f>IFERROR(Y8/X8,"-")</f>
        <v>-</v>
      </c>
      <c r="AA8" s="22">
        <f>'Sales Report_CW'!$S8</f>
        <v>0</v>
      </c>
      <c r="AB8" s="22">
        <f>'Sales Report_CW'!$T8</f>
        <v>0</v>
      </c>
      <c r="AC8" s="23" t="str">
        <f>IFERROR(AB8/AA8,"-")</f>
        <v>-</v>
      </c>
      <c r="AD8" s="22">
        <f>R8+U8+X8+AA8</f>
        <v>0</v>
      </c>
      <c r="AE8" s="22">
        <f>S8+V8+Y8+AB8</f>
        <v>0</v>
      </c>
    </row>
    <row r="9" spans="1:31" ht="15" x14ac:dyDescent="0.25">
      <c r="B9" s="21">
        <f t="shared" ref="B9:B38" si="0">IF(DAY(DATE(YEAR($B$4),MONTH($B$4),ROW()-7))=ROW()-7,DATE(YEAR($B$4),MONTH($B$4),ROW()-7),"")</f>
        <v>45840</v>
      </c>
      <c r="C9" s="22">
        <f>'Sales Report_CW'!$C9</f>
        <v>0</v>
      </c>
      <c r="D9" s="22">
        <f>'Sales Report_CW'!$D9</f>
        <v>0</v>
      </c>
      <c r="E9" s="23" t="str">
        <f t="shared" ref="E9:E38" si="1">IFERROR(D9/C9,"")</f>
        <v/>
      </c>
      <c r="F9" s="22">
        <f>'Sales Report_CW'!$E9</f>
        <v>0</v>
      </c>
      <c r="G9" s="22">
        <f>'Sales Report_CW'!$F9</f>
        <v>0</v>
      </c>
      <c r="H9" s="23" t="str">
        <f t="shared" ref="H9:H38" si="2">IFERROR(G9/F9,"-")</f>
        <v>-</v>
      </c>
      <c r="I9" s="22">
        <f>'Sales Report_CW'!$G9</f>
        <v>0</v>
      </c>
      <c r="J9" s="22">
        <f>'Sales Report_CW'!$H9</f>
        <v>0</v>
      </c>
      <c r="K9" s="23" t="str">
        <f t="shared" ref="K9:K38" si="3">IFERROR(J9/I9,"-")</f>
        <v>-</v>
      </c>
      <c r="L9" s="22">
        <f>'Sales Report_CW'!$I9</f>
        <v>0</v>
      </c>
      <c r="M9" s="22">
        <f>'Sales Report_CW'!$J9</f>
        <v>0</v>
      </c>
      <c r="N9" s="23" t="str">
        <f t="shared" ref="N9:N38" si="4">IFERROR(M9/L9,"-")</f>
        <v>-</v>
      </c>
      <c r="O9" s="22">
        <f t="shared" ref="O9:P38" si="5">C9+F9+I9+L9</f>
        <v>0</v>
      </c>
      <c r="P9" s="22">
        <f t="shared" si="5"/>
        <v>0</v>
      </c>
      <c r="R9" s="22">
        <f>'Sales Report_CW'!$M9</f>
        <v>0</v>
      </c>
      <c r="S9" s="22">
        <f>'Sales Report_CW'!$N9</f>
        <v>0</v>
      </c>
      <c r="T9" s="23" t="str">
        <f t="shared" ref="T9:T38" si="6">IFERROR(S9/R9,"-")</f>
        <v>-</v>
      </c>
      <c r="U9" s="22">
        <f>'Sales Report_CW'!$O9</f>
        <v>0</v>
      </c>
      <c r="V9" s="22">
        <f>'Sales Report_CW'!$P9</f>
        <v>0</v>
      </c>
      <c r="W9" s="23" t="str">
        <f t="shared" ref="W9:W38" si="7">IFERROR(V9/U9,"-")</f>
        <v>-</v>
      </c>
      <c r="X9" s="22">
        <f>'Sales Report_CW'!$Q9</f>
        <v>0</v>
      </c>
      <c r="Y9" s="22">
        <f>'Sales Report_CW'!$R9</f>
        <v>0</v>
      </c>
      <c r="Z9" s="23" t="str">
        <f t="shared" ref="Z9:Z38" si="8">IFERROR(Y9/X9,"-")</f>
        <v>-</v>
      </c>
      <c r="AA9" s="22">
        <f>'Sales Report_CW'!$S9</f>
        <v>0</v>
      </c>
      <c r="AB9" s="22">
        <f>'Sales Report_CW'!$T9</f>
        <v>0</v>
      </c>
      <c r="AC9" s="23" t="str">
        <f t="shared" ref="AC9:AC38" si="9">IFERROR(AB9/AA9,"-")</f>
        <v>-</v>
      </c>
      <c r="AD9" s="22">
        <f t="shared" ref="AD9:AE38" si="10">R9+U9+X9+AA9</f>
        <v>0</v>
      </c>
      <c r="AE9" s="22">
        <f t="shared" si="10"/>
        <v>0</v>
      </c>
    </row>
    <row r="10" spans="1:31" ht="15" x14ac:dyDescent="0.25">
      <c r="B10" s="21">
        <f t="shared" si="0"/>
        <v>45841</v>
      </c>
      <c r="C10" s="22">
        <f>'Sales Report_CW'!$C10</f>
        <v>0</v>
      </c>
      <c r="D10" s="22">
        <f>'Sales Report_CW'!$D10</f>
        <v>0</v>
      </c>
      <c r="E10" s="23" t="str">
        <f t="shared" si="1"/>
        <v/>
      </c>
      <c r="F10" s="22">
        <f>'Sales Report_CW'!$E10</f>
        <v>0</v>
      </c>
      <c r="G10" s="22">
        <f>'Sales Report_CW'!$F10</f>
        <v>0</v>
      </c>
      <c r="H10" s="23" t="str">
        <f t="shared" si="2"/>
        <v>-</v>
      </c>
      <c r="I10" s="22">
        <f>'Sales Report_CW'!$G10</f>
        <v>0</v>
      </c>
      <c r="J10" s="22">
        <f>'Sales Report_CW'!$H10</f>
        <v>0</v>
      </c>
      <c r="K10" s="23" t="str">
        <f t="shared" si="3"/>
        <v>-</v>
      </c>
      <c r="L10" s="22">
        <f>'Sales Report_CW'!$I10</f>
        <v>0</v>
      </c>
      <c r="M10" s="22">
        <f>'Sales Report_CW'!$J10</f>
        <v>0</v>
      </c>
      <c r="N10" s="23" t="str">
        <f t="shared" si="4"/>
        <v>-</v>
      </c>
      <c r="O10" s="22">
        <f t="shared" si="5"/>
        <v>0</v>
      </c>
      <c r="P10" s="22">
        <f t="shared" si="5"/>
        <v>0</v>
      </c>
      <c r="R10" s="22">
        <f>'Sales Report_CW'!$M10</f>
        <v>0</v>
      </c>
      <c r="S10" s="22">
        <f>'Sales Report_CW'!$N10</f>
        <v>0</v>
      </c>
      <c r="T10" s="23" t="str">
        <f t="shared" si="6"/>
        <v>-</v>
      </c>
      <c r="U10" s="22">
        <f>'Sales Report_CW'!$O10</f>
        <v>0</v>
      </c>
      <c r="V10" s="22">
        <f>'Sales Report_CW'!$P10</f>
        <v>0</v>
      </c>
      <c r="W10" s="23" t="str">
        <f t="shared" si="7"/>
        <v>-</v>
      </c>
      <c r="X10" s="22">
        <f>'Sales Report_CW'!$Q10</f>
        <v>0</v>
      </c>
      <c r="Y10" s="22">
        <f>'Sales Report_CW'!$R10</f>
        <v>0</v>
      </c>
      <c r="Z10" s="23" t="str">
        <f t="shared" si="8"/>
        <v>-</v>
      </c>
      <c r="AA10" s="22">
        <f>'Sales Report_CW'!$S10</f>
        <v>0</v>
      </c>
      <c r="AB10" s="22">
        <f>'Sales Report_CW'!$T10</f>
        <v>0</v>
      </c>
      <c r="AC10" s="23" t="str">
        <f t="shared" si="9"/>
        <v>-</v>
      </c>
      <c r="AD10" s="22">
        <f t="shared" si="10"/>
        <v>0</v>
      </c>
      <c r="AE10" s="22">
        <f t="shared" si="10"/>
        <v>0</v>
      </c>
    </row>
    <row r="11" spans="1:31" ht="15" x14ac:dyDescent="0.25">
      <c r="B11" s="21">
        <f t="shared" si="0"/>
        <v>45842</v>
      </c>
      <c r="C11" s="22">
        <f>'Sales Report_CW'!$C11</f>
        <v>0</v>
      </c>
      <c r="D11" s="22">
        <f>'Sales Report_CW'!$D11</f>
        <v>0</v>
      </c>
      <c r="E11" s="23" t="str">
        <f t="shared" si="1"/>
        <v/>
      </c>
      <c r="F11" s="22">
        <f>'Sales Report_CW'!$E11</f>
        <v>0</v>
      </c>
      <c r="G11" s="22">
        <f>'Sales Report_CW'!$F11</f>
        <v>0</v>
      </c>
      <c r="H11" s="23" t="str">
        <f t="shared" si="2"/>
        <v>-</v>
      </c>
      <c r="I11" s="22">
        <f>'Sales Report_CW'!$G11</f>
        <v>0</v>
      </c>
      <c r="J11" s="22">
        <f>'Sales Report_CW'!$H11</f>
        <v>0</v>
      </c>
      <c r="K11" s="23" t="str">
        <f t="shared" si="3"/>
        <v>-</v>
      </c>
      <c r="L11" s="22">
        <f>'Sales Report_CW'!$I11</f>
        <v>0</v>
      </c>
      <c r="M11" s="22">
        <f>'Sales Report_CW'!$J11</f>
        <v>0</v>
      </c>
      <c r="N11" s="23" t="str">
        <f t="shared" si="4"/>
        <v>-</v>
      </c>
      <c r="O11" s="22">
        <f t="shared" si="5"/>
        <v>0</v>
      </c>
      <c r="P11" s="22">
        <f t="shared" si="5"/>
        <v>0</v>
      </c>
      <c r="R11" s="22">
        <f>'Sales Report_CW'!$M11</f>
        <v>0</v>
      </c>
      <c r="S11" s="22">
        <f>'Sales Report_CW'!$N11</f>
        <v>0</v>
      </c>
      <c r="T11" s="23" t="str">
        <f t="shared" si="6"/>
        <v>-</v>
      </c>
      <c r="U11" s="22">
        <f>'Sales Report_CW'!$O11</f>
        <v>0</v>
      </c>
      <c r="V11" s="22">
        <f>'Sales Report_CW'!$P11</f>
        <v>0</v>
      </c>
      <c r="W11" s="23" t="str">
        <f t="shared" si="7"/>
        <v>-</v>
      </c>
      <c r="X11" s="22">
        <f>'Sales Report_CW'!$Q11</f>
        <v>0</v>
      </c>
      <c r="Y11" s="22">
        <f>'Sales Report_CW'!$R11</f>
        <v>0</v>
      </c>
      <c r="Z11" s="23" t="str">
        <f t="shared" si="8"/>
        <v>-</v>
      </c>
      <c r="AA11" s="22">
        <f>'Sales Report_CW'!$S11</f>
        <v>0</v>
      </c>
      <c r="AB11" s="22">
        <f>'Sales Report_CW'!$T11</f>
        <v>0</v>
      </c>
      <c r="AC11" s="23" t="str">
        <f t="shared" si="9"/>
        <v>-</v>
      </c>
      <c r="AD11" s="22">
        <f t="shared" si="10"/>
        <v>0</v>
      </c>
      <c r="AE11" s="22">
        <f t="shared" si="10"/>
        <v>0</v>
      </c>
    </row>
    <row r="12" spans="1:31" ht="15" x14ac:dyDescent="0.25">
      <c r="B12" s="21">
        <f t="shared" si="0"/>
        <v>45843</v>
      </c>
      <c r="C12" s="22">
        <f>'Sales Report_CW'!$C12</f>
        <v>0</v>
      </c>
      <c r="D12" s="22">
        <f>'Sales Report_CW'!$D12</f>
        <v>0</v>
      </c>
      <c r="E12" s="23" t="str">
        <f t="shared" si="1"/>
        <v/>
      </c>
      <c r="F12" s="22">
        <f>'Sales Report_CW'!$E12</f>
        <v>0</v>
      </c>
      <c r="G12" s="22">
        <f>'Sales Report_CW'!$F12</f>
        <v>0</v>
      </c>
      <c r="H12" s="23" t="str">
        <f t="shared" si="2"/>
        <v>-</v>
      </c>
      <c r="I12" s="22">
        <f>'Sales Report_CW'!$G12</f>
        <v>0</v>
      </c>
      <c r="J12" s="22">
        <f>'Sales Report_CW'!$H12</f>
        <v>0</v>
      </c>
      <c r="K12" s="23" t="str">
        <f t="shared" si="3"/>
        <v>-</v>
      </c>
      <c r="L12" s="22">
        <f>'Sales Report_CW'!$I12</f>
        <v>0</v>
      </c>
      <c r="M12" s="22">
        <f>'Sales Report_CW'!$J12</f>
        <v>0</v>
      </c>
      <c r="N12" s="23" t="str">
        <f t="shared" si="4"/>
        <v>-</v>
      </c>
      <c r="O12" s="22">
        <f t="shared" si="5"/>
        <v>0</v>
      </c>
      <c r="P12" s="22">
        <f t="shared" si="5"/>
        <v>0</v>
      </c>
      <c r="R12" s="22">
        <f>'Sales Report_CW'!$M12</f>
        <v>0</v>
      </c>
      <c r="S12" s="22">
        <f>'Sales Report_CW'!$N12</f>
        <v>0</v>
      </c>
      <c r="T12" s="23" t="str">
        <f t="shared" si="6"/>
        <v>-</v>
      </c>
      <c r="U12" s="22">
        <f>'Sales Report_CW'!$O12</f>
        <v>0</v>
      </c>
      <c r="V12" s="22">
        <f>'Sales Report_CW'!$P12</f>
        <v>0</v>
      </c>
      <c r="W12" s="23" t="str">
        <f t="shared" si="7"/>
        <v>-</v>
      </c>
      <c r="X12" s="22">
        <f>'Sales Report_CW'!$Q12</f>
        <v>0</v>
      </c>
      <c r="Y12" s="22">
        <f>'Sales Report_CW'!$R12</f>
        <v>0</v>
      </c>
      <c r="Z12" s="23" t="str">
        <f t="shared" si="8"/>
        <v>-</v>
      </c>
      <c r="AA12" s="22">
        <f>'Sales Report_CW'!$S12</f>
        <v>0</v>
      </c>
      <c r="AB12" s="22">
        <f>'Sales Report_CW'!$T12</f>
        <v>0</v>
      </c>
      <c r="AC12" s="23" t="str">
        <f t="shared" si="9"/>
        <v>-</v>
      </c>
      <c r="AD12" s="22">
        <f t="shared" si="10"/>
        <v>0</v>
      </c>
      <c r="AE12" s="22">
        <f t="shared" si="10"/>
        <v>0</v>
      </c>
    </row>
    <row r="13" spans="1:31" ht="15" x14ac:dyDescent="0.25">
      <c r="B13" s="21">
        <f t="shared" si="0"/>
        <v>45844</v>
      </c>
      <c r="C13" s="22">
        <f>'Sales Report_CW'!$C13</f>
        <v>0</v>
      </c>
      <c r="D13" s="22">
        <f>'Sales Report_CW'!$D13</f>
        <v>0</v>
      </c>
      <c r="E13" s="23" t="str">
        <f t="shared" si="1"/>
        <v/>
      </c>
      <c r="F13" s="22">
        <f>'Sales Report_CW'!$E13</f>
        <v>0</v>
      </c>
      <c r="G13" s="22">
        <f>'Sales Report_CW'!$F13</f>
        <v>0</v>
      </c>
      <c r="H13" s="23" t="str">
        <f t="shared" si="2"/>
        <v>-</v>
      </c>
      <c r="I13" s="22">
        <f>'Sales Report_CW'!$G13</f>
        <v>0</v>
      </c>
      <c r="J13" s="22">
        <f>'Sales Report_CW'!$H13</f>
        <v>0</v>
      </c>
      <c r="K13" s="23" t="str">
        <f t="shared" si="3"/>
        <v>-</v>
      </c>
      <c r="L13" s="22">
        <f>'Sales Report_CW'!$I13</f>
        <v>0</v>
      </c>
      <c r="M13" s="22">
        <f>'Sales Report_CW'!$J13</f>
        <v>0</v>
      </c>
      <c r="N13" s="23" t="str">
        <f t="shared" si="4"/>
        <v>-</v>
      </c>
      <c r="O13" s="22">
        <f t="shared" si="5"/>
        <v>0</v>
      </c>
      <c r="P13" s="22">
        <f t="shared" si="5"/>
        <v>0</v>
      </c>
      <c r="R13" s="22">
        <f>'Sales Report_CW'!$M13</f>
        <v>0</v>
      </c>
      <c r="S13" s="22">
        <f>'Sales Report_CW'!$N13</f>
        <v>0</v>
      </c>
      <c r="T13" s="23" t="str">
        <f t="shared" si="6"/>
        <v>-</v>
      </c>
      <c r="U13" s="22">
        <f>'Sales Report_CW'!$O13</f>
        <v>0</v>
      </c>
      <c r="V13" s="22">
        <f>'Sales Report_CW'!$P13</f>
        <v>0</v>
      </c>
      <c r="W13" s="23" t="str">
        <f t="shared" si="7"/>
        <v>-</v>
      </c>
      <c r="X13" s="22">
        <f>'Sales Report_CW'!$Q13</f>
        <v>0</v>
      </c>
      <c r="Y13" s="22">
        <f>'Sales Report_CW'!$R13</f>
        <v>0</v>
      </c>
      <c r="Z13" s="23" t="str">
        <f t="shared" si="8"/>
        <v>-</v>
      </c>
      <c r="AA13" s="22">
        <f>'Sales Report_CW'!$S13</f>
        <v>0</v>
      </c>
      <c r="AB13" s="22">
        <f>'Sales Report_CW'!$T13</f>
        <v>0</v>
      </c>
      <c r="AC13" s="23" t="str">
        <f t="shared" si="9"/>
        <v>-</v>
      </c>
      <c r="AD13" s="22">
        <f t="shared" si="10"/>
        <v>0</v>
      </c>
      <c r="AE13" s="22">
        <f t="shared" si="10"/>
        <v>0</v>
      </c>
    </row>
    <row r="14" spans="1:31" ht="15" x14ac:dyDescent="0.25">
      <c r="B14" s="21">
        <f t="shared" si="0"/>
        <v>45845</v>
      </c>
      <c r="C14" s="22">
        <f>'Sales Report_CW'!$C14</f>
        <v>0</v>
      </c>
      <c r="D14" s="22">
        <f>'Sales Report_CW'!$D14</f>
        <v>0</v>
      </c>
      <c r="E14" s="23" t="str">
        <f t="shared" si="1"/>
        <v/>
      </c>
      <c r="F14" s="22">
        <f>'Sales Report_CW'!$E14</f>
        <v>0</v>
      </c>
      <c r="G14" s="22">
        <f>'Sales Report_CW'!$F14</f>
        <v>0</v>
      </c>
      <c r="H14" s="23" t="str">
        <f t="shared" si="2"/>
        <v>-</v>
      </c>
      <c r="I14" s="22">
        <f>'Sales Report_CW'!$G14</f>
        <v>0</v>
      </c>
      <c r="J14" s="22">
        <f>'Sales Report_CW'!$H14</f>
        <v>0</v>
      </c>
      <c r="K14" s="23" t="str">
        <f t="shared" si="3"/>
        <v>-</v>
      </c>
      <c r="L14" s="22">
        <f>'Sales Report_CW'!$I14</f>
        <v>0</v>
      </c>
      <c r="M14" s="22">
        <f>'Sales Report_CW'!$J14</f>
        <v>0</v>
      </c>
      <c r="N14" s="23" t="str">
        <f t="shared" si="4"/>
        <v>-</v>
      </c>
      <c r="O14" s="22">
        <f t="shared" si="5"/>
        <v>0</v>
      </c>
      <c r="P14" s="22">
        <f t="shared" si="5"/>
        <v>0</v>
      </c>
      <c r="R14" s="22">
        <f>'Sales Report_CW'!$M14</f>
        <v>0</v>
      </c>
      <c r="S14" s="22">
        <f>'Sales Report_CW'!$N14</f>
        <v>0</v>
      </c>
      <c r="T14" s="23" t="str">
        <f t="shared" si="6"/>
        <v>-</v>
      </c>
      <c r="U14" s="22">
        <f>'Sales Report_CW'!$O14</f>
        <v>0</v>
      </c>
      <c r="V14" s="22">
        <f>'Sales Report_CW'!$P14</f>
        <v>0</v>
      </c>
      <c r="W14" s="23" t="str">
        <f t="shared" si="7"/>
        <v>-</v>
      </c>
      <c r="X14" s="22">
        <f>'Sales Report_CW'!$Q14</f>
        <v>0</v>
      </c>
      <c r="Y14" s="22">
        <f>'Sales Report_CW'!$R14</f>
        <v>0</v>
      </c>
      <c r="Z14" s="23" t="str">
        <f t="shared" si="8"/>
        <v>-</v>
      </c>
      <c r="AA14" s="22">
        <f>'Sales Report_CW'!$S14</f>
        <v>0</v>
      </c>
      <c r="AB14" s="22">
        <f>'Sales Report_CW'!$T14</f>
        <v>0</v>
      </c>
      <c r="AC14" s="23" t="str">
        <f t="shared" si="9"/>
        <v>-</v>
      </c>
      <c r="AD14" s="22">
        <f t="shared" si="10"/>
        <v>0</v>
      </c>
      <c r="AE14" s="22">
        <f t="shared" si="10"/>
        <v>0</v>
      </c>
    </row>
    <row r="15" spans="1:31" ht="15" x14ac:dyDescent="0.25">
      <c r="B15" s="21">
        <f t="shared" si="0"/>
        <v>45846</v>
      </c>
      <c r="C15" s="22">
        <f>'Sales Report_CW'!$C15</f>
        <v>0</v>
      </c>
      <c r="D15" s="22">
        <f>'Sales Report_CW'!$D15</f>
        <v>0</v>
      </c>
      <c r="E15" s="23" t="str">
        <f t="shared" si="1"/>
        <v/>
      </c>
      <c r="F15" s="22">
        <f>'Sales Report_CW'!$E15</f>
        <v>0</v>
      </c>
      <c r="G15" s="22">
        <f>'Sales Report_CW'!$F15</f>
        <v>0</v>
      </c>
      <c r="H15" s="23" t="str">
        <f t="shared" si="2"/>
        <v>-</v>
      </c>
      <c r="I15" s="22">
        <f>'Sales Report_CW'!$G15</f>
        <v>0</v>
      </c>
      <c r="J15" s="22">
        <f>'Sales Report_CW'!$H15</f>
        <v>0</v>
      </c>
      <c r="K15" s="23" t="str">
        <f t="shared" si="3"/>
        <v>-</v>
      </c>
      <c r="L15" s="22">
        <f>'Sales Report_CW'!$I15</f>
        <v>0</v>
      </c>
      <c r="M15" s="22">
        <f>'Sales Report_CW'!$J15</f>
        <v>0</v>
      </c>
      <c r="N15" s="23" t="str">
        <f t="shared" si="4"/>
        <v>-</v>
      </c>
      <c r="O15" s="22">
        <f t="shared" si="5"/>
        <v>0</v>
      </c>
      <c r="P15" s="22">
        <f t="shared" si="5"/>
        <v>0</v>
      </c>
      <c r="R15" s="22">
        <f>'Sales Report_CW'!$M15</f>
        <v>0</v>
      </c>
      <c r="S15" s="22">
        <f>'Sales Report_CW'!$N15</f>
        <v>0</v>
      </c>
      <c r="T15" s="23" t="str">
        <f t="shared" si="6"/>
        <v>-</v>
      </c>
      <c r="U15" s="22">
        <f>'Sales Report_CW'!$O15</f>
        <v>0</v>
      </c>
      <c r="V15" s="22">
        <f>'Sales Report_CW'!$P15</f>
        <v>0</v>
      </c>
      <c r="W15" s="23" t="str">
        <f t="shared" si="7"/>
        <v>-</v>
      </c>
      <c r="X15" s="22">
        <f>'Sales Report_CW'!$Q15</f>
        <v>0</v>
      </c>
      <c r="Y15" s="22">
        <f>'Sales Report_CW'!$R15</f>
        <v>0</v>
      </c>
      <c r="Z15" s="23" t="str">
        <f t="shared" si="8"/>
        <v>-</v>
      </c>
      <c r="AA15" s="22">
        <f>'Sales Report_CW'!$S15</f>
        <v>0</v>
      </c>
      <c r="AB15" s="22">
        <f>'Sales Report_CW'!$T15</f>
        <v>0</v>
      </c>
      <c r="AC15" s="23" t="str">
        <f t="shared" si="9"/>
        <v>-</v>
      </c>
      <c r="AD15" s="22">
        <f t="shared" si="10"/>
        <v>0</v>
      </c>
      <c r="AE15" s="22">
        <f t="shared" si="10"/>
        <v>0</v>
      </c>
    </row>
    <row r="16" spans="1:31" ht="15" x14ac:dyDescent="0.25">
      <c r="B16" s="21">
        <f t="shared" si="0"/>
        <v>45847</v>
      </c>
      <c r="C16" s="22">
        <f>'Sales Report_CW'!$C16</f>
        <v>0</v>
      </c>
      <c r="D16" s="22">
        <f>'Sales Report_CW'!$D16</f>
        <v>0</v>
      </c>
      <c r="E16" s="23" t="str">
        <f t="shared" si="1"/>
        <v/>
      </c>
      <c r="F16" s="22">
        <f>'Sales Report_CW'!$E16</f>
        <v>0</v>
      </c>
      <c r="G16" s="22">
        <f>'Sales Report_CW'!$F16</f>
        <v>0</v>
      </c>
      <c r="H16" s="23" t="str">
        <f t="shared" si="2"/>
        <v>-</v>
      </c>
      <c r="I16" s="22">
        <f>'Sales Report_CW'!$G16</f>
        <v>0</v>
      </c>
      <c r="J16" s="22">
        <f>'Sales Report_CW'!$H16</f>
        <v>0</v>
      </c>
      <c r="K16" s="23" t="str">
        <f t="shared" si="3"/>
        <v>-</v>
      </c>
      <c r="L16" s="22">
        <f>'Sales Report_CW'!$I16</f>
        <v>0</v>
      </c>
      <c r="M16" s="22">
        <f>'Sales Report_CW'!$J16</f>
        <v>0</v>
      </c>
      <c r="N16" s="23" t="str">
        <f t="shared" si="4"/>
        <v>-</v>
      </c>
      <c r="O16" s="22">
        <f t="shared" si="5"/>
        <v>0</v>
      </c>
      <c r="P16" s="22">
        <f t="shared" si="5"/>
        <v>0</v>
      </c>
      <c r="R16" s="22">
        <f>'Sales Report_CW'!$M16</f>
        <v>0</v>
      </c>
      <c r="S16" s="22">
        <f>'Sales Report_CW'!$N16</f>
        <v>0</v>
      </c>
      <c r="T16" s="23" t="str">
        <f t="shared" si="6"/>
        <v>-</v>
      </c>
      <c r="U16" s="22">
        <f>'Sales Report_CW'!$O16</f>
        <v>0</v>
      </c>
      <c r="V16" s="22">
        <f>'Sales Report_CW'!$P16</f>
        <v>0</v>
      </c>
      <c r="W16" s="23" t="str">
        <f t="shared" si="7"/>
        <v>-</v>
      </c>
      <c r="X16" s="22">
        <f>'Sales Report_CW'!$Q16</f>
        <v>0</v>
      </c>
      <c r="Y16" s="22">
        <f>'Sales Report_CW'!$R16</f>
        <v>0</v>
      </c>
      <c r="Z16" s="23" t="str">
        <f t="shared" si="8"/>
        <v>-</v>
      </c>
      <c r="AA16" s="22">
        <f>'Sales Report_CW'!$S16</f>
        <v>0</v>
      </c>
      <c r="AB16" s="22">
        <f>'Sales Report_CW'!$T16</f>
        <v>0</v>
      </c>
      <c r="AC16" s="23" t="str">
        <f t="shared" si="9"/>
        <v>-</v>
      </c>
      <c r="AD16" s="22">
        <f t="shared" si="10"/>
        <v>0</v>
      </c>
      <c r="AE16" s="22">
        <f t="shared" si="10"/>
        <v>0</v>
      </c>
    </row>
    <row r="17" spans="2:31" ht="15" x14ac:dyDescent="0.25">
      <c r="B17" s="21">
        <f t="shared" si="0"/>
        <v>45848</v>
      </c>
      <c r="C17" s="22">
        <f>'Sales Report_CW'!$C17</f>
        <v>0</v>
      </c>
      <c r="D17" s="22">
        <f>'Sales Report_CW'!$D17</f>
        <v>0</v>
      </c>
      <c r="E17" s="23" t="str">
        <f t="shared" si="1"/>
        <v/>
      </c>
      <c r="F17" s="22">
        <f>'Sales Report_CW'!$E17</f>
        <v>0</v>
      </c>
      <c r="G17" s="22">
        <f>'Sales Report_CW'!$F17</f>
        <v>0</v>
      </c>
      <c r="H17" s="23" t="str">
        <f t="shared" si="2"/>
        <v>-</v>
      </c>
      <c r="I17" s="22">
        <f>'Sales Report_CW'!$G17</f>
        <v>0</v>
      </c>
      <c r="J17" s="22">
        <f>'Sales Report_CW'!$H17</f>
        <v>0</v>
      </c>
      <c r="K17" s="23" t="str">
        <f t="shared" si="3"/>
        <v>-</v>
      </c>
      <c r="L17" s="22">
        <f>'Sales Report_CW'!$I17</f>
        <v>0</v>
      </c>
      <c r="M17" s="22">
        <f>'Sales Report_CW'!$J17</f>
        <v>0</v>
      </c>
      <c r="N17" s="23" t="str">
        <f t="shared" si="4"/>
        <v>-</v>
      </c>
      <c r="O17" s="22">
        <f t="shared" si="5"/>
        <v>0</v>
      </c>
      <c r="P17" s="22">
        <f t="shared" si="5"/>
        <v>0</v>
      </c>
      <c r="R17" s="22">
        <f>'Sales Report_CW'!$M17</f>
        <v>0</v>
      </c>
      <c r="S17" s="22">
        <f>'Sales Report_CW'!$N17</f>
        <v>0</v>
      </c>
      <c r="T17" s="23" t="str">
        <f t="shared" si="6"/>
        <v>-</v>
      </c>
      <c r="U17" s="22">
        <f>'Sales Report_CW'!$O17</f>
        <v>0</v>
      </c>
      <c r="V17" s="22">
        <f>'Sales Report_CW'!$P17</f>
        <v>0</v>
      </c>
      <c r="W17" s="23" t="str">
        <f t="shared" si="7"/>
        <v>-</v>
      </c>
      <c r="X17" s="22">
        <f>'Sales Report_CW'!$Q17</f>
        <v>0</v>
      </c>
      <c r="Y17" s="22">
        <f>'Sales Report_CW'!$R17</f>
        <v>0</v>
      </c>
      <c r="Z17" s="23" t="str">
        <f t="shared" si="8"/>
        <v>-</v>
      </c>
      <c r="AA17" s="22">
        <f>'Sales Report_CW'!$S17</f>
        <v>0</v>
      </c>
      <c r="AB17" s="22">
        <f>'Sales Report_CW'!$T17</f>
        <v>0</v>
      </c>
      <c r="AC17" s="23" t="str">
        <f t="shared" si="9"/>
        <v>-</v>
      </c>
      <c r="AD17" s="22">
        <f t="shared" si="10"/>
        <v>0</v>
      </c>
      <c r="AE17" s="22">
        <f t="shared" si="10"/>
        <v>0</v>
      </c>
    </row>
    <row r="18" spans="2:31" ht="15" x14ac:dyDescent="0.25">
      <c r="B18" s="21">
        <f t="shared" si="0"/>
        <v>45849</v>
      </c>
      <c r="C18" s="22">
        <f>'Sales Report_CW'!$C18</f>
        <v>0</v>
      </c>
      <c r="D18" s="22">
        <f>'Sales Report_CW'!$D18</f>
        <v>0</v>
      </c>
      <c r="E18" s="23" t="str">
        <f t="shared" si="1"/>
        <v/>
      </c>
      <c r="F18" s="22">
        <f>'Sales Report_CW'!$E18</f>
        <v>0</v>
      </c>
      <c r="G18" s="22">
        <f>'Sales Report_CW'!$F18</f>
        <v>0</v>
      </c>
      <c r="H18" s="23" t="str">
        <f t="shared" si="2"/>
        <v>-</v>
      </c>
      <c r="I18" s="22">
        <f>'Sales Report_CW'!$G18</f>
        <v>0</v>
      </c>
      <c r="J18" s="22">
        <f>'Sales Report_CW'!$H18</f>
        <v>0</v>
      </c>
      <c r="K18" s="23" t="str">
        <f t="shared" si="3"/>
        <v>-</v>
      </c>
      <c r="L18" s="22">
        <f>'Sales Report_CW'!$I18</f>
        <v>0</v>
      </c>
      <c r="M18" s="22">
        <f>'Sales Report_CW'!$J18</f>
        <v>0</v>
      </c>
      <c r="N18" s="23" t="str">
        <f t="shared" si="4"/>
        <v>-</v>
      </c>
      <c r="O18" s="22">
        <f t="shared" si="5"/>
        <v>0</v>
      </c>
      <c r="P18" s="22">
        <f t="shared" si="5"/>
        <v>0</v>
      </c>
      <c r="R18" s="22">
        <f>'Sales Report_CW'!$M18</f>
        <v>0</v>
      </c>
      <c r="S18" s="22">
        <f>'Sales Report_CW'!$N18</f>
        <v>0</v>
      </c>
      <c r="T18" s="23" t="str">
        <f t="shared" si="6"/>
        <v>-</v>
      </c>
      <c r="U18" s="22">
        <f>'Sales Report_CW'!$O18</f>
        <v>0</v>
      </c>
      <c r="V18" s="22">
        <f>'Sales Report_CW'!$P18</f>
        <v>0</v>
      </c>
      <c r="W18" s="23" t="str">
        <f t="shared" si="7"/>
        <v>-</v>
      </c>
      <c r="X18" s="22">
        <f>'Sales Report_CW'!$Q18</f>
        <v>0</v>
      </c>
      <c r="Y18" s="22">
        <f>'Sales Report_CW'!$R18</f>
        <v>0</v>
      </c>
      <c r="Z18" s="23" t="str">
        <f t="shared" si="8"/>
        <v>-</v>
      </c>
      <c r="AA18" s="22">
        <f>'Sales Report_CW'!$S18</f>
        <v>0</v>
      </c>
      <c r="AB18" s="22">
        <f>'Sales Report_CW'!$T18</f>
        <v>0</v>
      </c>
      <c r="AC18" s="23" t="str">
        <f t="shared" si="9"/>
        <v>-</v>
      </c>
      <c r="AD18" s="22">
        <f t="shared" si="10"/>
        <v>0</v>
      </c>
      <c r="AE18" s="22">
        <f t="shared" si="10"/>
        <v>0</v>
      </c>
    </row>
    <row r="19" spans="2:31" ht="15" x14ac:dyDescent="0.25">
      <c r="B19" s="21">
        <f t="shared" si="0"/>
        <v>45850</v>
      </c>
      <c r="C19" s="22">
        <f>'Sales Report_CW'!$C19</f>
        <v>0</v>
      </c>
      <c r="D19" s="22">
        <f>'Sales Report_CW'!$D19</f>
        <v>0</v>
      </c>
      <c r="E19" s="23" t="str">
        <f t="shared" si="1"/>
        <v/>
      </c>
      <c r="F19" s="22">
        <f>'Sales Report_CW'!$E19</f>
        <v>0</v>
      </c>
      <c r="G19" s="22">
        <f>'Sales Report_CW'!$F19</f>
        <v>0</v>
      </c>
      <c r="H19" s="23" t="str">
        <f t="shared" si="2"/>
        <v>-</v>
      </c>
      <c r="I19" s="22">
        <f>'Sales Report_CW'!$G19</f>
        <v>0</v>
      </c>
      <c r="J19" s="22">
        <f>'Sales Report_CW'!$H19</f>
        <v>0</v>
      </c>
      <c r="K19" s="23" t="str">
        <f t="shared" si="3"/>
        <v>-</v>
      </c>
      <c r="L19" s="22">
        <f>'Sales Report_CW'!$I19</f>
        <v>0</v>
      </c>
      <c r="M19" s="22">
        <f>'Sales Report_CW'!$J19</f>
        <v>0</v>
      </c>
      <c r="N19" s="23" t="str">
        <f t="shared" si="4"/>
        <v>-</v>
      </c>
      <c r="O19" s="22">
        <f t="shared" si="5"/>
        <v>0</v>
      </c>
      <c r="P19" s="22">
        <f t="shared" si="5"/>
        <v>0</v>
      </c>
      <c r="R19" s="22">
        <f>'Sales Report_CW'!$M19</f>
        <v>0</v>
      </c>
      <c r="S19" s="22">
        <f>'Sales Report_CW'!$N19</f>
        <v>0</v>
      </c>
      <c r="T19" s="23" t="str">
        <f t="shared" si="6"/>
        <v>-</v>
      </c>
      <c r="U19" s="22">
        <f>'Sales Report_CW'!$O19</f>
        <v>0</v>
      </c>
      <c r="V19" s="22">
        <f>'Sales Report_CW'!$P19</f>
        <v>0</v>
      </c>
      <c r="W19" s="23" t="str">
        <f t="shared" si="7"/>
        <v>-</v>
      </c>
      <c r="X19" s="22">
        <f>'Sales Report_CW'!$Q19</f>
        <v>0</v>
      </c>
      <c r="Y19" s="22">
        <f>'Sales Report_CW'!$R19</f>
        <v>0</v>
      </c>
      <c r="Z19" s="23" t="str">
        <f t="shared" si="8"/>
        <v>-</v>
      </c>
      <c r="AA19" s="22">
        <f>'Sales Report_CW'!$S19</f>
        <v>0</v>
      </c>
      <c r="AB19" s="22">
        <f>'Sales Report_CW'!$T19</f>
        <v>0</v>
      </c>
      <c r="AC19" s="23" t="str">
        <f t="shared" si="9"/>
        <v>-</v>
      </c>
      <c r="AD19" s="22">
        <f t="shared" si="10"/>
        <v>0</v>
      </c>
      <c r="AE19" s="22">
        <f t="shared" si="10"/>
        <v>0</v>
      </c>
    </row>
    <row r="20" spans="2:31" ht="15" x14ac:dyDescent="0.25">
      <c r="B20" s="21">
        <f t="shared" si="0"/>
        <v>45851</v>
      </c>
      <c r="C20" s="22">
        <f>'Sales Report_CW'!$C20</f>
        <v>0</v>
      </c>
      <c r="D20" s="22">
        <f>'Sales Report_CW'!$D20</f>
        <v>0</v>
      </c>
      <c r="E20" s="23" t="str">
        <f t="shared" si="1"/>
        <v/>
      </c>
      <c r="F20" s="22">
        <f>'Sales Report_CW'!$E20</f>
        <v>0</v>
      </c>
      <c r="G20" s="22">
        <f>'Sales Report_CW'!$F20</f>
        <v>0</v>
      </c>
      <c r="H20" s="23" t="str">
        <f t="shared" si="2"/>
        <v>-</v>
      </c>
      <c r="I20" s="22">
        <f>'Sales Report_CW'!$G20</f>
        <v>0</v>
      </c>
      <c r="J20" s="22">
        <f>'Sales Report_CW'!$H20</f>
        <v>0</v>
      </c>
      <c r="K20" s="23" t="str">
        <f t="shared" si="3"/>
        <v>-</v>
      </c>
      <c r="L20" s="22">
        <f>'Sales Report_CW'!$I20</f>
        <v>0</v>
      </c>
      <c r="M20" s="22">
        <f>'Sales Report_CW'!$J20</f>
        <v>0</v>
      </c>
      <c r="N20" s="23" t="str">
        <f t="shared" si="4"/>
        <v>-</v>
      </c>
      <c r="O20" s="22">
        <f t="shared" si="5"/>
        <v>0</v>
      </c>
      <c r="P20" s="22">
        <f t="shared" si="5"/>
        <v>0</v>
      </c>
      <c r="R20" s="22">
        <f>'Sales Report_CW'!$M20</f>
        <v>0</v>
      </c>
      <c r="S20" s="22">
        <f>'Sales Report_CW'!$N20</f>
        <v>0</v>
      </c>
      <c r="T20" s="23" t="str">
        <f t="shared" si="6"/>
        <v>-</v>
      </c>
      <c r="U20" s="22">
        <f>'Sales Report_CW'!$O20</f>
        <v>0</v>
      </c>
      <c r="V20" s="22">
        <f>'Sales Report_CW'!$P20</f>
        <v>0</v>
      </c>
      <c r="W20" s="23" t="str">
        <f t="shared" si="7"/>
        <v>-</v>
      </c>
      <c r="X20" s="22">
        <f>'Sales Report_CW'!$Q20</f>
        <v>0</v>
      </c>
      <c r="Y20" s="22">
        <f>'Sales Report_CW'!$R20</f>
        <v>0</v>
      </c>
      <c r="Z20" s="23" t="str">
        <f t="shared" si="8"/>
        <v>-</v>
      </c>
      <c r="AA20" s="22">
        <f>'Sales Report_CW'!$S20</f>
        <v>0</v>
      </c>
      <c r="AB20" s="22">
        <f>'Sales Report_CW'!$T20</f>
        <v>0</v>
      </c>
      <c r="AC20" s="23" t="str">
        <f t="shared" si="9"/>
        <v>-</v>
      </c>
      <c r="AD20" s="22">
        <f t="shared" si="10"/>
        <v>0</v>
      </c>
      <c r="AE20" s="22">
        <f t="shared" si="10"/>
        <v>0</v>
      </c>
    </row>
    <row r="21" spans="2:31" ht="15" x14ac:dyDescent="0.25">
      <c r="B21" s="21">
        <f t="shared" si="0"/>
        <v>45852</v>
      </c>
      <c r="C21" s="22">
        <f>'Sales Report_CW'!$C21</f>
        <v>0</v>
      </c>
      <c r="D21" s="22">
        <f>'Sales Report_CW'!$D21</f>
        <v>0</v>
      </c>
      <c r="E21" s="23" t="str">
        <f t="shared" si="1"/>
        <v/>
      </c>
      <c r="F21" s="22">
        <f>'Sales Report_CW'!$E21</f>
        <v>0</v>
      </c>
      <c r="G21" s="22">
        <f>'Sales Report_CW'!$F21</f>
        <v>0</v>
      </c>
      <c r="H21" s="23" t="str">
        <f t="shared" si="2"/>
        <v>-</v>
      </c>
      <c r="I21" s="22">
        <f>'Sales Report_CW'!$G21</f>
        <v>0</v>
      </c>
      <c r="J21" s="22">
        <f>'Sales Report_CW'!$H21</f>
        <v>0</v>
      </c>
      <c r="K21" s="23" t="str">
        <f t="shared" si="3"/>
        <v>-</v>
      </c>
      <c r="L21" s="22">
        <f>'Sales Report_CW'!$I21</f>
        <v>0</v>
      </c>
      <c r="M21" s="22">
        <f>'Sales Report_CW'!$J21</f>
        <v>0</v>
      </c>
      <c r="N21" s="23" t="str">
        <f t="shared" si="4"/>
        <v>-</v>
      </c>
      <c r="O21" s="22">
        <f t="shared" si="5"/>
        <v>0</v>
      </c>
      <c r="P21" s="22">
        <f t="shared" si="5"/>
        <v>0</v>
      </c>
      <c r="R21" s="22">
        <f>'Sales Report_CW'!$M21</f>
        <v>0</v>
      </c>
      <c r="S21" s="22">
        <f>'Sales Report_CW'!$N21</f>
        <v>0</v>
      </c>
      <c r="T21" s="23" t="str">
        <f t="shared" si="6"/>
        <v>-</v>
      </c>
      <c r="U21" s="22">
        <f>'Sales Report_CW'!$O21</f>
        <v>0</v>
      </c>
      <c r="V21" s="22">
        <f>'Sales Report_CW'!$P21</f>
        <v>0</v>
      </c>
      <c r="W21" s="23" t="str">
        <f t="shared" si="7"/>
        <v>-</v>
      </c>
      <c r="X21" s="22">
        <f>'Sales Report_CW'!$Q21</f>
        <v>0</v>
      </c>
      <c r="Y21" s="22">
        <f>'Sales Report_CW'!$R21</f>
        <v>0</v>
      </c>
      <c r="Z21" s="23" t="str">
        <f t="shared" si="8"/>
        <v>-</v>
      </c>
      <c r="AA21" s="22">
        <f>'Sales Report_CW'!$S21</f>
        <v>0</v>
      </c>
      <c r="AB21" s="22">
        <f>'Sales Report_CW'!$T21</f>
        <v>0</v>
      </c>
      <c r="AC21" s="23" t="str">
        <f t="shared" si="9"/>
        <v>-</v>
      </c>
      <c r="AD21" s="22">
        <f t="shared" si="10"/>
        <v>0</v>
      </c>
      <c r="AE21" s="22">
        <f t="shared" si="10"/>
        <v>0</v>
      </c>
    </row>
    <row r="22" spans="2:31" ht="15" x14ac:dyDescent="0.25">
      <c r="B22" s="21">
        <f t="shared" si="0"/>
        <v>45853</v>
      </c>
      <c r="C22" s="22">
        <f>'Sales Report_CW'!$C22</f>
        <v>0</v>
      </c>
      <c r="D22" s="22">
        <f>'Sales Report_CW'!$D22</f>
        <v>0</v>
      </c>
      <c r="E22" s="23" t="str">
        <f t="shared" si="1"/>
        <v/>
      </c>
      <c r="F22" s="23">
        <f>'Sales Report_CW'!$E22</f>
        <v>0</v>
      </c>
      <c r="G22" s="22">
        <f>'Sales Report_CW'!$F22</f>
        <v>0</v>
      </c>
      <c r="H22" s="23" t="str">
        <f t="shared" si="2"/>
        <v>-</v>
      </c>
      <c r="I22" s="22">
        <f>'Sales Report_CW'!$G22</f>
        <v>0</v>
      </c>
      <c r="J22" s="22">
        <f>'Sales Report_CW'!$H22</f>
        <v>0</v>
      </c>
      <c r="K22" s="23" t="str">
        <f t="shared" si="3"/>
        <v>-</v>
      </c>
      <c r="L22" s="22">
        <f>'Sales Report_CW'!$I22</f>
        <v>0</v>
      </c>
      <c r="M22" s="22">
        <f>'Sales Report_CW'!$J22</f>
        <v>0</v>
      </c>
      <c r="N22" s="23" t="str">
        <f t="shared" si="4"/>
        <v>-</v>
      </c>
      <c r="O22" s="22">
        <f t="shared" si="5"/>
        <v>0</v>
      </c>
      <c r="P22" s="22">
        <f t="shared" si="5"/>
        <v>0</v>
      </c>
      <c r="R22" s="22">
        <f>'Sales Report_CW'!$M22</f>
        <v>0</v>
      </c>
      <c r="S22" s="22">
        <f>'Sales Report_CW'!$N22</f>
        <v>0</v>
      </c>
      <c r="T22" s="23" t="str">
        <f t="shared" si="6"/>
        <v>-</v>
      </c>
      <c r="U22" s="22">
        <f>'Sales Report_CW'!$O22</f>
        <v>0</v>
      </c>
      <c r="V22" s="22">
        <f>'Sales Report_CW'!$P22</f>
        <v>0</v>
      </c>
      <c r="W22" s="23" t="str">
        <f t="shared" si="7"/>
        <v>-</v>
      </c>
      <c r="X22" s="22">
        <f>'Sales Report_CW'!$Q22</f>
        <v>0</v>
      </c>
      <c r="Y22" s="22">
        <f>'Sales Report_CW'!$R22</f>
        <v>0</v>
      </c>
      <c r="Z22" s="23" t="str">
        <f t="shared" si="8"/>
        <v>-</v>
      </c>
      <c r="AA22" s="22">
        <f>'Sales Report_CW'!$S22</f>
        <v>0</v>
      </c>
      <c r="AB22" s="22">
        <f>'Sales Report_CW'!$T22</f>
        <v>0</v>
      </c>
      <c r="AC22" s="23" t="str">
        <f t="shared" si="9"/>
        <v>-</v>
      </c>
      <c r="AD22" s="22">
        <f t="shared" si="10"/>
        <v>0</v>
      </c>
      <c r="AE22" s="22">
        <f t="shared" si="10"/>
        <v>0</v>
      </c>
    </row>
    <row r="23" spans="2:31" ht="15" x14ac:dyDescent="0.25">
      <c r="B23" s="21">
        <f t="shared" si="0"/>
        <v>45854</v>
      </c>
      <c r="C23" s="22">
        <f>'Sales Report_CW'!$C23</f>
        <v>0</v>
      </c>
      <c r="D23" s="22">
        <f>'Sales Report_CW'!$D23</f>
        <v>0</v>
      </c>
      <c r="E23" s="23" t="str">
        <f t="shared" si="1"/>
        <v/>
      </c>
      <c r="F23" s="22">
        <f>'Sales Report_CW'!$E23</f>
        <v>0</v>
      </c>
      <c r="G23" s="22">
        <f>'Sales Report_CW'!$F23</f>
        <v>0</v>
      </c>
      <c r="H23" s="23" t="str">
        <f t="shared" si="2"/>
        <v>-</v>
      </c>
      <c r="I23" s="22">
        <f>'Sales Report_CW'!$G23</f>
        <v>0</v>
      </c>
      <c r="J23" s="22">
        <f>'Sales Report_CW'!$H23</f>
        <v>0</v>
      </c>
      <c r="K23" s="23" t="str">
        <f t="shared" si="3"/>
        <v>-</v>
      </c>
      <c r="L23" s="22">
        <f>'Sales Report_CW'!$I23</f>
        <v>0</v>
      </c>
      <c r="M23" s="22">
        <f>'Sales Report_CW'!$J23</f>
        <v>0</v>
      </c>
      <c r="N23" s="23" t="str">
        <f t="shared" si="4"/>
        <v>-</v>
      </c>
      <c r="O23" s="22">
        <f t="shared" si="5"/>
        <v>0</v>
      </c>
      <c r="P23" s="22">
        <f t="shared" si="5"/>
        <v>0</v>
      </c>
      <c r="R23" s="22">
        <f>'Sales Report_CW'!$M23</f>
        <v>0</v>
      </c>
      <c r="S23" s="22">
        <f>'Sales Report_CW'!$N23</f>
        <v>0</v>
      </c>
      <c r="T23" s="23" t="str">
        <f t="shared" si="6"/>
        <v>-</v>
      </c>
      <c r="U23" s="22">
        <f>'Sales Report_CW'!$O23</f>
        <v>0</v>
      </c>
      <c r="V23" s="22">
        <f>'Sales Report_CW'!$P23</f>
        <v>0</v>
      </c>
      <c r="W23" s="23" t="str">
        <f t="shared" si="7"/>
        <v>-</v>
      </c>
      <c r="X23" s="22">
        <f>'Sales Report_CW'!$Q23</f>
        <v>0</v>
      </c>
      <c r="Y23" s="22">
        <f>'Sales Report_CW'!$R23</f>
        <v>0</v>
      </c>
      <c r="Z23" s="23" t="str">
        <f t="shared" si="8"/>
        <v>-</v>
      </c>
      <c r="AA23" s="22">
        <f>'Sales Report_CW'!$S23</f>
        <v>0</v>
      </c>
      <c r="AB23" s="22">
        <f>'Sales Report_CW'!$T23</f>
        <v>0</v>
      </c>
      <c r="AC23" s="23" t="str">
        <f t="shared" si="9"/>
        <v>-</v>
      </c>
      <c r="AD23" s="22">
        <f t="shared" si="10"/>
        <v>0</v>
      </c>
      <c r="AE23" s="22">
        <f t="shared" si="10"/>
        <v>0</v>
      </c>
    </row>
    <row r="24" spans="2:31" ht="15" x14ac:dyDescent="0.25">
      <c r="B24" s="21">
        <f t="shared" si="0"/>
        <v>45855</v>
      </c>
      <c r="C24" s="22">
        <f>'Sales Report_CW'!$C24</f>
        <v>0</v>
      </c>
      <c r="D24" s="22">
        <f>'Sales Report_CW'!$D24</f>
        <v>0</v>
      </c>
      <c r="E24" s="23" t="str">
        <f t="shared" si="1"/>
        <v/>
      </c>
      <c r="F24" s="22">
        <f>'Sales Report_CW'!$E24</f>
        <v>0</v>
      </c>
      <c r="G24" s="22">
        <f>'Sales Report_CW'!$F24</f>
        <v>0</v>
      </c>
      <c r="H24" s="23" t="str">
        <f t="shared" si="2"/>
        <v>-</v>
      </c>
      <c r="I24" s="22">
        <f>'Sales Report_CW'!$G24</f>
        <v>0</v>
      </c>
      <c r="J24" s="22">
        <f>'Sales Report_CW'!$H24</f>
        <v>0</v>
      </c>
      <c r="K24" s="23" t="str">
        <f t="shared" si="3"/>
        <v>-</v>
      </c>
      <c r="L24" s="22">
        <f>'Sales Report_CW'!$I24</f>
        <v>0</v>
      </c>
      <c r="M24" s="22">
        <f>'Sales Report_CW'!$J24</f>
        <v>0</v>
      </c>
      <c r="N24" s="23" t="str">
        <f t="shared" si="4"/>
        <v>-</v>
      </c>
      <c r="O24" s="22">
        <f t="shared" si="5"/>
        <v>0</v>
      </c>
      <c r="P24" s="22">
        <f t="shared" si="5"/>
        <v>0</v>
      </c>
      <c r="R24" s="22">
        <f>'Sales Report_CW'!$M24</f>
        <v>0</v>
      </c>
      <c r="S24" s="22">
        <f>'Sales Report_CW'!$N24</f>
        <v>0</v>
      </c>
      <c r="T24" s="23" t="str">
        <f t="shared" si="6"/>
        <v>-</v>
      </c>
      <c r="U24" s="22">
        <f>'Sales Report_CW'!$O24</f>
        <v>0</v>
      </c>
      <c r="V24" s="22">
        <f>'Sales Report_CW'!$P24</f>
        <v>0</v>
      </c>
      <c r="W24" s="23" t="str">
        <f t="shared" si="7"/>
        <v>-</v>
      </c>
      <c r="X24" s="22">
        <f>'Sales Report_CW'!$Q24</f>
        <v>0</v>
      </c>
      <c r="Y24" s="22">
        <f>'Sales Report_CW'!$R24</f>
        <v>0</v>
      </c>
      <c r="Z24" s="23" t="str">
        <f t="shared" si="8"/>
        <v>-</v>
      </c>
      <c r="AA24" s="22">
        <f>'Sales Report_CW'!$S24</f>
        <v>0</v>
      </c>
      <c r="AB24" s="22">
        <f>'Sales Report_CW'!$T24</f>
        <v>0</v>
      </c>
      <c r="AC24" s="23" t="str">
        <f t="shared" si="9"/>
        <v>-</v>
      </c>
      <c r="AD24" s="22">
        <f t="shared" si="10"/>
        <v>0</v>
      </c>
      <c r="AE24" s="22">
        <f t="shared" si="10"/>
        <v>0</v>
      </c>
    </row>
    <row r="25" spans="2:31" ht="15" x14ac:dyDescent="0.25">
      <c r="B25" s="21">
        <f t="shared" si="0"/>
        <v>45856</v>
      </c>
      <c r="C25" s="22">
        <f>'Sales Report_CW'!$C25</f>
        <v>0</v>
      </c>
      <c r="D25" s="22">
        <f>'Sales Report_CW'!$D25</f>
        <v>0</v>
      </c>
      <c r="E25" s="23" t="str">
        <f t="shared" si="1"/>
        <v/>
      </c>
      <c r="F25" s="22">
        <f>'Sales Report_CW'!$E25</f>
        <v>0</v>
      </c>
      <c r="G25" s="22">
        <f>'Sales Report_CW'!$F25</f>
        <v>0</v>
      </c>
      <c r="H25" s="23" t="str">
        <f t="shared" si="2"/>
        <v>-</v>
      </c>
      <c r="I25" s="22">
        <f>'Sales Report_CW'!$G25</f>
        <v>0</v>
      </c>
      <c r="J25" s="22">
        <f>'Sales Report_CW'!$H25</f>
        <v>0</v>
      </c>
      <c r="K25" s="23" t="str">
        <f t="shared" si="3"/>
        <v>-</v>
      </c>
      <c r="L25" s="22">
        <f>'Sales Report_CW'!$I25</f>
        <v>0</v>
      </c>
      <c r="M25" s="22">
        <f>'Sales Report_CW'!$J25</f>
        <v>0</v>
      </c>
      <c r="N25" s="23" t="str">
        <f t="shared" si="4"/>
        <v>-</v>
      </c>
      <c r="O25" s="22">
        <f t="shared" si="5"/>
        <v>0</v>
      </c>
      <c r="P25" s="22">
        <f t="shared" si="5"/>
        <v>0</v>
      </c>
      <c r="R25" s="22">
        <f>'Sales Report_CW'!$M25</f>
        <v>0</v>
      </c>
      <c r="S25" s="22">
        <f>'Sales Report_CW'!$N25</f>
        <v>0</v>
      </c>
      <c r="T25" s="23" t="str">
        <f t="shared" si="6"/>
        <v>-</v>
      </c>
      <c r="U25" s="22">
        <f>'Sales Report_CW'!$O25</f>
        <v>0</v>
      </c>
      <c r="V25" s="22">
        <f>'Sales Report_CW'!$P25</f>
        <v>0</v>
      </c>
      <c r="W25" s="23" t="str">
        <f t="shared" si="7"/>
        <v>-</v>
      </c>
      <c r="X25" s="22">
        <f>'Sales Report_CW'!$Q25</f>
        <v>0</v>
      </c>
      <c r="Y25" s="22">
        <f>'Sales Report_CW'!$R25</f>
        <v>0</v>
      </c>
      <c r="Z25" s="23" t="str">
        <f t="shared" si="8"/>
        <v>-</v>
      </c>
      <c r="AA25" s="22">
        <f>'Sales Report_CW'!$S25</f>
        <v>0</v>
      </c>
      <c r="AB25" s="22">
        <f>'Sales Report_CW'!$T25</f>
        <v>0</v>
      </c>
      <c r="AC25" s="23" t="str">
        <f t="shared" si="9"/>
        <v>-</v>
      </c>
      <c r="AD25" s="22">
        <f t="shared" si="10"/>
        <v>0</v>
      </c>
      <c r="AE25" s="22">
        <f t="shared" si="10"/>
        <v>0</v>
      </c>
    </row>
    <row r="26" spans="2:31" ht="15" x14ac:dyDescent="0.25">
      <c r="B26" s="21">
        <f t="shared" si="0"/>
        <v>45857</v>
      </c>
      <c r="C26" s="22">
        <f>'Sales Report_CW'!$C26</f>
        <v>0</v>
      </c>
      <c r="D26" s="22">
        <f>'Sales Report_CW'!$D26</f>
        <v>0</v>
      </c>
      <c r="E26" s="23" t="str">
        <f t="shared" si="1"/>
        <v/>
      </c>
      <c r="F26" s="22">
        <f>'Sales Report_CW'!$E26</f>
        <v>0</v>
      </c>
      <c r="G26" s="22">
        <f>'Sales Report_CW'!$F26</f>
        <v>0</v>
      </c>
      <c r="H26" s="23" t="str">
        <f t="shared" si="2"/>
        <v>-</v>
      </c>
      <c r="I26" s="22">
        <f>'Sales Report_CW'!$G26</f>
        <v>0</v>
      </c>
      <c r="J26" s="22">
        <f>'Sales Report_CW'!$H26</f>
        <v>0</v>
      </c>
      <c r="K26" s="23" t="str">
        <f t="shared" si="3"/>
        <v>-</v>
      </c>
      <c r="L26" s="22">
        <f>'Sales Report_CW'!$I26</f>
        <v>0</v>
      </c>
      <c r="M26" s="22">
        <f>'Sales Report_CW'!$J26</f>
        <v>0</v>
      </c>
      <c r="N26" s="23" t="str">
        <f t="shared" si="4"/>
        <v>-</v>
      </c>
      <c r="O26" s="22">
        <f t="shared" si="5"/>
        <v>0</v>
      </c>
      <c r="P26" s="22">
        <f t="shared" si="5"/>
        <v>0</v>
      </c>
      <c r="R26" s="22">
        <f>'Sales Report_CW'!$M26</f>
        <v>0</v>
      </c>
      <c r="S26" s="22">
        <f>'Sales Report_CW'!$N26</f>
        <v>0</v>
      </c>
      <c r="T26" s="23" t="str">
        <f t="shared" si="6"/>
        <v>-</v>
      </c>
      <c r="U26" s="22">
        <f>'Sales Report_CW'!$O26</f>
        <v>0</v>
      </c>
      <c r="V26" s="22">
        <f>'Sales Report_CW'!$P26</f>
        <v>0</v>
      </c>
      <c r="W26" s="23" t="str">
        <f t="shared" si="7"/>
        <v>-</v>
      </c>
      <c r="X26" s="22">
        <f>'Sales Report_CW'!$Q26</f>
        <v>0</v>
      </c>
      <c r="Y26" s="22">
        <f>'Sales Report_CW'!$R26</f>
        <v>0</v>
      </c>
      <c r="Z26" s="23" t="str">
        <f t="shared" si="8"/>
        <v>-</v>
      </c>
      <c r="AA26" s="22">
        <f>'Sales Report_CW'!$S26</f>
        <v>0</v>
      </c>
      <c r="AB26" s="22">
        <f>'Sales Report_CW'!$T26</f>
        <v>0</v>
      </c>
      <c r="AC26" s="23" t="str">
        <f t="shared" si="9"/>
        <v>-</v>
      </c>
      <c r="AD26" s="22">
        <f t="shared" si="10"/>
        <v>0</v>
      </c>
      <c r="AE26" s="22">
        <f t="shared" si="10"/>
        <v>0</v>
      </c>
    </row>
    <row r="27" spans="2:31" ht="15" x14ac:dyDescent="0.25">
      <c r="B27" s="21">
        <f t="shared" si="0"/>
        <v>45858</v>
      </c>
      <c r="C27" s="22">
        <f>'Sales Report_CW'!$C27</f>
        <v>0</v>
      </c>
      <c r="D27" s="22">
        <f>'Sales Report_CW'!$D27</f>
        <v>0</v>
      </c>
      <c r="E27" s="23" t="str">
        <f t="shared" si="1"/>
        <v/>
      </c>
      <c r="F27" s="22">
        <f>'Sales Report_CW'!$E27</f>
        <v>0</v>
      </c>
      <c r="G27" s="22">
        <f>'Sales Report_CW'!$F27</f>
        <v>0</v>
      </c>
      <c r="H27" s="23" t="str">
        <f t="shared" si="2"/>
        <v>-</v>
      </c>
      <c r="I27" s="22">
        <f>'Sales Report_CW'!$G27</f>
        <v>0</v>
      </c>
      <c r="J27" s="22">
        <f>'Sales Report_CW'!$H27</f>
        <v>0</v>
      </c>
      <c r="K27" s="23" t="str">
        <f t="shared" si="3"/>
        <v>-</v>
      </c>
      <c r="L27" s="22">
        <f>'Sales Report_CW'!$I27</f>
        <v>0</v>
      </c>
      <c r="M27" s="22">
        <f>'Sales Report_CW'!$J27</f>
        <v>0</v>
      </c>
      <c r="N27" s="23" t="str">
        <f t="shared" si="4"/>
        <v>-</v>
      </c>
      <c r="O27" s="22">
        <f t="shared" si="5"/>
        <v>0</v>
      </c>
      <c r="P27" s="22">
        <f t="shared" si="5"/>
        <v>0</v>
      </c>
      <c r="R27" s="22">
        <f>'Sales Report_CW'!$M27</f>
        <v>0</v>
      </c>
      <c r="S27" s="22">
        <f>'Sales Report_CW'!$N27</f>
        <v>0</v>
      </c>
      <c r="T27" s="23" t="str">
        <f t="shared" si="6"/>
        <v>-</v>
      </c>
      <c r="U27" s="22">
        <f>'Sales Report_CW'!$O27</f>
        <v>0</v>
      </c>
      <c r="V27" s="22">
        <f>'Sales Report_CW'!$P27</f>
        <v>0</v>
      </c>
      <c r="W27" s="23" t="str">
        <f t="shared" si="7"/>
        <v>-</v>
      </c>
      <c r="X27" s="22">
        <f>'Sales Report_CW'!$Q27</f>
        <v>0</v>
      </c>
      <c r="Y27" s="22">
        <f>'Sales Report_CW'!$R27</f>
        <v>0</v>
      </c>
      <c r="Z27" s="23" t="str">
        <f t="shared" si="8"/>
        <v>-</v>
      </c>
      <c r="AA27" s="22">
        <f>'Sales Report_CW'!$S27</f>
        <v>0</v>
      </c>
      <c r="AB27" s="22">
        <f>'Sales Report_CW'!$T27</f>
        <v>0</v>
      </c>
      <c r="AC27" s="23" t="str">
        <f t="shared" si="9"/>
        <v>-</v>
      </c>
      <c r="AD27" s="22">
        <f t="shared" si="10"/>
        <v>0</v>
      </c>
      <c r="AE27" s="22">
        <f t="shared" si="10"/>
        <v>0</v>
      </c>
    </row>
    <row r="28" spans="2:31" ht="15" x14ac:dyDescent="0.25">
      <c r="B28" s="21">
        <f t="shared" si="0"/>
        <v>45859</v>
      </c>
      <c r="C28" s="22">
        <f>'Sales Report_CW'!$C28</f>
        <v>0</v>
      </c>
      <c r="D28" s="22">
        <f>'Sales Report_CW'!$D28</f>
        <v>0</v>
      </c>
      <c r="E28" s="23" t="str">
        <f t="shared" si="1"/>
        <v/>
      </c>
      <c r="F28" s="22">
        <f>'Sales Report_CW'!$E28</f>
        <v>0</v>
      </c>
      <c r="G28" s="22">
        <f>'Sales Report_CW'!$F28</f>
        <v>0</v>
      </c>
      <c r="H28" s="23" t="str">
        <f t="shared" si="2"/>
        <v>-</v>
      </c>
      <c r="I28" s="22">
        <f>'Sales Report_CW'!$G28</f>
        <v>0</v>
      </c>
      <c r="J28" s="22">
        <f>'Sales Report_CW'!$H28</f>
        <v>0</v>
      </c>
      <c r="K28" s="23" t="str">
        <f t="shared" si="3"/>
        <v>-</v>
      </c>
      <c r="L28" s="22">
        <f>'Sales Report_CW'!$I28</f>
        <v>0</v>
      </c>
      <c r="M28" s="22">
        <f>'Sales Report_CW'!$J28</f>
        <v>0</v>
      </c>
      <c r="N28" s="23" t="str">
        <f t="shared" si="4"/>
        <v>-</v>
      </c>
      <c r="O28" s="22">
        <f t="shared" si="5"/>
        <v>0</v>
      </c>
      <c r="P28" s="22">
        <f t="shared" si="5"/>
        <v>0</v>
      </c>
      <c r="R28" s="22">
        <f>'Sales Report_CW'!$M28</f>
        <v>0</v>
      </c>
      <c r="S28" s="22">
        <f>'Sales Report_CW'!$N28</f>
        <v>0</v>
      </c>
      <c r="T28" s="23" t="str">
        <f t="shared" si="6"/>
        <v>-</v>
      </c>
      <c r="U28" s="22">
        <f>'Sales Report_CW'!$O28</f>
        <v>0</v>
      </c>
      <c r="V28" s="22">
        <f>'Sales Report_CW'!$P28</f>
        <v>0</v>
      </c>
      <c r="W28" s="23" t="str">
        <f t="shared" si="7"/>
        <v>-</v>
      </c>
      <c r="X28" s="22">
        <f>'Sales Report_CW'!$Q28</f>
        <v>0</v>
      </c>
      <c r="Y28" s="22">
        <f>'Sales Report_CW'!$R28</f>
        <v>0</v>
      </c>
      <c r="Z28" s="23" t="str">
        <f t="shared" si="8"/>
        <v>-</v>
      </c>
      <c r="AA28" s="22">
        <f>'Sales Report_CW'!$S28</f>
        <v>0</v>
      </c>
      <c r="AB28" s="22">
        <f>'Sales Report_CW'!$T28</f>
        <v>0</v>
      </c>
      <c r="AC28" s="23" t="str">
        <f t="shared" si="9"/>
        <v>-</v>
      </c>
      <c r="AD28" s="22">
        <f t="shared" si="10"/>
        <v>0</v>
      </c>
      <c r="AE28" s="22">
        <f t="shared" si="10"/>
        <v>0</v>
      </c>
    </row>
    <row r="29" spans="2:31" ht="15" x14ac:dyDescent="0.25">
      <c r="B29" s="21">
        <f t="shared" si="0"/>
        <v>45860</v>
      </c>
      <c r="C29" s="22">
        <f>'Sales Report_CW'!$C29</f>
        <v>0</v>
      </c>
      <c r="D29" s="22">
        <f>'Sales Report_CW'!$D29</f>
        <v>0</v>
      </c>
      <c r="E29" s="23" t="str">
        <f t="shared" si="1"/>
        <v/>
      </c>
      <c r="F29" s="22">
        <f>'Sales Report_CW'!$E29</f>
        <v>0</v>
      </c>
      <c r="G29" s="22">
        <f>'Sales Report_CW'!$F29</f>
        <v>0</v>
      </c>
      <c r="H29" s="23" t="str">
        <f t="shared" si="2"/>
        <v>-</v>
      </c>
      <c r="I29" s="22">
        <f>'Sales Report_CW'!$G29</f>
        <v>0</v>
      </c>
      <c r="J29" s="22">
        <f>'Sales Report_CW'!$H29</f>
        <v>0</v>
      </c>
      <c r="K29" s="23" t="str">
        <f t="shared" si="3"/>
        <v>-</v>
      </c>
      <c r="L29" s="22">
        <f>'Sales Report_CW'!$I29</f>
        <v>0</v>
      </c>
      <c r="M29" s="22">
        <f>'Sales Report_CW'!$J29</f>
        <v>0</v>
      </c>
      <c r="N29" s="23" t="str">
        <f t="shared" si="4"/>
        <v>-</v>
      </c>
      <c r="O29" s="22">
        <f t="shared" si="5"/>
        <v>0</v>
      </c>
      <c r="P29" s="22">
        <f t="shared" si="5"/>
        <v>0</v>
      </c>
      <c r="R29" s="22">
        <f>'Sales Report_CW'!$M29</f>
        <v>0</v>
      </c>
      <c r="S29" s="22">
        <f>'Sales Report_CW'!$N29</f>
        <v>0</v>
      </c>
      <c r="T29" s="23" t="str">
        <f t="shared" si="6"/>
        <v>-</v>
      </c>
      <c r="U29" s="22">
        <f>'Sales Report_CW'!$O29</f>
        <v>0</v>
      </c>
      <c r="V29" s="22">
        <f>'Sales Report_CW'!$P29</f>
        <v>0</v>
      </c>
      <c r="W29" s="23" t="str">
        <f t="shared" si="7"/>
        <v>-</v>
      </c>
      <c r="X29" s="22">
        <f>'Sales Report_CW'!$Q29</f>
        <v>0</v>
      </c>
      <c r="Y29" s="22">
        <f>'Sales Report_CW'!$R29</f>
        <v>0</v>
      </c>
      <c r="Z29" s="23" t="str">
        <f t="shared" si="8"/>
        <v>-</v>
      </c>
      <c r="AA29" s="22">
        <f>'Sales Report_CW'!$S29</f>
        <v>0</v>
      </c>
      <c r="AB29" s="22">
        <f>'Sales Report_CW'!$T29</f>
        <v>0</v>
      </c>
      <c r="AC29" s="23" t="str">
        <f t="shared" si="9"/>
        <v>-</v>
      </c>
      <c r="AD29" s="22">
        <f t="shared" si="10"/>
        <v>0</v>
      </c>
      <c r="AE29" s="22">
        <f t="shared" si="10"/>
        <v>0</v>
      </c>
    </row>
    <row r="30" spans="2:31" ht="15" x14ac:dyDescent="0.25">
      <c r="B30" s="21">
        <f t="shared" si="0"/>
        <v>45861</v>
      </c>
      <c r="C30" s="22">
        <f>'Sales Report_CW'!$C30</f>
        <v>0</v>
      </c>
      <c r="D30" s="22">
        <f>'Sales Report_CW'!$D30</f>
        <v>0</v>
      </c>
      <c r="E30" s="23" t="str">
        <f t="shared" si="1"/>
        <v/>
      </c>
      <c r="F30" s="22">
        <f>'Sales Report_CW'!$E30</f>
        <v>0</v>
      </c>
      <c r="G30" s="22">
        <f>'Sales Report_CW'!$F30</f>
        <v>0</v>
      </c>
      <c r="H30" s="23" t="str">
        <f t="shared" si="2"/>
        <v>-</v>
      </c>
      <c r="I30" s="22">
        <f>'Sales Report_CW'!$G30</f>
        <v>0</v>
      </c>
      <c r="J30" s="22">
        <f>'Sales Report_CW'!$H30</f>
        <v>0</v>
      </c>
      <c r="K30" s="23" t="str">
        <f t="shared" si="3"/>
        <v>-</v>
      </c>
      <c r="L30" s="22">
        <f>'Sales Report_CW'!$I30</f>
        <v>0</v>
      </c>
      <c r="M30" s="22">
        <f>'Sales Report_CW'!$J30</f>
        <v>0</v>
      </c>
      <c r="N30" s="23" t="str">
        <f t="shared" si="4"/>
        <v>-</v>
      </c>
      <c r="O30" s="22">
        <f t="shared" si="5"/>
        <v>0</v>
      </c>
      <c r="P30" s="22">
        <f t="shared" si="5"/>
        <v>0</v>
      </c>
      <c r="R30" s="22">
        <f>'Sales Report_CW'!$M30</f>
        <v>0</v>
      </c>
      <c r="S30" s="22">
        <f>'Sales Report_CW'!$N30</f>
        <v>0</v>
      </c>
      <c r="T30" s="23" t="str">
        <f t="shared" si="6"/>
        <v>-</v>
      </c>
      <c r="U30" s="22">
        <f>'Sales Report_CW'!$O30</f>
        <v>0</v>
      </c>
      <c r="V30" s="22">
        <f>'Sales Report_CW'!$P30</f>
        <v>0</v>
      </c>
      <c r="W30" s="23" t="str">
        <f t="shared" si="7"/>
        <v>-</v>
      </c>
      <c r="X30" s="22">
        <f>'Sales Report_CW'!$Q30</f>
        <v>0</v>
      </c>
      <c r="Y30" s="22">
        <f>'Sales Report_CW'!$R30</f>
        <v>0</v>
      </c>
      <c r="Z30" s="23" t="str">
        <f t="shared" si="8"/>
        <v>-</v>
      </c>
      <c r="AA30" s="22">
        <f>'Sales Report_CW'!$S30</f>
        <v>0</v>
      </c>
      <c r="AB30" s="22">
        <f>'Sales Report_CW'!$T30</f>
        <v>0</v>
      </c>
      <c r="AC30" s="23" t="str">
        <f t="shared" si="9"/>
        <v>-</v>
      </c>
      <c r="AD30" s="22">
        <f t="shared" si="10"/>
        <v>0</v>
      </c>
      <c r="AE30" s="22">
        <f t="shared" si="10"/>
        <v>0</v>
      </c>
    </row>
    <row r="31" spans="2:31" ht="15" x14ac:dyDescent="0.25">
      <c r="B31" s="21">
        <f t="shared" si="0"/>
        <v>45862</v>
      </c>
      <c r="C31" s="22">
        <f>'Sales Report_CW'!$C31</f>
        <v>0</v>
      </c>
      <c r="D31" s="22">
        <f>'Sales Report_CW'!$D31</f>
        <v>0</v>
      </c>
      <c r="E31" s="23" t="str">
        <f t="shared" si="1"/>
        <v/>
      </c>
      <c r="F31" s="22">
        <f>'Sales Report_CW'!$E31</f>
        <v>0</v>
      </c>
      <c r="G31" s="22">
        <f>'Sales Report_CW'!$F31</f>
        <v>0</v>
      </c>
      <c r="H31" s="23" t="str">
        <f t="shared" si="2"/>
        <v>-</v>
      </c>
      <c r="I31" s="22">
        <f>'Sales Report_CW'!$G31</f>
        <v>0</v>
      </c>
      <c r="J31" s="22">
        <f>'Sales Report_CW'!$H31</f>
        <v>0</v>
      </c>
      <c r="K31" s="23" t="str">
        <f t="shared" si="3"/>
        <v>-</v>
      </c>
      <c r="L31" s="22">
        <f>'Sales Report_CW'!$I31</f>
        <v>0</v>
      </c>
      <c r="M31" s="22">
        <f>'Sales Report_CW'!$J31</f>
        <v>0</v>
      </c>
      <c r="N31" s="23" t="str">
        <f t="shared" si="4"/>
        <v>-</v>
      </c>
      <c r="O31" s="22">
        <f t="shared" si="5"/>
        <v>0</v>
      </c>
      <c r="P31" s="22">
        <f t="shared" si="5"/>
        <v>0</v>
      </c>
      <c r="R31" s="22">
        <f>'Sales Report_CW'!$M31</f>
        <v>0</v>
      </c>
      <c r="S31" s="22">
        <f>'Sales Report_CW'!$N31</f>
        <v>0</v>
      </c>
      <c r="T31" s="23" t="str">
        <f t="shared" si="6"/>
        <v>-</v>
      </c>
      <c r="U31" s="22">
        <f>'Sales Report_CW'!$O31</f>
        <v>0</v>
      </c>
      <c r="V31" s="22">
        <f>'Sales Report_CW'!$P31</f>
        <v>0</v>
      </c>
      <c r="W31" s="23" t="str">
        <f t="shared" si="7"/>
        <v>-</v>
      </c>
      <c r="X31" s="22">
        <f>'Sales Report_CW'!$Q31</f>
        <v>0</v>
      </c>
      <c r="Y31" s="22">
        <f>'Sales Report_CW'!$R31</f>
        <v>0</v>
      </c>
      <c r="Z31" s="23" t="str">
        <f t="shared" si="8"/>
        <v>-</v>
      </c>
      <c r="AA31" s="22">
        <f>'Sales Report_CW'!$S31</f>
        <v>0</v>
      </c>
      <c r="AB31" s="22">
        <f>'Sales Report_CW'!$T31</f>
        <v>0</v>
      </c>
      <c r="AC31" s="23" t="str">
        <f t="shared" si="9"/>
        <v>-</v>
      </c>
      <c r="AD31" s="22">
        <f t="shared" si="10"/>
        <v>0</v>
      </c>
      <c r="AE31" s="22">
        <f t="shared" si="10"/>
        <v>0</v>
      </c>
    </row>
    <row r="32" spans="2:31" ht="15" x14ac:dyDescent="0.25">
      <c r="B32" s="21">
        <f t="shared" si="0"/>
        <v>45863</v>
      </c>
      <c r="C32" s="22">
        <f>'Sales Report_CW'!$C32</f>
        <v>0</v>
      </c>
      <c r="D32" s="22">
        <f>'Sales Report_CW'!$D32</f>
        <v>0</v>
      </c>
      <c r="E32" s="23" t="str">
        <f t="shared" si="1"/>
        <v/>
      </c>
      <c r="F32" s="22">
        <f>'Sales Report_CW'!$E32</f>
        <v>0</v>
      </c>
      <c r="G32" s="22">
        <f>'Sales Report_CW'!$F32</f>
        <v>0</v>
      </c>
      <c r="H32" s="23" t="str">
        <f t="shared" si="2"/>
        <v>-</v>
      </c>
      <c r="I32" s="22">
        <f>'Sales Report_CW'!$G32</f>
        <v>0</v>
      </c>
      <c r="J32" s="22">
        <f>'Sales Report_CW'!$H32</f>
        <v>0</v>
      </c>
      <c r="K32" s="23" t="str">
        <f t="shared" si="3"/>
        <v>-</v>
      </c>
      <c r="L32" s="22">
        <f>'Sales Report_CW'!$I32</f>
        <v>0</v>
      </c>
      <c r="M32" s="22">
        <f>'Sales Report_CW'!$J32</f>
        <v>0</v>
      </c>
      <c r="N32" s="23" t="str">
        <f t="shared" si="4"/>
        <v>-</v>
      </c>
      <c r="O32" s="22">
        <f t="shared" si="5"/>
        <v>0</v>
      </c>
      <c r="P32" s="22">
        <f t="shared" si="5"/>
        <v>0</v>
      </c>
      <c r="R32" s="22">
        <f>'Sales Report_CW'!$M32</f>
        <v>0</v>
      </c>
      <c r="S32" s="22">
        <f>'Sales Report_CW'!$N32</f>
        <v>0</v>
      </c>
      <c r="T32" s="23" t="str">
        <f t="shared" si="6"/>
        <v>-</v>
      </c>
      <c r="U32" s="22">
        <f>'Sales Report_CW'!$O32</f>
        <v>0</v>
      </c>
      <c r="V32" s="22">
        <f>'Sales Report_CW'!$P32</f>
        <v>0</v>
      </c>
      <c r="W32" s="23" t="str">
        <f t="shared" si="7"/>
        <v>-</v>
      </c>
      <c r="X32" s="22">
        <f>'Sales Report_CW'!$Q32</f>
        <v>0</v>
      </c>
      <c r="Y32" s="22">
        <f>'Sales Report_CW'!$R32</f>
        <v>0</v>
      </c>
      <c r="Z32" s="23" t="str">
        <f t="shared" si="8"/>
        <v>-</v>
      </c>
      <c r="AA32" s="22">
        <f>'Sales Report_CW'!$S32</f>
        <v>0</v>
      </c>
      <c r="AB32" s="22">
        <f>'Sales Report_CW'!$T32</f>
        <v>0</v>
      </c>
      <c r="AC32" s="23" t="str">
        <f t="shared" si="9"/>
        <v>-</v>
      </c>
      <c r="AD32" s="22">
        <f t="shared" si="10"/>
        <v>0</v>
      </c>
      <c r="AE32" s="22">
        <f t="shared" si="10"/>
        <v>0</v>
      </c>
    </row>
    <row r="33" spans="1:31" ht="15" x14ac:dyDescent="0.25">
      <c r="B33" s="21">
        <f t="shared" si="0"/>
        <v>45864</v>
      </c>
      <c r="C33" s="22">
        <f>'Sales Report_CW'!$C33</f>
        <v>0</v>
      </c>
      <c r="D33" s="22">
        <f>'Sales Report_CW'!$D33</f>
        <v>0</v>
      </c>
      <c r="E33" s="23" t="str">
        <f t="shared" si="1"/>
        <v/>
      </c>
      <c r="F33" s="22">
        <f>'Sales Report_CW'!$E33</f>
        <v>0</v>
      </c>
      <c r="G33" s="22">
        <f>'Sales Report_CW'!$F33</f>
        <v>0</v>
      </c>
      <c r="H33" s="23" t="str">
        <f t="shared" si="2"/>
        <v>-</v>
      </c>
      <c r="I33" s="22">
        <f>'Sales Report_CW'!$G33</f>
        <v>0</v>
      </c>
      <c r="J33" s="22">
        <f>'Sales Report_CW'!$H33</f>
        <v>0</v>
      </c>
      <c r="K33" s="23" t="str">
        <f t="shared" si="3"/>
        <v>-</v>
      </c>
      <c r="L33" s="22">
        <f>'Sales Report_CW'!$I33</f>
        <v>0</v>
      </c>
      <c r="M33" s="22">
        <f>'Sales Report_CW'!$J33</f>
        <v>0</v>
      </c>
      <c r="N33" s="23" t="str">
        <f t="shared" si="4"/>
        <v>-</v>
      </c>
      <c r="O33" s="22">
        <f t="shared" si="5"/>
        <v>0</v>
      </c>
      <c r="P33" s="22">
        <f t="shared" si="5"/>
        <v>0</v>
      </c>
      <c r="R33" s="22">
        <f>'Sales Report_CW'!$M33</f>
        <v>0</v>
      </c>
      <c r="S33" s="22">
        <f>'Sales Report_CW'!$N33</f>
        <v>0</v>
      </c>
      <c r="T33" s="23" t="str">
        <f t="shared" si="6"/>
        <v>-</v>
      </c>
      <c r="U33" s="22">
        <f>'Sales Report_CW'!$O33</f>
        <v>0</v>
      </c>
      <c r="V33" s="22">
        <f>'Sales Report_CW'!$P33</f>
        <v>0</v>
      </c>
      <c r="W33" s="23" t="str">
        <f t="shared" si="7"/>
        <v>-</v>
      </c>
      <c r="X33" s="22">
        <f>'Sales Report_CW'!$Q33</f>
        <v>0</v>
      </c>
      <c r="Y33" s="22">
        <f>'Sales Report_CW'!$R33</f>
        <v>0</v>
      </c>
      <c r="Z33" s="23" t="str">
        <f t="shared" si="8"/>
        <v>-</v>
      </c>
      <c r="AA33" s="22">
        <f>'Sales Report_CW'!$S33</f>
        <v>0</v>
      </c>
      <c r="AB33" s="22">
        <f>'Sales Report_CW'!$T33</f>
        <v>0</v>
      </c>
      <c r="AC33" s="23" t="str">
        <f t="shared" si="9"/>
        <v>-</v>
      </c>
      <c r="AD33" s="22">
        <f t="shared" si="10"/>
        <v>0</v>
      </c>
      <c r="AE33" s="22">
        <f t="shared" si="10"/>
        <v>0</v>
      </c>
    </row>
    <row r="34" spans="1:31" ht="15" x14ac:dyDescent="0.25">
      <c r="B34" s="21">
        <f t="shared" si="0"/>
        <v>45865</v>
      </c>
      <c r="C34" s="22">
        <f>'Sales Report_CW'!$C34</f>
        <v>0</v>
      </c>
      <c r="D34" s="22">
        <f>'Sales Report_CW'!$D34</f>
        <v>0</v>
      </c>
      <c r="E34" s="23" t="str">
        <f t="shared" si="1"/>
        <v/>
      </c>
      <c r="F34" s="22">
        <f>'Sales Report_CW'!$E34</f>
        <v>0</v>
      </c>
      <c r="G34" s="22">
        <f>'Sales Report_CW'!$F34</f>
        <v>0</v>
      </c>
      <c r="H34" s="23" t="str">
        <f t="shared" si="2"/>
        <v>-</v>
      </c>
      <c r="I34" s="22">
        <f>'Sales Report_CW'!$G34</f>
        <v>0</v>
      </c>
      <c r="J34" s="22">
        <f>'Sales Report_CW'!$H34</f>
        <v>0</v>
      </c>
      <c r="K34" s="23" t="str">
        <f t="shared" si="3"/>
        <v>-</v>
      </c>
      <c r="L34" s="22">
        <f>'Sales Report_CW'!$I34</f>
        <v>0</v>
      </c>
      <c r="M34" s="22">
        <f>'Sales Report_CW'!$J34</f>
        <v>0</v>
      </c>
      <c r="N34" s="23" t="str">
        <f t="shared" si="4"/>
        <v>-</v>
      </c>
      <c r="O34" s="22">
        <f t="shared" si="5"/>
        <v>0</v>
      </c>
      <c r="P34" s="22">
        <f t="shared" si="5"/>
        <v>0</v>
      </c>
      <c r="R34" s="22">
        <f>'Sales Report_CW'!$M34</f>
        <v>0</v>
      </c>
      <c r="S34" s="22">
        <f>'Sales Report_CW'!$N34</f>
        <v>0</v>
      </c>
      <c r="T34" s="23" t="str">
        <f t="shared" si="6"/>
        <v>-</v>
      </c>
      <c r="U34" s="22">
        <f>'Sales Report_CW'!$O34</f>
        <v>0</v>
      </c>
      <c r="V34" s="22">
        <f>'Sales Report_CW'!$P34</f>
        <v>0</v>
      </c>
      <c r="W34" s="23" t="str">
        <f t="shared" si="7"/>
        <v>-</v>
      </c>
      <c r="X34" s="22">
        <f>'Sales Report_CW'!$Q34</f>
        <v>0</v>
      </c>
      <c r="Y34" s="22">
        <f>'Sales Report_CW'!$R34</f>
        <v>0</v>
      </c>
      <c r="Z34" s="23" t="str">
        <f t="shared" si="8"/>
        <v>-</v>
      </c>
      <c r="AA34" s="22">
        <f>'Sales Report_CW'!$S34</f>
        <v>0</v>
      </c>
      <c r="AB34" s="22">
        <f>'Sales Report_CW'!$T34</f>
        <v>0</v>
      </c>
      <c r="AC34" s="23" t="str">
        <f t="shared" si="9"/>
        <v>-</v>
      </c>
      <c r="AD34" s="22">
        <f t="shared" si="10"/>
        <v>0</v>
      </c>
      <c r="AE34" s="22">
        <f t="shared" si="10"/>
        <v>0</v>
      </c>
    </row>
    <row r="35" spans="1:31" ht="15" x14ac:dyDescent="0.25">
      <c r="B35" s="21">
        <f t="shared" si="0"/>
        <v>45866</v>
      </c>
      <c r="C35" s="22">
        <f>'Sales Report_CW'!$C35</f>
        <v>0</v>
      </c>
      <c r="D35" s="22">
        <f>'Sales Report_CW'!$D35</f>
        <v>0</v>
      </c>
      <c r="E35" s="23" t="str">
        <f t="shared" si="1"/>
        <v/>
      </c>
      <c r="F35" s="22">
        <f>'Sales Report_CW'!$E35</f>
        <v>0</v>
      </c>
      <c r="G35" s="22">
        <f>'Sales Report_CW'!$F35</f>
        <v>0</v>
      </c>
      <c r="H35" s="23" t="str">
        <f t="shared" si="2"/>
        <v>-</v>
      </c>
      <c r="I35" s="22">
        <f>'Sales Report_CW'!$G35</f>
        <v>0</v>
      </c>
      <c r="J35" s="22">
        <f>'Sales Report_CW'!$H35</f>
        <v>0</v>
      </c>
      <c r="K35" s="23" t="str">
        <f t="shared" si="3"/>
        <v>-</v>
      </c>
      <c r="L35" s="22">
        <f>'Sales Report_CW'!$I35</f>
        <v>0</v>
      </c>
      <c r="M35" s="22">
        <f>'Sales Report_CW'!$J35</f>
        <v>0</v>
      </c>
      <c r="N35" s="23" t="str">
        <f t="shared" si="4"/>
        <v>-</v>
      </c>
      <c r="O35" s="22">
        <f t="shared" si="5"/>
        <v>0</v>
      </c>
      <c r="P35" s="22">
        <f t="shared" si="5"/>
        <v>0</v>
      </c>
      <c r="R35" s="22">
        <f>'Sales Report_CW'!$M35</f>
        <v>0</v>
      </c>
      <c r="S35" s="22">
        <f>'Sales Report_CW'!$N35</f>
        <v>0</v>
      </c>
      <c r="T35" s="23" t="str">
        <f t="shared" si="6"/>
        <v>-</v>
      </c>
      <c r="U35" s="22">
        <f>'Sales Report_CW'!$O35</f>
        <v>0</v>
      </c>
      <c r="V35" s="22">
        <f>'Sales Report_CW'!$P35</f>
        <v>0</v>
      </c>
      <c r="W35" s="23" t="str">
        <f t="shared" si="7"/>
        <v>-</v>
      </c>
      <c r="X35" s="22">
        <f>'Sales Report_CW'!$Q35</f>
        <v>0</v>
      </c>
      <c r="Y35" s="22">
        <f>'Sales Report_CW'!$R35</f>
        <v>0</v>
      </c>
      <c r="Z35" s="23" t="str">
        <f t="shared" si="8"/>
        <v>-</v>
      </c>
      <c r="AA35" s="22">
        <f>'Sales Report_CW'!$S35</f>
        <v>0</v>
      </c>
      <c r="AB35" s="22">
        <f>'Sales Report_CW'!$T35</f>
        <v>0</v>
      </c>
      <c r="AC35" s="23" t="str">
        <f t="shared" si="9"/>
        <v>-</v>
      </c>
      <c r="AD35" s="22">
        <f t="shared" si="10"/>
        <v>0</v>
      </c>
      <c r="AE35" s="22">
        <f t="shared" si="10"/>
        <v>0</v>
      </c>
    </row>
    <row r="36" spans="1:31" ht="15" x14ac:dyDescent="0.25">
      <c r="B36" s="21">
        <f t="shared" si="0"/>
        <v>45867</v>
      </c>
      <c r="C36" s="22">
        <f>'Sales Report_CW'!$C36</f>
        <v>0</v>
      </c>
      <c r="D36" s="22">
        <f>'Sales Report_CW'!$D36</f>
        <v>0</v>
      </c>
      <c r="E36" s="23" t="str">
        <f t="shared" si="1"/>
        <v/>
      </c>
      <c r="F36" s="22">
        <f>'Sales Report_CW'!$E36</f>
        <v>0</v>
      </c>
      <c r="G36" s="22">
        <f>'Sales Report_CW'!$F36</f>
        <v>0</v>
      </c>
      <c r="H36" s="23" t="str">
        <f t="shared" si="2"/>
        <v>-</v>
      </c>
      <c r="I36" s="22">
        <f>'Sales Report_CW'!$G36</f>
        <v>0</v>
      </c>
      <c r="J36" s="22">
        <f>'Sales Report_CW'!$H36</f>
        <v>0</v>
      </c>
      <c r="K36" s="23" t="str">
        <f t="shared" si="3"/>
        <v>-</v>
      </c>
      <c r="L36" s="22">
        <f>'Sales Report_CW'!$I36</f>
        <v>0</v>
      </c>
      <c r="M36" s="22">
        <f>'Sales Report_CW'!$J36</f>
        <v>0</v>
      </c>
      <c r="N36" s="23" t="str">
        <f t="shared" si="4"/>
        <v>-</v>
      </c>
      <c r="O36" s="22">
        <f t="shared" si="5"/>
        <v>0</v>
      </c>
      <c r="P36" s="22">
        <f t="shared" si="5"/>
        <v>0</v>
      </c>
      <c r="R36" s="22">
        <f>'Sales Report_CW'!$M36</f>
        <v>0</v>
      </c>
      <c r="S36" s="22">
        <f>'Sales Report_CW'!$N36</f>
        <v>0</v>
      </c>
      <c r="T36" s="23" t="str">
        <f t="shared" si="6"/>
        <v>-</v>
      </c>
      <c r="U36" s="22">
        <f>'Sales Report_CW'!$O36</f>
        <v>0</v>
      </c>
      <c r="V36" s="22">
        <f>'Sales Report_CW'!$P36</f>
        <v>0</v>
      </c>
      <c r="W36" s="23" t="str">
        <f t="shared" si="7"/>
        <v>-</v>
      </c>
      <c r="X36" s="22">
        <f>'Sales Report_CW'!$Q36</f>
        <v>0</v>
      </c>
      <c r="Y36" s="22">
        <f>'Sales Report_CW'!$R36</f>
        <v>0</v>
      </c>
      <c r="Z36" s="23" t="str">
        <f t="shared" si="8"/>
        <v>-</v>
      </c>
      <c r="AA36" s="22">
        <f>'Sales Report_CW'!$S36</f>
        <v>0</v>
      </c>
      <c r="AB36" s="22">
        <f>'Sales Report_CW'!$T36</f>
        <v>0</v>
      </c>
      <c r="AC36" s="23" t="str">
        <f t="shared" si="9"/>
        <v>-</v>
      </c>
      <c r="AD36" s="22">
        <f t="shared" si="10"/>
        <v>0</v>
      </c>
      <c r="AE36" s="22">
        <f t="shared" si="10"/>
        <v>0</v>
      </c>
    </row>
    <row r="37" spans="1:31" ht="15" x14ac:dyDescent="0.25">
      <c r="B37" s="21">
        <f t="shared" si="0"/>
        <v>45868</v>
      </c>
      <c r="C37" s="22">
        <f>'Sales Report_CW'!$C37</f>
        <v>0</v>
      </c>
      <c r="D37" s="22">
        <f>'Sales Report_CW'!$D37</f>
        <v>0</v>
      </c>
      <c r="E37" s="23" t="str">
        <f t="shared" si="1"/>
        <v/>
      </c>
      <c r="F37" s="22">
        <f>'Sales Report_CW'!$E37</f>
        <v>0</v>
      </c>
      <c r="G37" s="22">
        <f>'Sales Report_CW'!$F37</f>
        <v>0</v>
      </c>
      <c r="H37" s="23" t="str">
        <f t="shared" si="2"/>
        <v>-</v>
      </c>
      <c r="I37" s="22">
        <f>'Sales Report_CW'!$G37</f>
        <v>0</v>
      </c>
      <c r="J37" s="22">
        <f>'Sales Report_CW'!$H37</f>
        <v>0</v>
      </c>
      <c r="K37" s="23" t="str">
        <f t="shared" si="3"/>
        <v>-</v>
      </c>
      <c r="L37" s="22">
        <f>'Sales Report_CW'!$I37</f>
        <v>0</v>
      </c>
      <c r="M37" s="22">
        <f>'Sales Report_CW'!$J37</f>
        <v>0</v>
      </c>
      <c r="N37" s="23" t="str">
        <f t="shared" si="4"/>
        <v>-</v>
      </c>
      <c r="O37" s="22">
        <f t="shared" si="5"/>
        <v>0</v>
      </c>
      <c r="P37" s="22">
        <f t="shared" si="5"/>
        <v>0</v>
      </c>
      <c r="R37" s="22">
        <f>'Sales Report_CW'!$M37</f>
        <v>0</v>
      </c>
      <c r="S37" s="22">
        <f>'Sales Report_CW'!$N37</f>
        <v>0</v>
      </c>
      <c r="T37" s="23" t="str">
        <f t="shared" si="6"/>
        <v>-</v>
      </c>
      <c r="U37" s="22">
        <f>'Sales Report_CW'!$O37</f>
        <v>0</v>
      </c>
      <c r="V37" s="22">
        <f>'Sales Report_CW'!$P37</f>
        <v>0</v>
      </c>
      <c r="W37" s="23" t="str">
        <f t="shared" si="7"/>
        <v>-</v>
      </c>
      <c r="X37" s="22">
        <f>'Sales Report_CW'!$Q37</f>
        <v>0</v>
      </c>
      <c r="Y37" s="22">
        <f>'Sales Report_CW'!$R37</f>
        <v>0</v>
      </c>
      <c r="Z37" s="23" t="str">
        <f t="shared" si="8"/>
        <v>-</v>
      </c>
      <c r="AA37" s="22">
        <f>'Sales Report_CW'!$S37</f>
        <v>0</v>
      </c>
      <c r="AB37" s="22">
        <f>'Sales Report_CW'!$T37</f>
        <v>0</v>
      </c>
      <c r="AC37" s="23" t="str">
        <f t="shared" si="9"/>
        <v>-</v>
      </c>
      <c r="AD37" s="22">
        <f t="shared" si="10"/>
        <v>0</v>
      </c>
      <c r="AE37" s="22">
        <f t="shared" si="10"/>
        <v>0</v>
      </c>
    </row>
    <row r="38" spans="1:31" ht="15" x14ac:dyDescent="0.25">
      <c r="B38" s="21">
        <f t="shared" si="0"/>
        <v>45869</v>
      </c>
      <c r="C38" s="22">
        <f>'Sales Report_CW'!$C38</f>
        <v>0</v>
      </c>
      <c r="D38" s="22">
        <f>'Sales Report_CW'!$D38</f>
        <v>0</v>
      </c>
      <c r="E38" s="23" t="str">
        <f t="shared" si="1"/>
        <v/>
      </c>
      <c r="F38" s="22">
        <f>'Sales Report_CW'!$E38</f>
        <v>0</v>
      </c>
      <c r="G38" s="22">
        <f>'Sales Report_CW'!$F38</f>
        <v>0</v>
      </c>
      <c r="H38" s="23" t="str">
        <f t="shared" si="2"/>
        <v>-</v>
      </c>
      <c r="I38" s="22">
        <f>'Sales Report_CW'!$G38</f>
        <v>0</v>
      </c>
      <c r="J38" s="22">
        <f>'Sales Report_CW'!$H38</f>
        <v>0</v>
      </c>
      <c r="K38" s="23" t="str">
        <f t="shared" si="3"/>
        <v>-</v>
      </c>
      <c r="L38" s="22">
        <f>'Sales Report_CW'!$I38</f>
        <v>0</v>
      </c>
      <c r="M38" s="22">
        <f>'Sales Report_CW'!$J38</f>
        <v>0</v>
      </c>
      <c r="N38" s="23" t="str">
        <f t="shared" si="4"/>
        <v>-</v>
      </c>
      <c r="O38" s="22">
        <f t="shared" si="5"/>
        <v>0</v>
      </c>
      <c r="P38" s="22">
        <f t="shared" si="5"/>
        <v>0</v>
      </c>
      <c r="R38" s="22">
        <f>'Sales Report_CW'!$M38</f>
        <v>0</v>
      </c>
      <c r="S38" s="22">
        <f>'Sales Report_CW'!$N38</f>
        <v>0</v>
      </c>
      <c r="T38" s="23" t="str">
        <f t="shared" si="6"/>
        <v>-</v>
      </c>
      <c r="U38" s="22">
        <f>'Sales Report_CW'!$O38</f>
        <v>0</v>
      </c>
      <c r="V38" s="22">
        <f>'Sales Report_CW'!$P38</f>
        <v>0</v>
      </c>
      <c r="W38" s="23" t="str">
        <f t="shared" si="7"/>
        <v>-</v>
      </c>
      <c r="X38" s="22">
        <f>'Sales Report_CW'!$Q38</f>
        <v>0</v>
      </c>
      <c r="Y38" s="22">
        <f>'Sales Report_CW'!$R38</f>
        <v>0</v>
      </c>
      <c r="Z38" s="23" t="str">
        <f t="shared" si="8"/>
        <v>-</v>
      </c>
      <c r="AA38" s="22">
        <f>'Sales Report_CW'!$S38</f>
        <v>0</v>
      </c>
      <c r="AB38" s="22">
        <f>'Sales Report_CW'!$T38</f>
        <v>0</v>
      </c>
      <c r="AC38" s="23" t="str">
        <f t="shared" si="9"/>
        <v>-</v>
      </c>
      <c r="AD38" s="22">
        <f t="shared" si="10"/>
        <v>0</v>
      </c>
      <c r="AE38" s="22">
        <f t="shared" si="10"/>
        <v>0</v>
      </c>
    </row>
    <row r="39" spans="1:31" s="14" customFormat="1" x14ac:dyDescent="0.25">
      <c r="B39" s="24" t="s">
        <v>14</v>
      </c>
      <c r="C39" s="26">
        <f>SUM(C8:C38)</f>
        <v>0</v>
      </c>
      <c r="D39" s="26">
        <f>SUM(D8:D38)</f>
        <v>0</v>
      </c>
      <c r="E39" s="26" t="e">
        <f>D39/C39</f>
        <v>#DIV/0!</v>
      </c>
      <c r="F39" s="26">
        <f>SUM(F8:F38)</f>
        <v>0</v>
      </c>
      <c r="G39" s="26">
        <f>SUM(G8:G38)</f>
        <v>0</v>
      </c>
      <c r="H39" s="26" t="e">
        <f>G39/F39</f>
        <v>#DIV/0!</v>
      </c>
      <c r="I39" s="26">
        <f>SUM(I8:I38)</f>
        <v>0</v>
      </c>
      <c r="J39" s="26">
        <f>SUM(J8:J38)</f>
        <v>0</v>
      </c>
      <c r="K39" s="26" t="e">
        <f>J39/I39</f>
        <v>#DIV/0!</v>
      </c>
      <c r="L39" s="26">
        <f>SUM(L8:L38)</f>
        <v>0</v>
      </c>
      <c r="M39" s="26">
        <f>SUM(M8:M38)</f>
        <v>0</v>
      </c>
      <c r="N39" s="26" t="e">
        <f>M39/L39</f>
        <v>#DIV/0!</v>
      </c>
      <c r="O39" s="26">
        <f>SUM(O8:O38)</f>
        <v>0</v>
      </c>
      <c r="P39" s="26">
        <f>SUM(P8:P38)</f>
        <v>0</v>
      </c>
      <c r="Q39" s="6"/>
      <c r="R39" s="26">
        <f>SUM(R8:R38)</f>
        <v>0</v>
      </c>
      <c r="S39" s="26">
        <f>SUM(S8:S38)</f>
        <v>0</v>
      </c>
      <c r="T39" s="26" t="e">
        <f>S39/R39</f>
        <v>#DIV/0!</v>
      </c>
      <c r="U39" s="26">
        <f>SUM(U8:U38)</f>
        <v>0</v>
      </c>
      <c r="V39" s="26">
        <f>SUM(V8:V38)</f>
        <v>0</v>
      </c>
      <c r="W39" s="26" t="e">
        <f>V39/U39</f>
        <v>#DIV/0!</v>
      </c>
      <c r="X39" s="26">
        <f>SUM(X8:X38)</f>
        <v>0</v>
      </c>
      <c r="Y39" s="26">
        <f>SUM(Y8:Y38)</f>
        <v>0</v>
      </c>
      <c r="Z39" s="28" t="e">
        <f>Y39/X39</f>
        <v>#DIV/0!</v>
      </c>
      <c r="AA39" s="26">
        <f>SUM(AA8:AA38)</f>
        <v>0</v>
      </c>
      <c r="AB39" s="26">
        <f>SUM(AB8:AB38)</f>
        <v>0</v>
      </c>
      <c r="AC39" s="28" t="e">
        <f>AB39/AA39</f>
        <v>#DIV/0!</v>
      </c>
      <c r="AD39" s="26">
        <f>SUM(AD8:AD38)</f>
        <v>0</v>
      </c>
      <c r="AE39" s="26">
        <f>SUM(AE8:AE38)</f>
        <v>0</v>
      </c>
    </row>
    <row r="40" spans="1:31" s="14" customFormat="1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</row>
    <row r="41" spans="1:31" s="14" customFormat="1" x14ac:dyDescent="0.25">
      <c r="B41" s="27">
        <f>DATE(YEAR(B4),MONTH(B4),10)</f>
        <v>45848</v>
      </c>
      <c r="C41" s="10">
        <f>SUM(C$8:C$17)</f>
        <v>0</v>
      </c>
      <c r="D41" s="10">
        <f>SUM(D$8:D$17)</f>
        <v>0</v>
      </c>
      <c r="E41" s="10" t="e">
        <f>D41/C41</f>
        <v>#DIV/0!</v>
      </c>
      <c r="F41" s="10">
        <f>SUM(F$8:F$17)</f>
        <v>0</v>
      </c>
      <c r="G41" s="10">
        <f>SUM(G$8:G$17)</f>
        <v>0</v>
      </c>
      <c r="H41" s="10" t="e">
        <f>G41/F41</f>
        <v>#DIV/0!</v>
      </c>
      <c r="I41" s="10">
        <f>SUM(I$8:I$17)</f>
        <v>0</v>
      </c>
      <c r="J41" s="10">
        <f>SUM(J$8:J$17)</f>
        <v>0</v>
      </c>
      <c r="K41" s="10" t="e">
        <f>J41/I41</f>
        <v>#DIV/0!</v>
      </c>
      <c r="L41" s="10">
        <f>SUM(L$8:L$17)</f>
        <v>0</v>
      </c>
      <c r="M41" s="10">
        <f>SUM(M$8:M$17)</f>
        <v>0</v>
      </c>
      <c r="N41" s="10" t="e">
        <f>M41/L41</f>
        <v>#DIV/0!</v>
      </c>
      <c r="O41" s="10">
        <f>SUM(O$8:O$17)</f>
        <v>0</v>
      </c>
      <c r="P41" s="10">
        <f>SUM(P$8:P$17)</f>
        <v>0</v>
      </c>
      <c r="R41" s="10">
        <f>SUM(R$8:R$17)</f>
        <v>0</v>
      </c>
      <c r="S41" s="10">
        <f>SUM(S$8:S$17)</f>
        <v>0</v>
      </c>
      <c r="T41" s="10" t="e">
        <f>S41/R41</f>
        <v>#DIV/0!</v>
      </c>
      <c r="U41" s="10">
        <f>SUM(U$8:U$17)</f>
        <v>0</v>
      </c>
      <c r="V41" s="10">
        <f>SUM(V$8:V$17)</f>
        <v>0</v>
      </c>
      <c r="W41" s="10" t="e">
        <f>V41/U41</f>
        <v>#DIV/0!</v>
      </c>
      <c r="X41" s="10">
        <f>SUM(X$8:X$17)</f>
        <v>0</v>
      </c>
      <c r="Y41" s="10">
        <f>SUM(Y$8:Y$17)</f>
        <v>0</v>
      </c>
      <c r="Z41" s="10" t="e">
        <f>Y41/X41</f>
        <v>#DIV/0!</v>
      </c>
      <c r="AA41" s="10">
        <f>SUM(AA$8:AA$17)</f>
        <v>0</v>
      </c>
      <c r="AB41" s="10">
        <f>SUM(AB$8:AB$17)</f>
        <v>0</v>
      </c>
      <c r="AC41" s="10" t="e">
        <f>AB41/AA41</f>
        <v>#DIV/0!</v>
      </c>
      <c r="AD41" s="10">
        <f>SUM(AD$8:AD$17)</f>
        <v>0</v>
      </c>
      <c r="AE41" s="10">
        <f>SUM(AE$8:AE$17)</f>
        <v>0</v>
      </c>
    </row>
    <row r="42" spans="1:31" s="14" customFormat="1" x14ac:dyDescent="0.25">
      <c r="B42" s="27">
        <f>DATE(YEAR(B4),MONTH(B4),20)</f>
        <v>45858</v>
      </c>
      <c r="C42" s="10">
        <f>SUM(C$18:C$27)</f>
        <v>0</v>
      </c>
      <c r="D42" s="10">
        <f>SUM(D$18:D$27)</f>
        <v>0</v>
      </c>
      <c r="E42" s="10" t="e">
        <f t="shared" ref="E42:E43" si="11">D42/C42</f>
        <v>#DIV/0!</v>
      </c>
      <c r="F42" s="10">
        <f>SUM(F$18:F$27)</f>
        <v>0</v>
      </c>
      <c r="G42" s="10">
        <f>SUM(G$18:G$27)</f>
        <v>0</v>
      </c>
      <c r="H42" s="10" t="e">
        <f t="shared" ref="H42:H43" si="12">G42/F42</f>
        <v>#DIV/0!</v>
      </c>
      <c r="I42" s="10">
        <f>SUM(I$18:I$27)</f>
        <v>0</v>
      </c>
      <c r="J42" s="10">
        <f>SUM(J$18:J$27)</f>
        <v>0</v>
      </c>
      <c r="K42" s="10" t="e">
        <f t="shared" ref="K42:K43" si="13">J42/I42</f>
        <v>#DIV/0!</v>
      </c>
      <c r="L42" s="10">
        <f>SUM(L$18:L$27)</f>
        <v>0</v>
      </c>
      <c r="M42" s="10">
        <f>SUM(M$18:M$27)</f>
        <v>0</v>
      </c>
      <c r="N42" s="10" t="e">
        <f t="shared" ref="N42:N43" si="14">M42/L42</f>
        <v>#DIV/0!</v>
      </c>
      <c r="O42" s="10">
        <f>SUM(O$18:O$27)</f>
        <v>0</v>
      </c>
      <c r="P42" s="10">
        <f>SUM(P$18:P$27)</f>
        <v>0</v>
      </c>
      <c r="R42" s="10">
        <f>SUM(R$18:R$27)</f>
        <v>0</v>
      </c>
      <c r="S42" s="10">
        <f>SUM(S$18:S$27)</f>
        <v>0</v>
      </c>
      <c r="T42" s="10" t="e">
        <f t="shared" ref="T42:T43" si="15">S42/R42</f>
        <v>#DIV/0!</v>
      </c>
      <c r="U42" s="10">
        <f>SUM(U$18:U$27)</f>
        <v>0</v>
      </c>
      <c r="V42" s="10">
        <f>SUM(V$18:V$27)</f>
        <v>0</v>
      </c>
      <c r="W42" s="10" t="e">
        <f t="shared" ref="W42:W43" si="16">V42/U42</f>
        <v>#DIV/0!</v>
      </c>
      <c r="X42" s="10">
        <f>SUM(X$18:X$27)</f>
        <v>0</v>
      </c>
      <c r="Y42" s="10">
        <f>SUM(Y$18:Y$27)</f>
        <v>0</v>
      </c>
      <c r="Z42" s="10" t="e">
        <f t="shared" ref="Z42:Z43" si="17">Y42/X42</f>
        <v>#DIV/0!</v>
      </c>
      <c r="AA42" s="10">
        <f>SUM(AA$18:AA$27)</f>
        <v>0</v>
      </c>
      <c r="AB42" s="10">
        <f>SUM(AB$18:AB$27)</f>
        <v>0</v>
      </c>
      <c r="AC42" s="10" t="e">
        <f t="shared" ref="AC42:AC43" si="18">AB42/AA42</f>
        <v>#DIV/0!</v>
      </c>
      <c r="AD42" s="10">
        <f>SUM(AD$18:AD$27)</f>
        <v>0</v>
      </c>
      <c r="AE42" s="10">
        <f>SUM(AE$18:AE$27)</f>
        <v>0</v>
      </c>
    </row>
    <row r="43" spans="1:31" s="14" customFormat="1" x14ac:dyDescent="0.25">
      <c r="B43" s="27">
        <f>EOMONTH(B4,0)</f>
        <v>45869</v>
      </c>
      <c r="C43" s="10">
        <f>SUM(C$28:C$38)</f>
        <v>0</v>
      </c>
      <c r="D43" s="10">
        <f>SUM(D$28:D$38)</f>
        <v>0</v>
      </c>
      <c r="E43" s="10" t="e">
        <f t="shared" si="11"/>
        <v>#DIV/0!</v>
      </c>
      <c r="F43" s="10">
        <f>SUM(F$28:F$38)</f>
        <v>0</v>
      </c>
      <c r="G43" s="10">
        <f>SUM(G$28:G$38)</f>
        <v>0</v>
      </c>
      <c r="H43" s="10" t="e">
        <f t="shared" si="12"/>
        <v>#DIV/0!</v>
      </c>
      <c r="I43" s="10">
        <f>SUM(I$28:I$38)</f>
        <v>0</v>
      </c>
      <c r="J43" s="10">
        <f>SUM(J$28:J$38)</f>
        <v>0</v>
      </c>
      <c r="K43" s="10" t="e">
        <f t="shared" si="13"/>
        <v>#DIV/0!</v>
      </c>
      <c r="L43" s="10">
        <f>SUM(L$28:L$38)</f>
        <v>0</v>
      </c>
      <c r="M43" s="10">
        <f>SUM(M$28:M$38)</f>
        <v>0</v>
      </c>
      <c r="N43" s="10" t="e">
        <f t="shared" si="14"/>
        <v>#DIV/0!</v>
      </c>
      <c r="O43" s="10">
        <f>SUM(O$28:O$38)</f>
        <v>0</v>
      </c>
      <c r="P43" s="10">
        <f>SUM(P$28:P$38)</f>
        <v>0</v>
      </c>
      <c r="R43" s="10">
        <f>SUM(R$28:R$38)</f>
        <v>0</v>
      </c>
      <c r="S43" s="10">
        <f>SUM(S$28:S$38)</f>
        <v>0</v>
      </c>
      <c r="T43" s="10" t="e">
        <f t="shared" si="15"/>
        <v>#DIV/0!</v>
      </c>
      <c r="U43" s="10">
        <f>SUM(U$28:U$38)</f>
        <v>0</v>
      </c>
      <c r="V43" s="10">
        <f>SUM(V$28:V$38)</f>
        <v>0</v>
      </c>
      <c r="W43" s="10" t="e">
        <f t="shared" si="16"/>
        <v>#DIV/0!</v>
      </c>
      <c r="X43" s="10">
        <f>SUM(X$28:X$38)</f>
        <v>0</v>
      </c>
      <c r="Y43" s="10">
        <f>SUM(Y$28:Y$38)</f>
        <v>0</v>
      </c>
      <c r="Z43" s="10" t="e">
        <f t="shared" si="17"/>
        <v>#DIV/0!</v>
      </c>
      <c r="AA43" s="10">
        <f>SUM(AA$28:AA$38)</f>
        <v>0</v>
      </c>
      <c r="AB43" s="10">
        <f>SUM(AB$28:AB$38)</f>
        <v>0</v>
      </c>
      <c r="AC43" s="10" t="e">
        <f t="shared" si="18"/>
        <v>#DIV/0!</v>
      </c>
      <c r="AD43" s="10">
        <f>SUM(AD$28:AD$38)</f>
        <v>0</v>
      </c>
      <c r="AE43" s="10">
        <f>SUM(AE$28:AE$38)</f>
        <v>0</v>
      </c>
    </row>
    <row r="44" spans="1:31" s="14" customFormat="1" x14ac:dyDescent="0.25">
      <c r="A44" s="14" t="s">
        <v>0</v>
      </c>
      <c r="B44" s="24" t="s">
        <v>14</v>
      </c>
      <c r="C44" s="26">
        <f>SUM(C41:C43)</f>
        <v>0</v>
      </c>
      <c r="D44" s="26">
        <f>SUM(D41:D43)</f>
        <v>0</v>
      </c>
      <c r="E44" s="26"/>
      <c r="F44" s="26">
        <f>SUM(F41:F43)</f>
        <v>0</v>
      </c>
      <c r="G44" s="26">
        <f>SUM(G41:G43)</f>
        <v>0</v>
      </c>
      <c r="H44" s="26"/>
      <c r="I44" s="26">
        <f>SUM(I41:I43)</f>
        <v>0</v>
      </c>
      <c r="J44" s="26">
        <f>SUM(J41:J43)</f>
        <v>0</v>
      </c>
      <c r="K44" s="26"/>
      <c r="L44" s="26">
        <f>SUM(L41:L43)</f>
        <v>0</v>
      </c>
      <c r="M44" s="26">
        <f>SUM(M41:M43)</f>
        <v>0</v>
      </c>
      <c r="N44" s="26"/>
      <c r="O44" s="26">
        <f>SUM(O41:O43)</f>
        <v>0</v>
      </c>
      <c r="P44" s="26">
        <f>SUM(P41:P43)</f>
        <v>0</v>
      </c>
      <c r="R44" s="26">
        <f>SUM(R41:R43)</f>
        <v>0</v>
      </c>
      <c r="S44" s="26">
        <f>SUM(S41:S43)</f>
        <v>0</v>
      </c>
      <c r="T44" s="26"/>
      <c r="U44" s="26">
        <f>SUM(U41:U43)</f>
        <v>0</v>
      </c>
      <c r="V44" s="26">
        <f>SUM(V41:V43)</f>
        <v>0</v>
      </c>
      <c r="W44" s="26"/>
      <c r="X44" s="26">
        <f>SUM(X41:X43)</f>
        <v>0</v>
      </c>
      <c r="Y44" s="26">
        <f>SUM(Y41:Y43)</f>
        <v>0</v>
      </c>
      <c r="Z44" s="26"/>
      <c r="AA44" s="26">
        <f>SUM(AA41:AA43)</f>
        <v>0</v>
      </c>
      <c r="AB44" s="26">
        <f>SUM(AB41:AB43)</f>
        <v>0</v>
      </c>
      <c r="AC44" s="26"/>
      <c r="AD44" s="26">
        <f>SUM(AD41:AD43)</f>
        <v>0</v>
      </c>
      <c r="AE44" s="26">
        <f>SUM(AE41:AE43)</f>
        <v>0</v>
      </c>
    </row>
    <row r="45" spans="1:31" s="14" customFormat="1" x14ac:dyDescent="0.25"/>
    <row r="46" spans="1:31" x14ac:dyDescent="0.25">
      <c r="C46" s="7"/>
      <c r="E46" s="7"/>
      <c r="G46" s="7"/>
      <c r="I46" s="7"/>
    </row>
    <row r="47" spans="1:31" ht="15" x14ac:dyDescent="0.25">
      <c r="A47" s="16" t="s">
        <v>15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</row>
    <row r="48" spans="1:31" ht="15" x14ac:dyDescent="0.25">
      <c r="A48" s="12" t="s">
        <v>16</v>
      </c>
      <c r="B48" s="17"/>
      <c r="C48" s="17"/>
      <c r="D48" s="17"/>
      <c r="E48" s="17"/>
      <c r="F48" s="17"/>
      <c r="G48" s="17"/>
      <c r="H48" s="17"/>
      <c r="I48" s="17"/>
      <c r="J48" s="17"/>
      <c r="K48" s="17"/>
    </row>
    <row r="49" spans="2:11" ht="15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</row>
    <row r="50" spans="2:11" ht="15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</row>
    <row r="51" spans="2:11" ht="15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5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5" x14ac:dyDescent="0.25">
      <c r="B53" s="17"/>
      <c r="C53" s="17"/>
      <c r="D53" s="17"/>
      <c r="E53" s="17"/>
      <c r="F53" s="17"/>
      <c r="G53" s="17"/>
      <c r="H53" s="17"/>
      <c r="I53" s="17"/>
      <c r="J53" s="17"/>
      <c r="K53" s="17"/>
    </row>
    <row r="54" spans="2:11" ht="15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</row>
    <row r="55" spans="2:11" ht="15" x14ac:dyDescent="0.25">
      <c r="B55" s="17"/>
      <c r="C55" s="17"/>
      <c r="D55" s="17"/>
      <c r="E55" s="17"/>
      <c r="F55" s="17"/>
      <c r="G55" s="17"/>
      <c r="H55" s="17"/>
      <c r="I55" s="17"/>
      <c r="J55" s="17"/>
      <c r="K55" s="17"/>
    </row>
    <row r="56" spans="2:11" ht="15" x14ac:dyDescent="0.25">
      <c r="B56" s="17"/>
      <c r="C56" s="17"/>
      <c r="D56" s="17"/>
      <c r="E56" s="17"/>
      <c r="F56" s="17"/>
      <c r="G56" s="17"/>
      <c r="H56" s="17"/>
      <c r="I56" s="17"/>
      <c r="J56" s="17"/>
      <c r="K56" s="17"/>
    </row>
    <row r="57" spans="2:11" ht="15" x14ac:dyDescent="0.25">
      <c r="B57" s="17"/>
      <c r="C57" s="17"/>
      <c r="D57" s="17"/>
      <c r="E57" s="17"/>
      <c r="F57" s="17"/>
      <c r="G57" s="17"/>
      <c r="H57" s="17"/>
      <c r="I57" s="17"/>
      <c r="J57" s="17"/>
      <c r="K57" s="17"/>
    </row>
    <row r="58" spans="2:11" ht="15" x14ac:dyDescent="0.25">
      <c r="B58" s="17"/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5" x14ac:dyDescent="0.25">
      <c r="B59" s="17"/>
      <c r="C59" s="17"/>
      <c r="D59" s="17"/>
      <c r="E59" s="17"/>
      <c r="F59" s="17"/>
      <c r="G59" s="17"/>
      <c r="H59" s="17"/>
      <c r="I59" s="17"/>
      <c r="J59" s="17"/>
      <c r="K59" s="17"/>
    </row>
    <row r="60" spans="2:11" ht="15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15" x14ac:dyDescent="0.25">
      <c r="B61" s="17"/>
      <c r="C61" s="17"/>
      <c r="D61" s="17"/>
      <c r="E61" s="17"/>
      <c r="F61" s="17"/>
      <c r="G61" s="17"/>
      <c r="H61" s="17"/>
      <c r="I61" s="17"/>
      <c r="J61" s="17"/>
      <c r="K61" s="17"/>
    </row>
    <row r="62" spans="2:11" ht="15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5" x14ac:dyDescent="0.25">
      <c r="B63" s="17"/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5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5" x14ac:dyDescent="0.25">
      <c r="B65" s="17"/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5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5" x14ac:dyDescent="0.25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1" ht="15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1" ht="15" x14ac:dyDescent="0.25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0" spans="2:11" ht="15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</row>
    <row r="71" spans="2:11" ht="15" x14ac:dyDescent="0.25">
      <c r="B71" s="17"/>
      <c r="C71" s="17"/>
      <c r="D71" s="17"/>
      <c r="E71" s="17"/>
      <c r="F71" s="17"/>
      <c r="G71" s="17"/>
      <c r="H71" s="17"/>
      <c r="I71" s="17"/>
      <c r="J71" s="17"/>
      <c r="K71" s="17"/>
    </row>
    <row r="72" spans="2:11" ht="15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</row>
    <row r="73" spans="2:11" ht="15" x14ac:dyDescent="0.25">
      <c r="B73" s="17"/>
      <c r="C73" s="17"/>
      <c r="D73" s="17"/>
      <c r="E73" s="17"/>
      <c r="F73" s="17"/>
      <c r="G73" s="17"/>
      <c r="H73" s="17"/>
      <c r="I73" s="17"/>
      <c r="J73" s="17"/>
      <c r="K73" s="17"/>
    </row>
    <row r="74" spans="2:11" ht="15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</row>
    <row r="75" spans="2:11" ht="15" x14ac:dyDescent="0.25">
      <c r="B75" s="17"/>
      <c r="C75" s="17"/>
      <c r="D75" s="17"/>
      <c r="E75" s="17"/>
      <c r="F75" s="17"/>
      <c r="G75" s="17"/>
      <c r="H75" s="17"/>
      <c r="I75" s="17"/>
      <c r="J75" s="17"/>
      <c r="K75" s="17"/>
    </row>
    <row r="76" spans="2:11" ht="15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</row>
    <row r="77" spans="2:11" ht="15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</row>
    <row r="78" spans="2:11" ht="15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</row>
    <row r="79" spans="2:11" ht="15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1027-0308-41FB-A85F-F8B2BBB24391}">
  <sheetPr codeName="Sheet10"/>
  <dimension ref="A1:AE79"/>
  <sheetViews>
    <sheetView showGridLines="0" workbookViewId="0">
      <pane xSplit="2" ySplit="7" topLeftCell="C8" activePane="bottomRight" state="frozen"/>
      <selection activeCell="I8" sqref="I8"/>
      <selection pane="topRight" activeCell="I8" sqref="I8"/>
      <selection pane="bottomLeft" activeCell="I8" sqref="I8"/>
      <selection pane="bottomRight" activeCell="C8" sqref="C8"/>
    </sheetView>
  </sheetViews>
  <sheetFormatPr defaultColWidth="9.140625" defaultRowHeight="14.25" x14ac:dyDescent="0.25"/>
  <cols>
    <col min="1" max="1" width="9.140625" style="12"/>
    <col min="2" max="2" width="12.42578125" style="12" bestFit="1" customWidth="1"/>
    <col min="3" max="3" width="10.140625" style="12" bestFit="1" customWidth="1"/>
    <col min="4" max="4" width="13.5703125" style="12" bestFit="1" customWidth="1"/>
    <col min="5" max="5" width="12.140625" style="12" bestFit="1" customWidth="1"/>
    <col min="6" max="6" width="14.5703125" style="12" bestFit="1" customWidth="1"/>
    <col min="7" max="7" width="12.140625" style="12" bestFit="1" customWidth="1"/>
    <col min="8" max="8" width="14.5703125" style="12" bestFit="1" customWidth="1"/>
    <col min="9" max="9" width="12.140625" style="12" bestFit="1" customWidth="1"/>
    <col min="10" max="10" width="14.5703125" style="12" bestFit="1" customWidth="1"/>
    <col min="11" max="11" width="12.85546875" style="12" bestFit="1" customWidth="1"/>
    <col min="12" max="16" width="15.7109375" style="12" customWidth="1"/>
    <col min="17" max="17" width="9.140625" style="12"/>
    <col min="18" max="18" width="10.140625" style="12" bestFit="1" customWidth="1"/>
    <col min="19" max="19" width="13.5703125" style="12" bestFit="1" customWidth="1"/>
    <col min="20" max="20" width="12.140625" style="12" bestFit="1" customWidth="1"/>
    <col min="21" max="21" width="14.5703125" style="12" bestFit="1" customWidth="1"/>
    <col min="22" max="22" width="12.140625" style="12" bestFit="1" customWidth="1"/>
    <col min="23" max="23" width="14.5703125" style="12" bestFit="1" customWidth="1"/>
    <col min="24" max="24" width="12.140625" style="12" bestFit="1" customWidth="1"/>
    <col min="25" max="25" width="14.5703125" style="12" bestFit="1" customWidth="1"/>
    <col min="26" max="26" width="12.85546875" style="12" bestFit="1" customWidth="1"/>
    <col min="27" max="31" width="15.7109375" style="12" customWidth="1"/>
    <col min="32" max="16384" width="9.140625" style="12"/>
  </cols>
  <sheetData>
    <row r="1" spans="1:31" x14ac:dyDescent="0.25">
      <c r="A1" s="12" t="s">
        <v>0</v>
      </c>
      <c r="P1" s="12" t="s">
        <v>0</v>
      </c>
    </row>
    <row r="2" spans="1:31" ht="15.95" customHeight="1" x14ac:dyDescent="0.25"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31" ht="15" x14ac:dyDescent="0.25"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31" ht="15" x14ac:dyDescent="0.25">
      <c r="B4" s="54">
        <v>45839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"/>
      <c r="P4" s="3"/>
    </row>
    <row r="5" spans="1:31" ht="15" x14ac:dyDescent="0.25">
      <c r="C5" s="13" t="s">
        <v>3</v>
      </c>
      <c r="R5" s="13" t="s">
        <v>4</v>
      </c>
    </row>
    <row r="6" spans="1:31" s="30" customFormat="1" x14ac:dyDescent="0.25">
      <c r="C6" s="31" t="s">
        <v>5</v>
      </c>
      <c r="D6" s="32"/>
      <c r="E6" s="32"/>
      <c r="F6" s="31" t="s">
        <v>6</v>
      </c>
      <c r="G6" s="32"/>
      <c r="H6" s="32"/>
      <c r="I6" s="31" t="s">
        <v>7</v>
      </c>
      <c r="J6" s="32"/>
      <c r="K6" s="32"/>
      <c r="L6" s="31" t="s">
        <v>8</v>
      </c>
      <c r="M6" s="32"/>
      <c r="N6" s="32"/>
      <c r="O6" s="31" t="s">
        <v>9</v>
      </c>
      <c r="P6" s="31"/>
      <c r="R6" s="31" t="s">
        <v>5</v>
      </c>
      <c r="S6" s="32"/>
      <c r="T6" s="32"/>
      <c r="U6" s="31" t="s">
        <v>6</v>
      </c>
      <c r="V6" s="32"/>
      <c r="W6" s="32"/>
      <c r="X6" s="31" t="s">
        <v>7</v>
      </c>
      <c r="Y6" s="32"/>
      <c r="Z6" s="32"/>
      <c r="AA6" s="31" t="s">
        <v>8</v>
      </c>
      <c r="AB6" s="32"/>
      <c r="AC6" s="32"/>
      <c r="AD6" s="31" t="s">
        <v>9</v>
      </c>
      <c r="AE6" s="31"/>
    </row>
    <row r="7" spans="1:31" x14ac:dyDescent="0.25">
      <c r="B7" s="4" t="s">
        <v>10</v>
      </c>
      <c r="C7" s="25" t="s">
        <v>11</v>
      </c>
      <c r="D7" s="25" t="s">
        <v>12</v>
      </c>
      <c r="E7" s="25" t="s">
        <v>13</v>
      </c>
      <c r="F7" s="25" t="s">
        <v>11</v>
      </c>
      <c r="G7" s="25" t="s">
        <v>12</v>
      </c>
      <c r="H7" s="25" t="s">
        <v>13</v>
      </c>
      <c r="I7" s="25" t="s">
        <v>11</v>
      </c>
      <c r="J7" s="25" t="s">
        <v>12</v>
      </c>
      <c r="K7" s="25" t="s">
        <v>13</v>
      </c>
      <c r="L7" s="25" t="s">
        <v>11</v>
      </c>
      <c r="M7" s="25" t="s">
        <v>12</v>
      </c>
      <c r="N7" s="25" t="s">
        <v>13</v>
      </c>
      <c r="O7" s="25" t="s">
        <v>11</v>
      </c>
      <c r="P7" s="25" t="s">
        <v>12</v>
      </c>
      <c r="R7" s="25" t="s">
        <v>11</v>
      </c>
      <c r="S7" s="25" t="s">
        <v>12</v>
      </c>
      <c r="T7" s="25" t="s">
        <v>13</v>
      </c>
      <c r="U7" s="25" t="s">
        <v>11</v>
      </c>
      <c r="V7" s="25" t="s">
        <v>12</v>
      </c>
      <c r="W7" s="25" t="s">
        <v>13</v>
      </c>
      <c r="X7" s="25" t="s">
        <v>11</v>
      </c>
      <c r="Y7" s="25" t="s">
        <v>12</v>
      </c>
      <c r="Z7" s="25" t="s">
        <v>13</v>
      </c>
      <c r="AA7" s="25" t="s">
        <v>11</v>
      </c>
      <c r="AB7" s="25" t="s">
        <v>12</v>
      </c>
      <c r="AC7" s="25" t="s">
        <v>13</v>
      </c>
      <c r="AD7" s="25" t="s">
        <v>11</v>
      </c>
      <c r="AE7" s="25" t="s">
        <v>12</v>
      </c>
    </row>
    <row r="8" spans="1:31" ht="15" x14ac:dyDescent="0.25">
      <c r="B8" s="21">
        <f>IF(DAY(DATE(YEAR($B$4),MONTH($B$4),ROW()-7))=ROW()-7,DATE(YEAR($B$4),MONTH($B$4),ROW()-7),"")</f>
        <v>45839</v>
      </c>
      <c r="C8" s="22">
        <v>0</v>
      </c>
      <c r="D8" s="22">
        <v>0</v>
      </c>
      <c r="E8" s="23" t="str">
        <f>IFERROR(D8/C8,"-")</f>
        <v>-</v>
      </c>
      <c r="F8" s="22">
        <v>0</v>
      </c>
      <c r="G8" s="22">
        <v>0</v>
      </c>
      <c r="H8" s="23" t="str">
        <f>IFERROR(G8/F8,"-")</f>
        <v>-</v>
      </c>
      <c r="I8" s="22">
        <v>0</v>
      </c>
      <c r="J8" s="22">
        <v>0</v>
      </c>
      <c r="K8" s="23" t="str">
        <f>IFERROR(J8/I8,"-")</f>
        <v>-</v>
      </c>
      <c r="L8" s="22">
        <v>0</v>
      </c>
      <c r="M8" s="22">
        <v>0</v>
      </c>
      <c r="N8" s="23" t="str">
        <f>IFERROR(M8/L8,"-")</f>
        <v>-</v>
      </c>
      <c r="O8" s="22">
        <f>C8+F8+I8+L8</f>
        <v>0</v>
      </c>
      <c r="P8" s="22">
        <f>D8+G8+J8+M8</f>
        <v>0</v>
      </c>
      <c r="R8" s="22">
        <v>0</v>
      </c>
      <c r="S8" s="22">
        <v>0</v>
      </c>
      <c r="T8" s="23" t="str">
        <f>IFERROR(S8/R8,"-")</f>
        <v>-</v>
      </c>
      <c r="U8" s="22">
        <v>0</v>
      </c>
      <c r="V8" s="22">
        <v>0</v>
      </c>
      <c r="W8" s="23" t="str">
        <f>IFERROR(V8/U8,"-")</f>
        <v>-</v>
      </c>
      <c r="X8" s="22">
        <v>0</v>
      </c>
      <c r="Y8" s="22">
        <v>0</v>
      </c>
      <c r="Z8" s="23" t="str">
        <f>IFERROR(Y8/X8,"-")</f>
        <v>-</v>
      </c>
      <c r="AA8" s="22">
        <v>0</v>
      </c>
      <c r="AB8" s="22">
        <v>0</v>
      </c>
      <c r="AC8" s="23" t="str">
        <f>IFERROR(AB8/AA8,"-")</f>
        <v>-</v>
      </c>
      <c r="AD8" s="22">
        <f>R8+U8+X8+AA8</f>
        <v>0</v>
      </c>
      <c r="AE8" s="22">
        <f>S8+V8+Y8+AB8</f>
        <v>0</v>
      </c>
    </row>
    <row r="9" spans="1:31" ht="15" x14ac:dyDescent="0.25">
      <c r="B9" s="21">
        <f t="shared" ref="B9:B38" si="0">IF(DAY(DATE(YEAR($B$4),MONTH($B$4),ROW()-7))=ROW()-7,DATE(YEAR($B$4),MONTH($B$4),ROW()-7),"")</f>
        <v>45840</v>
      </c>
      <c r="C9" s="22">
        <v>0</v>
      </c>
      <c r="D9" s="22">
        <v>0</v>
      </c>
      <c r="E9" s="23" t="str">
        <f t="shared" ref="E9:E38" si="1">IFERROR(D9/C9,"-")</f>
        <v>-</v>
      </c>
      <c r="F9" s="22">
        <v>0</v>
      </c>
      <c r="G9" s="22">
        <v>0</v>
      </c>
      <c r="H9" s="23" t="str">
        <f t="shared" ref="H9:H38" si="2">IFERROR(G9/F9,"-")</f>
        <v>-</v>
      </c>
      <c r="I9" s="22">
        <v>0</v>
      </c>
      <c r="J9" s="22">
        <v>0</v>
      </c>
      <c r="K9" s="23" t="str">
        <f t="shared" ref="K9:K38" si="3">IFERROR(J9/I9,"-")</f>
        <v>-</v>
      </c>
      <c r="L9" s="22">
        <v>0</v>
      </c>
      <c r="M9" s="22">
        <v>0</v>
      </c>
      <c r="N9" s="23" t="str">
        <f t="shared" ref="N9:N38" si="4">IFERROR(M9/L9,"-")</f>
        <v>-</v>
      </c>
      <c r="O9" s="22">
        <f t="shared" ref="O9:P38" si="5">C9+F9+I9+L9</f>
        <v>0</v>
      </c>
      <c r="P9" s="22">
        <f t="shared" si="5"/>
        <v>0</v>
      </c>
      <c r="R9" s="22">
        <v>0</v>
      </c>
      <c r="S9" s="22">
        <v>0</v>
      </c>
      <c r="T9" s="23" t="str">
        <f t="shared" ref="T9:T38" si="6">IFERROR(S9/R9,"-")</f>
        <v>-</v>
      </c>
      <c r="U9" s="22">
        <v>0</v>
      </c>
      <c r="V9" s="22">
        <v>0</v>
      </c>
      <c r="W9" s="23" t="str">
        <f t="shared" ref="W9:W38" si="7">IFERROR(V9/U9,"-")</f>
        <v>-</v>
      </c>
      <c r="X9" s="22">
        <v>0</v>
      </c>
      <c r="Y9" s="22">
        <v>0</v>
      </c>
      <c r="Z9" s="23" t="str">
        <f t="shared" ref="Z9:Z38" si="8">IFERROR(Y9/X9,"-")</f>
        <v>-</v>
      </c>
      <c r="AA9" s="22">
        <v>0</v>
      </c>
      <c r="AB9" s="22">
        <v>0</v>
      </c>
      <c r="AC9" s="23" t="str">
        <f t="shared" ref="AC9:AC38" si="9">IFERROR(AB9/AA9,"-")</f>
        <v>-</v>
      </c>
      <c r="AD9" s="22">
        <f t="shared" ref="AD9:AE38" si="10">R9+U9+X9+AA9</f>
        <v>0</v>
      </c>
      <c r="AE9" s="22">
        <f t="shared" si="10"/>
        <v>0</v>
      </c>
    </row>
    <row r="10" spans="1:31" ht="15" x14ac:dyDescent="0.25">
      <c r="B10" s="21">
        <f t="shared" si="0"/>
        <v>45841</v>
      </c>
      <c r="C10" s="22">
        <v>0</v>
      </c>
      <c r="D10" s="22">
        <v>0</v>
      </c>
      <c r="E10" s="23" t="str">
        <f t="shared" si="1"/>
        <v>-</v>
      </c>
      <c r="F10" s="22">
        <v>0</v>
      </c>
      <c r="G10" s="22">
        <v>0</v>
      </c>
      <c r="H10" s="23" t="str">
        <f t="shared" si="2"/>
        <v>-</v>
      </c>
      <c r="I10" s="22">
        <v>0</v>
      </c>
      <c r="J10" s="22">
        <v>0</v>
      </c>
      <c r="K10" s="23" t="str">
        <f t="shared" si="3"/>
        <v>-</v>
      </c>
      <c r="L10" s="22">
        <v>0</v>
      </c>
      <c r="M10" s="22">
        <v>0</v>
      </c>
      <c r="N10" s="23" t="str">
        <f t="shared" si="4"/>
        <v>-</v>
      </c>
      <c r="O10" s="22">
        <f t="shared" si="5"/>
        <v>0</v>
      </c>
      <c r="P10" s="22">
        <f t="shared" si="5"/>
        <v>0</v>
      </c>
      <c r="R10" s="22">
        <v>0</v>
      </c>
      <c r="S10" s="22">
        <v>0</v>
      </c>
      <c r="T10" s="23" t="str">
        <f t="shared" si="6"/>
        <v>-</v>
      </c>
      <c r="U10" s="22">
        <v>0</v>
      </c>
      <c r="V10" s="22">
        <v>0</v>
      </c>
      <c r="W10" s="23" t="str">
        <f t="shared" si="7"/>
        <v>-</v>
      </c>
      <c r="X10" s="22">
        <v>0</v>
      </c>
      <c r="Y10" s="22">
        <v>0</v>
      </c>
      <c r="Z10" s="23" t="str">
        <f t="shared" si="8"/>
        <v>-</v>
      </c>
      <c r="AA10" s="22">
        <v>0</v>
      </c>
      <c r="AB10" s="22">
        <v>0</v>
      </c>
      <c r="AC10" s="23" t="str">
        <f t="shared" si="9"/>
        <v>-</v>
      </c>
      <c r="AD10" s="22">
        <f t="shared" si="10"/>
        <v>0</v>
      </c>
      <c r="AE10" s="22">
        <f t="shared" si="10"/>
        <v>0</v>
      </c>
    </row>
    <row r="11" spans="1:31" ht="15" x14ac:dyDescent="0.25">
      <c r="B11" s="21">
        <f t="shared" si="0"/>
        <v>45842</v>
      </c>
      <c r="C11" s="22">
        <v>0</v>
      </c>
      <c r="D11" s="22">
        <v>0</v>
      </c>
      <c r="E11" s="23" t="str">
        <f t="shared" si="1"/>
        <v>-</v>
      </c>
      <c r="F11" s="22">
        <v>0</v>
      </c>
      <c r="G11" s="22">
        <v>0</v>
      </c>
      <c r="H11" s="23" t="str">
        <f t="shared" si="2"/>
        <v>-</v>
      </c>
      <c r="I11" s="22">
        <v>0</v>
      </c>
      <c r="J11" s="22">
        <v>0</v>
      </c>
      <c r="K11" s="23" t="str">
        <f t="shared" si="3"/>
        <v>-</v>
      </c>
      <c r="L11" s="22">
        <v>0</v>
      </c>
      <c r="M11" s="22">
        <v>0</v>
      </c>
      <c r="N11" s="23" t="str">
        <f t="shared" si="4"/>
        <v>-</v>
      </c>
      <c r="O11" s="22">
        <f t="shared" si="5"/>
        <v>0</v>
      </c>
      <c r="P11" s="22">
        <f t="shared" si="5"/>
        <v>0</v>
      </c>
      <c r="R11" s="22">
        <v>0</v>
      </c>
      <c r="S11" s="22">
        <v>0</v>
      </c>
      <c r="T11" s="23" t="str">
        <f t="shared" si="6"/>
        <v>-</v>
      </c>
      <c r="U11" s="22">
        <v>0</v>
      </c>
      <c r="V11" s="22">
        <v>0</v>
      </c>
      <c r="W11" s="23" t="str">
        <f t="shared" si="7"/>
        <v>-</v>
      </c>
      <c r="X11" s="22">
        <v>0</v>
      </c>
      <c r="Y11" s="22">
        <v>0</v>
      </c>
      <c r="Z11" s="23" t="str">
        <f t="shared" si="8"/>
        <v>-</v>
      </c>
      <c r="AA11" s="22">
        <v>0</v>
      </c>
      <c r="AB11" s="22">
        <v>0</v>
      </c>
      <c r="AC11" s="23" t="str">
        <f t="shared" si="9"/>
        <v>-</v>
      </c>
      <c r="AD11" s="22">
        <f t="shared" si="10"/>
        <v>0</v>
      </c>
      <c r="AE11" s="22">
        <f t="shared" si="10"/>
        <v>0</v>
      </c>
    </row>
    <row r="12" spans="1:31" ht="15" x14ac:dyDescent="0.25">
      <c r="B12" s="21">
        <f t="shared" si="0"/>
        <v>45843</v>
      </c>
      <c r="C12" s="22">
        <v>0</v>
      </c>
      <c r="D12" s="22">
        <v>0</v>
      </c>
      <c r="E12" s="23" t="str">
        <f t="shared" si="1"/>
        <v>-</v>
      </c>
      <c r="F12" s="22">
        <v>0</v>
      </c>
      <c r="G12" s="22">
        <v>0</v>
      </c>
      <c r="H12" s="23" t="str">
        <f t="shared" si="2"/>
        <v>-</v>
      </c>
      <c r="I12" s="22">
        <v>0</v>
      </c>
      <c r="J12" s="22">
        <v>0</v>
      </c>
      <c r="K12" s="23" t="str">
        <f t="shared" si="3"/>
        <v>-</v>
      </c>
      <c r="L12" s="22">
        <v>0</v>
      </c>
      <c r="M12" s="22">
        <v>0</v>
      </c>
      <c r="N12" s="23" t="str">
        <f t="shared" si="4"/>
        <v>-</v>
      </c>
      <c r="O12" s="22">
        <f t="shared" si="5"/>
        <v>0</v>
      </c>
      <c r="P12" s="22">
        <f t="shared" si="5"/>
        <v>0</v>
      </c>
      <c r="R12" s="22">
        <v>0</v>
      </c>
      <c r="S12" s="22">
        <v>0</v>
      </c>
      <c r="T12" s="23" t="str">
        <f t="shared" si="6"/>
        <v>-</v>
      </c>
      <c r="U12" s="22">
        <v>0</v>
      </c>
      <c r="V12" s="22">
        <v>0</v>
      </c>
      <c r="W12" s="23" t="str">
        <f t="shared" si="7"/>
        <v>-</v>
      </c>
      <c r="X12" s="22">
        <v>0</v>
      </c>
      <c r="Y12" s="22">
        <v>0</v>
      </c>
      <c r="Z12" s="23" t="str">
        <f t="shared" si="8"/>
        <v>-</v>
      </c>
      <c r="AA12" s="22">
        <v>0</v>
      </c>
      <c r="AB12" s="22">
        <v>0</v>
      </c>
      <c r="AC12" s="23" t="str">
        <f t="shared" si="9"/>
        <v>-</v>
      </c>
      <c r="AD12" s="22">
        <f t="shared" si="10"/>
        <v>0</v>
      </c>
      <c r="AE12" s="22">
        <f t="shared" si="10"/>
        <v>0</v>
      </c>
    </row>
    <row r="13" spans="1:31" ht="15" x14ac:dyDescent="0.25">
      <c r="B13" s="21">
        <f t="shared" si="0"/>
        <v>45844</v>
      </c>
      <c r="C13" s="22">
        <v>0</v>
      </c>
      <c r="D13" s="22">
        <v>0</v>
      </c>
      <c r="E13" s="23" t="str">
        <f t="shared" si="1"/>
        <v>-</v>
      </c>
      <c r="F13" s="22">
        <v>0</v>
      </c>
      <c r="G13" s="22">
        <v>0</v>
      </c>
      <c r="H13" s="23" t="str">
        <f t="shared" si="2"/>
        <v>-</v>
      </c>
      <c r="I13" s="22">
        <v>0</v>
      </c>
      <c r="J13" s="22">
        <v>0</v>
      </c>
      <c r="K13" s="23" t="str">
        <f t="shared" si="3"/>
        <v>-</v>
      </c>
      <c r="L13" s="22">
        <v>0</v>
      </c>
      <c r="M13" s="22">
        <v>0</v>
      </c>
      <c r="N13" s="23" t="str">
        <f t="shared" si="4"/>
        <v>-</v>
      </c>
      <c r="O13" s="22">
        <f t="shared" si="5"/>
        <v>0</v>
      </c>
      <c r="P13" s="22">
        <f t="shared" si="5"/>
        <v>0</v>
      </c>
      <c r="R13" s="22">
        <v>0</v>
      </c>
      <c r="S13" s="22">
        <v>0</v>
      </c>
      <c r="T13" s="23" t="str">
        <f t="shared" si="6"/>
        <v>-</v>
      </c>
      <c r="U13" s="22">
        <v>0</v>
      </c>
      <c r="V13" s="22">
        <v>0</v>
      </c>
      <c r="W13" s="23" t="str">
        <f t="shared" si="7"/>
        <v>-</v>
      </c>
      <c r="X13" s="22">
        <v>0</v>
      </c>
      <c r="Y13" s="22">
        <v>0</v>
      </c>
      <c r="Z13" s="23" t="str">
        <f t="shared" si="8"/>
        <v>-</v>
      </c>
      <c r="AA13" s="22">
        <v>0</v>
      </c>
      <c r="AB13" s="22">
        <v>0</v>
      </c>
      <c r="AC13" s="23" t="str">
        <f t="shared" si="9"/>
        <v>-</v>
      </c>
      <c r="AD13" s="22">
        <f t="shared" si="10"/>
        <v>0</v>
      </c>
      <c r="AE13" s="22">
        <f t="shared" si="10"/>
        <v>0</v>
      </c>
    </row>
    <row r="14" spans="1:31" ht="15" x14ac:dyDescent="0.25">
      <c r="B14" s="21">
        <f t="shared" si="0"/>
        <v>45845</v>
      </c>
      <c r="C14" s="22">
        <v>0</v>
      </c>
      <c r="D14" s="22">
        <v>0</v>
      </c>
      <c r="E14" s="23" t="str">
        <f t="shared" si="1"/>
        <v>-</v>
      </c>
      <c r="F14" s="22">
        <v>0</v>
      </c>
      <c r="G14" s="22">
        <v>0</v>
      </c>
      <c r="H14" s="23" t="str">
        <f t="shared" si="2"/>
        <v>-</v>
      </c>
      <c r="I14" s="22">
        <v>0</v>
      </c>
      <c r="J14" s="22">
        <v>0</v>
      </c>
      <c r="K14" s="23" t="str">
        <f t="shared" si="3"/>
        <v>-</v>
      </c>
      <c r="L14" s="22">
        <v>0</v>
      </c>
      <c r="M14" s="22">
        <v>0</v>
      </c>
      <c r="N14" s="23" t="str">
        <f t="shared" si="4"/>
        <v>-</v>
      </c>
      <c r="O14" s="22">
        <f t="shared" si="5"/>
        <v>0</v>
      </c>
      <c r="P14" s="22">
        <f t="shared" si="5"/>
        <v>0</v>
      </c>
      <c r="R14" s="22">
        <v>0</v>
      </c>
      <c r="S14" s="22">
        <v>0</v>
      </c>
      <c r="T14" s="23" t="str">
        <f t="shared" si="6"/>
        <v>-</v>
      </c>
      <c r="U14" s="22">
        <v>0</v>
      </c>
      <c r="V14" s="22">
        <v>0</v>
      </c>
      <c r="W14" s="23" t="str">
        <f t="shared" si="7"/>
        <v>-</v>
      </c>
      <c r="X14" s="22">
        <v>0</v>
      </c>
      <c r="Y14" s="22">
        <v>0</v>
      </c>
      <c r="Z14" s="23" t="str">
        <f t="shared" si="8"/>
        <v>-</v>
      </c>
      <c r="AA14" s="22">
        <v>0</v>
      </c>
      <c r="AB14" s="22">
        <v>0</v>
      </c>
      <c r="AC14" s="23" t="str">
        <f t="shared" si="9"/>
        <v>-</v>
      </c>
      <c r="AD14" s="22">
        <f t="shared" si="10"/>
        <v>0</v>
      </c>
      <c r="AE14" s="22">
        <f t="shared" si="10"/>
        <v>0</v>
      </c>
    </row>
    <row r="15" spans="1:31" ht="15" x14ac:dyDescent="0.25">
      <c r="B15" s="21">
        <f t="shared" si="0"/>
        <v>45846</v>
      </c>
      <c r="C15" s="22">
        <v>0</v>
      </c>
      <c r="D15" s="22">
        <v>0</v>
      </c>
      <c r="E15" s="23" t="str">
        <f t="shared" si="1"/>
        <v>-</v>
      </c>
      <c r="F15" s="22">
        <v>0</v>
      </c>
      <c r="G15" s="22">
        <v>0</v>
      </c>
      <c r="H15" s="23" t="str">
        <f t="shared" si="2"/>
        <v>-</v>
      </c>
      <c r="I15" s="22">
        <v>0</v>
      </c>
      <c r="J15" s="22">
        <v>0</v>
      </c>
      <c r="K15" s="23" t="str">
        <f t="shared" si="3"/>
        <v>-</v>
      </c>
      <c r="L15" s="22">
        <v>0</v>
      </c>
      <c r="M15" s="22">
        <v>0</v>
      </c>
      <c r="N15" s="23" t="str">
        <f t="shared" si="4"/>
        <v>-</v>
      </c>
      <c r="O15" s="22">
        <f t="shared" si="5"/>
        <v>0</v>
      </c>
      <c r="P15" s="22">
        <f t="shared" si="5"/>
        <v>0</v>
      </c>
      <c r="R15" s="22">
        <v>0</v>
      </c>
      <c r="S15" s="22">
        <v>0</v>
      </c>
      <c r="T15" s="23" t="str">
        <f t="shared" si="6"/>
        <v>-</v>
      </c>
      <c r="U15" s="22">
        <v>0</v>
      </c>
      <c r="V15" s="22">
        <v>0</v>
      </c>
      <c r="W15" s="23" t="str">
        <f t="shared" si="7"/>
        <v>-</v>
      </c>
      <c r="X15" s="22">
        <v>0</v>
      </c>
      <c r="Y15" s="22">
        <v>0</v>
      </c>
      <c r="Z15" s="23" t="str">
        <f t="shared" si="8"/>
        <v>-</v>
      </c>
      <c r="AA15" s="22">
        <v>0</v>
      </c>
      <c r="AB15" s="22">
        <v>0</v>
      </c>
      <c r="AC15" s="23" t="str">
        <f t="shared" si="9"/>
        <v>-</v>
      </c>
      <c r="AD15" s="22">
        <f t="shared" si="10"/>
        <v>0</v>
      </c>
      <c r="AE15" s="22">
        <f t="shared" si="10"/>
        <v>0</v>
      </c>
    </row>
    <row r="16" spans="1:31" ht="15" x14ac:dyDescent="0.25">
      <c r="B16" s="21">
        <f t="shared" si="0"/>
        <v>45847</v>
      </c>
      <c r="C16" s="22">
        <v>0</v>
      </c>
      <c r="D16" s="22">
        <v>0</v>
      </c>
      <c r="E16" s="23" t="str">
        <f t="shared" si="1"/>
        <v>-</v>
      </c>
      <c r="F16" s="22">
        <v>0</v>
      </c>
      <c r="G16" s="22">
        <v>0</v>
      </c>
      <c r="H16" s="23" t="str">
        <f t="shared" si="2"/>
        <v>-</v>
      </c>
      <c r="I16" s="22">
        <v>0</v>
      </c>
      <c r="J16" s="22">
        <v>0</v>
      </c>
      <c r="K16" s="23" t="str">
        <f t="shared" si="3"/>
        <v>-</v>
      </c>
      <c r="L16" s="22">
        <v>0</v>
      </c>
      <c r="M16" s="22">
        <v>0</v>
      </c>
      <c r="N16" s="23" t="str">
        <f t="shared" si="4"/>
        <v>-</v>
      </c>
      <c r="O16" s="22">
        <f t="shared" si="5"/>
        <v>0</v>
      </c>
      <c r="P16" s="22">
        <f t="shared" si="5"/>
        <v>0</v>
      </c>
      <c r="R16" s="22">
        <v>0</v>
      </c>
      <c r="S16" s="22">
        <v>0</v>
      </c>
      <c r="T16" s="23" t="str">
        <f t="shared" si="6"/>
        <v>-</v>
      </c>
      <c r="U16" s="22">
        <v>0</v>
      </c>
      <c r="V16" s="22">
        <v>0</v>
      </c>
      <c r="W16" s="23" t="str">
        <f t="shared" si="7"/>
        <v>-</v>
      </c>
      <c r="X16" s="22">
        <v>0</v>
      </c>
      <c r="Y16" s="22">
        <v>0</v>
      </c>
      <c r="Z16" s="23" t="str">
        <f t="shared" si="8"/>
        <v>-</v>
      </c>
      <c r="AA16" s="22">
        <v>0</v>
      </c>
      <c r="AB16" s="22">
        <v>0</v>
      </c>
      <c r="AC16" s="23" t="str">
        <f t="shared" si="9"/>
        <v>-</v>
      </c>
      <c r="AD16" s="22">
        <f t="shared" si="10"/>
        <v>0</v>
      </c>
      <c r="AE16" s="22">
        <f t="shared" si="10"/>
        <v>0</v>
      </c>
    </row>
    <row r="17" spans="2:31" ht="15" x14ac:dyDescent="0.25">
      <c r="B17" s="21">
        <f t="shared" si="0"/>
        <v>45848</v>
      </c>
      <c r="C17" s="22">
        <v>0</v>
      </c>
      <c r="D17" s="22">
        <v>0</v>
      </c>
      <c r="E17" s="23" t="str">
        <f t="shared" si="1"/>
        <v>-</v>
      </c>
      <c r="F17" s="22">
        <v>0</v>
      </c>
      <c r="G17" s="22">
        <v>0</v>
      </c>
      <c r="H17" s="23" t="str">
        <f t="shared" si="2"/>
        <v>-</v>
      </c>
      <c r="I17" s="22">
        <v>0</v>
      </c>
      <c r="J17" s="22">
        <v>0</v>
      </c>
      <c r="K17" s="23" t="str">
        <f t="shared" si="3"/>
        <v>-</v>
      </c>
      <c r="L17" s="22">
        <v>0</v>
      </c>
      <c r="M17" s="22">
        <v>0</v>
      </c>
      <c r="N17" s="23" t="str">
        <f t="shared" si="4"/>
        <v>-</v>
      </c>
      <c r="O17" s="22">
        <f t="shared" si="5"/>
        <v>0</v>
      </c>
      <c r="P17" s="22">
        <f t="shared" si="5"/>
        <v>0</v>
      </c>
      <c r="R17" s="22">
        <v>0</v>
      </c>
      <c r="S17" s="22">
        <v>0</v>
      </c>
      <c r="T17" s="23" t="str">
        <f t="shared" si="6"/>
        <v>-</v>
      </c>
      <c r="U17" s="22">
        <v>0</v>
      </c>
      <c r="V17" s="22">
        <v>0</v>
      </c>
      <c r="W17" s="23" t="str">
        <f t="shared" si="7"/>
        <v>-</v>
      </c>
      <c r="X17" s="22">
        <v>0</v>
      </c>
      <c r="Y17" s="22">
        <v>0</v>
      </c>
      <c r="Z17" s="23" t="str">
        <f t="shared" si="8"/>
        <v>-</v>
      </c>
      <c r="AA17" s="22">
        <v>0</v>
      </c>
      <c r="AB17" s="22">
        <v>0</v>
      </c>
      <c r="AC17" s="23" t="str">
        <f t="shared" si="9"/>
        <v>-</v>
      </c>
      <c r="AD17" s="22">
        <f t="shared" si="10"/>
        <v>0</v>
      </c>
      <c r="AE17" s="22">
        <f t="shared" si="10"/>
        <v>0</v>
      </c>
    </row>
    <row r="18" spans="2:31" ht="15" x14ac:dyDescent="0.25">
      <c r="B18" s="21">
        <f t="shared" si="0"/>
        <v>45849</v>
      </c>
      <c r="C18" s="22">
        <v>0</v>
      </c>
      <c r="D18" s="22">
        <v>0</v>
      </c>
      <c r="E18" s="23" t="str">
        <f t="shared" si="1"/>
        <v>-</v>
      </c>
      <c r="F18" s="22">
        <v>0</v>
      </c>
      <c r="G18" s="22">
        <v>0</v>
      </c>
      <c r="H18" s="23" t="str">
        <f t="shared" si="2"/>
        <v>-</v>
      </c>
      <c r="I18" s="22">
        <v>0</v>
      </c>
      <c r="J18" s="22">
        <v>0</v>
      </c>
      <c r="K18" s="23" t="str">
        <f t="shared" si="3"/>
        <v>-</v>
      </c>
      <c r="L18" s="22">
        <v>0</v>
      </c>
      <c r="M18" s="22">
        <v>0</v>
      </c>
      <c r="N18" s="23" t="str">
        <f t="shared" si="4"/>
        <v>-</v>
      </c>
      <c r="O18" s="22">
        <f t="shared" si="5"/>
        <v>0</v>
      </c>
      <c r="P18" s="22">
        <f t="shared" si="5"/>
        <v>0</v>
      </c>
      <c r="R18" s="22">
        <v>0</v>
      </c>
      <c r="S18" s="22">
        <v>0</v>
      </c>
      <c r="T18" s="23" t="str">
        <f t="shared" si="6"/>
        <v>-</v>
      </c>
      <c r="U18" s="22">
        <v>0</v>
      </c>
      <c r="V18" s="22">
        <v>0</v>
      </c>
      <c r="W18" s="23" t="str">
        <f t="shared" si="7"/>
        <v>-</v>
      </c>
      <c r="X18" s="22">
        <v>0</v>
      </c>
      <c r="Y18" s="22">
        <v>0</v>
      </c>
      <c r="Z18" s="23" t="str">
        <f t="shared" si="8"/>
        <v>-</v>
      </c>
      <c r="AA18" s="22">
        <v>0</v>
      </c>
      <c r="AB18" s="22">
        <v>0</v>
      </c>
      <c r="AC18" s="23" t="str">
        <f t="shared" si="9"/>
        <v>-</v>
      </c>
      <c r="AD18" s="22">
        <f t="shared" si="10"/>
        <v>0</v>
      </c>
      <c r="AE18" s="22">
        <f t="shared" si="10"/>
        <v>0</v>
      </c>
    </row>
    <row r="19" spans="2:31" ht="15" x14ac:dyDescent="0.25">
      <c r="B19" s="21">
        <f t="shared" si="0"/>
        <v>45850</v>
      </c>
      <c r="C19" s="22">
        <v>0</v>
      </c>
      <c r="D19" s="22">
        <v>0</v>
      </c>
      <c r="E19" s="23" t="str">
        <f t="shared" si="1"/>
        <v>-</v>
      </c>
      <c r="F19" s="22">
        <v>0</v>
      </c>
      <c r="G19" s="22">
        <v>0</v>
      </c>
      <c r="H19" s="23" t="str">
        <f t="shared" si="2"/>
        <v>-</v>
      </c>
      <c r="I19" s="22">
        <v>0</v>
      </c>
      <c r="J19" s="22">
        <v>0</v>
      </c>
      <c r="K19" s="23" t="str">
        <f t="shared" si="3"/>
        <v>-</v>
      </c>
      <c r="L19" s="22">
        <v>0</v>
      </c>
      <c r="M19" s="22">
        <v>0</v>
      </c>
      <c r="N19" s="23" t="str">
        <f t="shared" si="4"/>
        <v>-</v>
      </c>
      <c r="O19" s="22">
        <f t="shared" si="5"/>
        <v>0</v>
      </c>
      <c r="P19" s="22">
        <f t="shared" si="5"/>
        <v>0</v>
      </c>
      <c r="R19" s="22">
        <v>0</v>
      </c>
      <c r="S19" s="22">
        <v>0</v>
      </c>
      <c r="T19" s="23" t="str">
        <f t="shared" si="6"/>
        <v>-</v>
      </c>
      <c r="U19" s="22">
        <v>0</v>
      </c>
      <c r="V19" s="22">
        <v>0</v>
      </c>
      <c r="W19" s="23" t="str">
        <f t="shared" si="7"/>
        <v>-</v>
      </c>
      <c r="X19" s="22">
        <v>0</v>
      </c>
      <c r="Y19" s="22">
        <v>0</v>
      </c>
      <c r="Z19" s="23" t="str">
        <f t="shared" si="8"/>
        <v>-</v>
      </c>
      <c r="AA19" s="22">
        <v>0</v>
      </c>
      <c r="AB19" s="22">
        <v>0</v>
      </c>
      <c r="AC19" s="23" t="str">
        <f t="shared" si="9"/>
        <v>-</v>
      </c>
      <c r="AD19" s="22">
        <f t="shared" si="10"/>
        <v>0</v>
      </c>
      <c r="AE19" s="22">
        <f t="shared" si="10"/>
        <v>0</v>
      </c>
    </row>
    <row r="20" spans="2:31" ht="15" x14ac:dyDescent="0.25">
      <c r="B20" s="21">
        <f t="shared" si="0"/>
        <v>45851</v>
      </c>
      <c r="C20" s="22">
        <v>0</v>
      </c>
      <c r="D20" s="22">
        <v>0</v>
      </c>
      <c r="E20" s="23" t="str">
        <f t="shared" si="1"/>
        <v>-</v>
      </c>
      <c r="F20" s="22">
        <v>0</v>
      </c>
      <c r="G20" s="22">
        <v>0</v>
      </c>
      <c r="H20" s="23" t="str">
        <f t="shared" si="2"/>
        <v>-</v>
      </c>
      <c r="I20" s="22">
        <v>0</v>
      </c>
      <c r="J20" s="22">
        <v>0</v>
      </c>
      <c r="K20" s="23" t="str">
        <f t="shared" si="3"/>
        <v>-</v>
      </c>
      <c r="L20" s="22">
        <v>0</v>
      </c>
      <c r="M20" s="22">
        <v>0</v>
      </c>
      <c r="N20" s="23" t="str">
        <f t="shared" si="4"/>
        <v>-</v>
      </c>
      <c r="O20" s="22">
        <f t="shared" si="5"/>
        <v>0</v>
      </c>
      <c r="P20" s="22">
        <f t="shared" si="5"/>
        <v>0</v>
      </c>
      <c r="R20" s="22">
        <v>0</v>
      </c>
      <c r="S20" s="22">
        <v>0</v>
      </c>
      <c r="T20" s="23" t="str">
        <f t="shared" si="6"/>
        <v>-</v>
      </c>
      <c r="U20" s="22">
        <v>0</v>
      </c>
      <c r="V20" s="22">
        <v>0</v>
      </c>
      <c r="W20" s="23" t="str">
        <f t="shared" si="7"/>
        <v>-</v>
      </c>
      <c r="X20" s="22">
        <v>0</v>
      </c>
      <c r="Y20" s="22">
        <v>0</v>
      </c>
      <c r="Z20" s="23" t="str">
        <f t="shared" si="8"/>
        <v>-</v>
      </c>
      <c r="AA20" s="22">
        <v>0</v>
      </c>
      <c r="AB20" s="22">
        <v>0</v>
      </c>
      <c r="AC20" s="23" t="str">
        <f t="shared" si="9"/>
        <v>-</v>
      </c>
      <c r="AD20" s="22">
        <f t="shared" si="10"/>
        <v>0</v>
      </c>
      <c r="AE20" s="22">
        <f t="shared" si="10"/>
        <v>0</v>
      </c>
    </row>
    <row r="21" spans="2:31" ht="15" x14ac:dyDescent="0.25">
      <c r="B21" s="21">
        <f t="shared" si="0"/>
        <v>45852</v>
      </c>
      <c r="C21" s="22">
        <v>0</v>
      </c>
      <c r="D21" s="22">
        <v>0</v>
      </c>
      <c r="E21" s="23" t="str">
        <f t="shared" si="1"/>
        <v>-</v>
      </c>
      <c r="F21" s="22">
        <v>0</v>
      </c>
      <c r="G21" s="22">
        <v>0</v>
      </c>
      <c r="H21" s="23" t="str">
        <f t="shared" si="2"/>
        <v>-</v>
      </c>
      <c r="I21" s="22">
        <v>0</v>
      </c>
      <c r="J21" s="22">
        <v>0</v>
      </c>
      <c r="K21" s="23" t="str">
        <f t="shared" si="3"/>
        <v>-</v>
      </c>
      <c r="L21" s="22">
        <v>0</v>
      </c>
      <c r="M21" s="22">
        <v>0</v>
      </c>
      <c r="N21" s="23" t="str">
        <f t="shared" si="4"/>
        <v>-</v>
      </c>
      <c r="O21" s="22">
        <f t="shared" si="5"/>
        <v>0</v>
      </c>
      <c r="P21" s="22">
        <f t="shared" si="5"/>
        <v>0</v>
      </c>
      <c r="R21" s="22">
        <v>0</v>
      </c>
      <c r="S21" s="22">
        <v>0</v>
      </c>
      <c r="T21" s="23" t="str">
        <f t="shared" si="6"/>
        <v>-</v>
      </c>
      <c r="U21" s="22">
        <v>0</v>
      </c>
      <c r="V21" s="22">
        <v>0</v>
      </c>
      <c r="W21" s="23" t="str">
        <f t="shared" si="7"/>
        <v>-</v>
      </c>
      <c r="X21" s="22">
        <v>0</v>
      </c>
      <c r="Y21" s="22">
        <v>0</v>
      </c>
      <c r="Z21" s="23" t="str">
        <f t="shared" si="8"/>
        <v>-</v>
      </c>
      <c r="AA21" s="22">
        <v>0</v>
      </c>
      <c r="AB21" s="22">
        <v>0</v>
      </c>
      <c r="AC21" s="23" t="str">
        <f t="shared" si="9"/>
        <v>-</v>
      </c>
      <c r="AD21" s="22">
        <f t="shared" si="10"/>
        <v>0</v>
      </c>
      <c r="AE21" s="22">
        <f t="shared" si="10"/>
        <v>0</v>
      </c>
    </row>
    <row r="22" spans="2:31" ht="15" x14ac:dyDescent="0.25">
      <c r="B22" s="21">
        <f t="shared" si="0"/>
        <v>45853</v>
      </c>
      <c r="C22" s="22">
        <v>0</v>
      </c>
      <c r="D22" s="22">
        <v>0</v>
      </c>
      <c r="E22" s="23" t="str">
        <f t="shared" si="1"/>
        <v>-</v>
      </c>
      <c r="F22" s="23">
        <v>0</v>
      </c>
      <c r="G22" s="22">
        <v>0</v>
      </c>
      <c r="H22" s="23" t="str">
        <f t="shared" si="2"/>
        <v>-</v>
      </c>
      <c r="I22" s="22">
        <v>0</v>
      </c>
      <c r="J22" s="22">
        <v>0</v>
      </c>
      <c r="K22" s="23" t="str">
        <f t="shared" si="3"/>
        <v>-</v>
      </c>
      <c r="L22" s="22">
        <v>0</v>
      </c>
      <c r="M22" s="22">
        <v>0</v>
      </c>
      <c r="N22" s="23" t="str">
        <f t="shared" si="4"/>
        <v>-</v>
      </c>
      <c r="O22" s="22">
        <f t="shared" si="5"/>
        <v>0</v>
      </c>
      <c r="P22" s="22">
        <f t="shared" si="5"/>
        <v>0</v>
      </c>
      <c r="R22" s="22">
        <v>0</v>
      </c>
      <c r="S22" s="22">
        <v>0</v>
      </c>
      <c r="T22" s="23" t="str">
        <f t="shared" si="6"/>
        <v>-</v>
      </c>
      <c r="U22" s="22">
        <v>0</v>
      </c>
      <c r="V22" s="22">
        <v>0</v>
      </c>
      <c r="W22" s="23" t="str">
        <f t="shared" si="7"/>
        <v>-</v>
      </c>
      <c r="X22" s="22">
        <v>0</v>
      </c>
      <c r="Y22" s="22">
        <v>0</v>
      </c>
      <c r="Z22" s="23" t="str">
        <f t="shared" si="8"/>
        <v>-</v>
      </c>
      <c r="AA22" s="22">
        <v>0</v>
      </c>
      <c r="AB22" s="22">
        <v>0</v>
      </c>
      <c r="AC22" s="23" t="str">
        <f t="shared" si="9"/>
        <v>-</v>
      </c>
      <c r="AD22" s="22">
        <f t="shared" si="10"/>
        <v>0</v>
      </c>
      <c r="AE22" s="22">
        <f t="shared" si="10"/>
        <v>0</v>
      </c>
    </row>
    <row r="23" spans="2:31" ht="15" x14ac:dyDescent="0.25">
      <c r="B23" s="21">
        <f t="shared" si="0"/>
        <v>45854</v>
      </c>
      <c r="C23" s="22">
        <v>0</v>
      </c>
      <c r="D23" s="22">
        <v>0</v>
      </c>
      <c r="E23" s="23" t="str">
        <f t="shared" si="1"/>
        <v>-</v>
      </c>
      <c r="F23" s="22">
        <v>0</v>
      </c>
      <c r="G23" s="22">
        <v>0</v>
      </c>
      <c r="H23" s="23" t="str">
        <f t="shared" si="2"/>
        <v>-</v>
      </c>
      <c r="I23" s="22">
        <v>0</v>
      </c>
      <c r="J23" s="22">
        <v>0</v>
      </c>
      <c r="K23" s="23" t="str">
        <f t="shared" si="3"/>
        <v>-</v>
      </c>
      <c r="L23" s="22">
        <v>0</v>
      </c>
      <c r="M23" s="22">
        <v>0</v>
      </c>
      <c r="N23" s="23" t="str">
        <f t="shared" si="4"/>
        <v>-</v>
      </c>
      <c r="O23" s="22">
        <f t="shared" si="5"/>
        <v>0</v>
      </c>
      <c r="P23" s="22">
        <f t="shared" si="5"/>
        <v>0</v>
      </c>
      <c r="R23" s="22">
        <v>0</v>
      </c>
      <c r="S23" s="22">
        <v>0</v>
      </c>
      <c r="T23" s="23" t="str">
        <f t="shared" si="6"/>
        <v>-</v>
      </c>
      <c r="U23" s="22">
        <v>0</v>
      </c>
      <c r="V23" s="22">
        <v>0</v>
      </c>
      <c r="W23" s="23" t="str">
        <f t="shared" si="7"/>
        <v>-</v>
      </c>
      <c r="X23" s="22">
        <v>0</v>
      </c>
      <c r="Y23" s="22">
        <v>0</v>
      </c>
      <c r="Z23" s="23" t="str">
        <f t="shared" si="8"/>
        <v>-</v>
      </c>
      <c r="AA23" s="22">
        <v>0</v>
      </c>
      <c r="AB23" s="22">
        <v>0</v>
      </c>
      <c r="AC23" s="23" t="str">
        <f t="shared" si="9"/>
        <v>-</v>
      </c>
      <c r="AD23" s="22">
        <f t="shared" si="10"/>
        <v>0</v>
      </c>
      <c r="AE23" s="22">
        <f t="shared" si="10"/>
        <v>0</v>
      </c>
    </row>
    <row r="24" spans="2:31" ht="15" x14ac:dyDescent="0.25">
      <c r="B24" s="21">
        <f t="shared" si="0"/>
        <v>45855</v>
      </c>
      <c r="C24" s="22">
        <v>0</v>
      </c>
      <c r="D24" s="22">
        <v>0</v>
      </c>
      <c r="E24" s="23" t="str">
        <f t="shared" si="1"/>
        <v>-</v>
      </c>
      <c r="F24" s="22">
        <v>0</v>
      </c>
      <c r="G24" s="22">
        <v>0</v>
      </c>
      <c r="H24" s="23" t="str">
        <f t="shared" si="2"/>
        <v>-</v>
      </c>
      <c r="I24" s="22">
        <v>0</v>
      </c>
      <c r="J24" s="22">
        <v>0</v>
      </c>
      <c r="K24" s="23" t="str">
        <f t="shared" si="3"/>
        <v>-</v>
      </c>
      <c r="L24" s="22">
        <v>0</v>
      </c>
      <c r="M24" s="22">
        <v>0</v>
      </c>
      <c r="N24" s="23" t="str">
        <f t="shared" si="4"/>
        <v>-</v>
      </c>
      <c r="O24" s="22">
        <f t="shared" si="5"/>
        <v>0</v>
      </c>
      <c r="P24" s="22">
        <f t="shared" si="5"/>
        <v>0</v>
      </c>
      <c r="R24" s="22">
        <v>0</v>
      </c>
      <c r="S24" s="22">
        <v>0</v>
      </c>
      <c r="T24" s="23" t="str">
        <f t="shared" si="6"/>
        <v>-</v>
      </c>
      <c r="U24" s="22">
        <v>0</v>
      </c>
      <c r="V24" s="22">
        <v>0</v>
      </c>
      <c r="W24" s="23" t="str">
        <f t="shared" si="7"/>
        <v>-</v>
      </c>
      <c r="X24" s="22">
        <v>0</v>
      </c>
      <c r="Y24" s="22">
        <v>0</v>
      </c>
      <c r="Z24" s="23" t="str">
        <f t="shared" si="8"/>
        <v>-</v>
      </c>
      <c r="AA24" s="22">
        <v>0</v>
      </c>
      <c r="AB24" s="22">
        <v>0</v>
      </c>
      <c r="AC24" s="23" t="str">
        <f t="shared" si="9"/>
        <v>-</v>
      </c>
      <c r="AD24" s="22">
        <f t="shared" si="10"/>
        <v>0</v>
      </c>
      <c r="AE24" s="22">
        <f t="shared" si="10"/>
        <v>0</v>
      </c>
    </row>
    <row r="25" spans="2:31" ht="15" x14ac:dyDescent="0.25">
      <c r="B25" s="21">
        <f t="shared" si="0"/>
        <v>45856</v>
      </c>
      <c r="C25" s="22">
        <v>0</v>
      </c>
      <c r="D25" s="22">
        <v>0</v>
      </c>
      <c r="E25" s="23" t="str">
        <f t="shared" si="1"/>
        <v>-</v>
      </c>
      <c r="F25" s="22">
        <v>0</v>
      </c>
      <c r="G25" s="22">
        <v>0</v>
      </c>
      <c r="H25" s="23" t="str">
        <f t="shared" si="2"/>
        <v>-</v>
      </c>
      <c r="I25" s="22">
        <v>0</v>
      </c>
      <c r="J25" s="22">
        <v>0</v>
      </c>
      <c r="K25" s="23" t="str">
        <f t="shared" si="3"/>
        <v>-</v>
      </c>
      <c r="L25" s="22">
        <v>0</v>
      </c>
      <c r="M25" s="22">
        <v>0</v>
      </c>
      <c r="N25" s="23" t="str">
        <f t="shared" si="4"/>
        <v>-</v>
      </c>
      <c r="O25" s="22">
        <f t="shared" si="5"/>
        <v>0</v>
      </c>
      <c r="P25" s="22">
        <f t="shared" si="5"/>
        <v>0</v>
      </c>
      <c r="R25" s="22">
        <v>0</v>
      </c>
      <c r="S25" s="22">
        <v>0</v>
      </c>
      <c r="T25" s="23" t="str">
        <f t="shared" si="6"/>
        <v>-</v>
      </c>
      <c r="U25" s="22">
        <v>0</v>
      </c>
      <c r="V25" s="22">
        <v>0</v>
      </c>
      <c r="W25" s="23" t="str">
        <f t="shared" si="7"/>
        <v>-</v>
      </c>
      <c r="X25" s="22">
        <v>0</v>
      </c>
      <c r="Y25" s="22">
        <v>0</v>
      </c>
      <c r="Z25" s="23" t="str">
        <f t="shared" si="8"/>
        <v>-</v>
      </c>
      <c r="AA25" s="22">
        <v>0</v>
      </c>
      <c r="AB25" s="22">
        <v>0</v>
      </c>
      <c r="AC25" s="23" t="str">
        <f t="shared" si="9"/>
        <v>-</v>
      </c>
      <c r="AD25" s="22">
        <f t="shared" si="10"/>
        <v>0</v>
      </c>
      <c r="AE25" s="22">
        <f t="shared" si="10"/>
        <v>0</v>
      </c>
    </row>
    <row r="26" spans="2:31" ht="15" x14ac:dyDescent="0.25">
      <c r="B26" s="21">
        <f t="shared" si="0"/>
        <v>45857</v>
      </c>
      <c r="C26" s="22">
        <v>0</v>
      </c>
      <c r="D26" s="22">
        <v>0</v>
      </c>
      <c r="E26" s="23" t="str">
        <f t="shared" si="1"/>
        <v>-</v>
      </c>
      <c r="F26" s="22">
        <v>0</v>
      </c>
      <c r="G26" s="22">
        <v>0</v>
      </c>
      <c r="H26" s="23" t="str">
        <f t="shared" si="2"/>
        <v>-</v>
      </c>
      <c r="I26" s="22">
        <v>0</v>
      </c>
      <c r="J26" s="22">
        <v>0</v>
      </c>
      <c r="K26" s="23" t="str">
        <f t="shared" si="3"/>
        <v>-</v>
      </c>
      <c r="L26" s="22">
        <v>0</v>
      </c>
      <c r="M26" s="22">
        <v>0</v>
      </c>
      <c r="N26" s="23" t="str">
        <f t="shared" si="4"/>
        <v>-</v>
      </c>
      <c r="O26" s="22">
        <f t="shared" si="5"/>
        <v>0</v>
      </c>
      <c r="P26" s="22">
        <f t="shared" si="5"/>
        <v>0</v>
      </c>
      <c r="R26" s="22">
        <v>0</v>
      </c>
      <c r="S26" s="22">
        <v>0</v>
      </c>
      <c r="T26" s="23" t="str">
        <f t="shared" si="6"/>
        <v>-</v>
      </c>
      <c r="U26" s="22">
        <v>0</v>
      </c>
      <c r="V26" s="22">
        <v>0</v>
      </c>
      <c r="W26" s="23" t="str">
        <f t="shared" si="7"/>
        <v>-</v>
      </c>
      <c r="X26" s="22">
        <v>0</v>
      </c>
      <c r="Y26" s="22">
        <v>0</v>
      </c>
      <c r="Z26" s="23" t="str">
        <f t="shared" si="8"/>
        <v>-</v>
      </c>
      <c r="AA26" s="22">
        <v>0</v>
      </c>
      <c r="AB26" s="22">
        <v>0</v>
      </c>
      <c r="AC26" s="23" t="str">
        <f t="shared" si="9"/>
        <v>-</v>
      </c>
      <c r="AD26" s="22">
        <f t="shared" si="10"/>
        <v>0</v>
      </c>
      <c r="AE26" s="22">
        <f t="shared" si="10"/>
        <v>0</v>
      </c>
    </row>
    <row r="27" spans="2:31" ht="15" x14ac:dyDescent="0.25">
      <c r="B27" s="21">
        <f t="shared" si="0"/>
        <v>45858</v>
      </c>
      <c r="C27" s="22">
        <v>0</v>
      </c>
      <c r="D27" s="22">
        <v>0</v>
      </c>
      <c r="E27" s="23" t="str">
        <f t="shared" si="1"/>
        <v>-</v>
      </c>
      <c r="F27" s="22">
        <v>0</v>
      </c>
      <c r="G27" s="22">
        <v>0</v>
      </c>
      <c r="H27" s="23" t="str">
        <f t="shared" si="2"/>
        <v>-</v>
      </c>
      <c r="I27" s="22">
        <v>0</v>
      </c>
      <c r="J27" s="22">
        <v>0</v>
      </c>
      <c r="K27" s="23" t="str">
        <f t="shared" si="3"/>
        <v>-</v>
      </c>
      <c r="L27" s="22">
        <v>0</v>
      </c>
      <c r="M27" s="22">
        <v>0</v>
      </c>
      <c r="N27" s="23" t="str">
        <f t="shared" si="4"/>
        <v>-</v>
      </c>
      <c r="O27" s="22">
        <f t="shared" si="5"/>
        <v>0</v>
      </c>
      <c r="P27" s="22">
        <f t="shared" si="5"/>
        <v>0</v>
      </c>
      <c r="R27" s="22">
        <v>0</v>
      </c>
      <c r="S27" s="22">
        <v>0</v>
      </c>
      <c r="T27" s="23" t="str">
        <f t="shared" si="6"/>
        <v>-</v>
      </c>
      <c r="U27" s="22">
        <v>0</v>
      </c>
      <c r="V27" s="22">
        <v>0</v>
      </c>
      <c r="W27" s="23" t="str">
        <f t="shared" si="7"/>
        <v>-</v>
      </c>
      <c r="X27" s="22">
        <v>0</v>
      </c>
      <c r="Y27" s="22">
        <v>0</v>
      </c>
      <c r="Z27" s="23" t="str">
        <f t="shared" si="8"/>
        <v>-</v>
      </c>
      <c r="AA27" s="22">
        <v>0</v>
      </c>
      <c r="AB27" s="22">
        <v>0</v>
      </c>
      <c r="AC27" s="23" t="str">
        <f t="shared" si="9"/>
        <v>-</v>
      </c>
      <c r="AD27" s="22">
        <f t="shared" si="10"/>
        <v>0</v>
      </c>
      <c r="AE27" s="22">
        <f t="shared" si="10"/>
        <v>0</v>
      </c>
    </row>
    <row r="28" spans="2:31" ht="15" x14ac:dyDescent="0.25">
      <c r="B28" s="21">
        <f t="shared" si="0"/>
        <v>45859</v>
      </c>
      <c r="C28" s="22">
        <v>0</v>
      </c>
      <c r="D28" s="22">
        <v>0</v>
      </c>
      <c r="E28" s="23" t="str">
        <f t="shared" si="1"/>
        <v>-</v>
      </c>
      <c r="F28" s="22">
        <v>0</v>
      </c>
      <c r="G28" s="22">
        <v>0</v>
      </c>
      <c r="H28" s="23" t="str">
        <f t="shared" si="2"/>
        <v>-</v>
      </c>
      <c r="I28" s="22">
        <v>0</v>
      </c>
      <c r="J28" s="22">
        <v>0</v>
      </c>
      <c r="K28" s="23" t="str">
        <f t="shared" si="3"/>
        <v>-</v>
      </c>
      <c r="L28" s="22">
        <v>0</v>
      </c>
      <c r="M28" s="22">
        <v>0</v>
      </c>
      <c r="N28" s="23" t="str">
        <f t="shared" si="4"/>
        <v>-</v>
      </c>
      <c r="O28" s="22">
        <f t="shared" si="5"/>
        <v>0</v>
      </c>
      <c r="P28" s="22">
        <f t="shared" si="5"/>
        <v>0</v>
      </c>
      <c r="R28" s="22">
        <v>0</v>
      </c>
      <c r="S28" s="22">
        <v>0</v>
      </c>
      <c r="T28" s="23" t="str">
        <f t="shared" si="6"/>
        <v>-</v>
      </c>
      <c r="U28" s="22">
        <v>0</v>
      </c>
      <c r="V28" s="22">
        <v>0</v>
      </c>
      <c r="W28" s="23" t="str">
        <f t="shared" si="7"/>
        <v>-</v>
      </c>
      <c r="X28" s="22">
        <v>0</v>
      </c>
      <c r="Y28" s="22">
        <v>0</v>
      </c>
      <c r="Z28" s="23" t="str">
        <f t="shared" si="8"/>
        <v>-</v>
      </c>
      <c r="AA28" s="22">
        <v>0</v>
      </c>
      <c r="AB28" s="22">
        <v>0</v>
      </c>
      <c r="AC28" s="23" t="str">
        <f t="shared" si="9"/>
        <v>-</v>
      </c>
      <c r="AD28" s="22">
        <f t="shared" si="10"/>
        <v>0</v>
      </c>
      <c r="AE28" s="22">
        <f t="shared" si="10"/>
        <v>0</v>
      </c>
    </row>
    <row r="29" spans="2:31" ht="15" x14ac:dyDescent="0.25">
      <c r="B29" s="21">
        <f t="shared" si="0"/>
        <v>45860</v>
      </c>
      <c r="C29" s="22">
        <v>0</v>
      </c>
      <c r="D29" s="22">
        <v>0</v>
      </c>
      <c r="E29" s="23" t="str">
        <f t="shared" si="1"/>
        <v>-</v>
      </c>
      <c r="F29" s="22">
        <v>0</v>
      </c>
      <c r="G29" s="22">
        <v>0</v>
      </c>
      <c r="H29" s="23" t="str">
        <f t="shared" si="2"/>
        <v>-</v>
      </c>
      <c r="I29" s="22">
        <v>0</v>
      </c>
      <c r="J29" s="22">
        <v>0</v>
      </c>
      <c r="K29" s="23" t="str">
        <f t="shared" si="3"/>
        <v>-</v>
      </c>
      <c r="L29" s="22">
        <v>0</v>
      </c>
      <c r="M29" s="22">
        <v>0</v>
      </c>
      <c r="N29" s="23" t="str">
        <f t="shared" si="4"/>
        <v>-</v>
      </c>
      <c r="O29" s="22">
        <f t="shared" si="5"/>
        <v>0</v>
      </c>
      <c r="P29" s="22">
        <f t="shared" si="5"/>
        <v>0</v>
      </c>
      <c r="R29" s="22">
        <v>0</v>
      </c>
      <c r="S29" s="22">
        <v>0</v>
      </c>
      <c r="T29" s="23" t="str">
        <f t="shared" si="6"/>
        <v>-</v>
      </c>
      <c r="U29" s="22">
        <v>0</v>
      </c>
      <c r="V29" s="22">
        <v>0</v>
      </c>
      <c r="W29" s="23" t="str">
        <f t="shared" si="7"/>
        <v>-</v>
      </c>
      <c r="X29" s="22">
        <v>0</v>
      </c>
      <c r="Y29" s="22">
        <v>0</v>
      </c>
      <c r="Z29" s="23" t="str">
        <f t="shared" si="8"/>
        <v>-</v>
      </c>
      <c r="AA29" s="22">
        <v>0</v>
      </c>
      <c r="AB29" s="22">
        <v>0</v>
      </c>
      <c r="AC29" s="23" t="str">
        <f t="shared" si="9"/>
        <v>-</v>
      </c>
      <c r="AD29" s="22">
        <f t="shared" si="10"/>
        <v>0</v>
      </c>
      <c r="AE29" s="22">
        <f t="shared" si="10"/>
        <v>0</v>
      </c>
    </row>
    <row r="30" spans="2:31" ht="15" x14ac:dyDescent="0.25">
      <c r="B30" s="21">
        <f t="shared" si="0"/>
        <v>45861</v>
      </c>
      <c r="C30" s="22">
        <v>0</v>
      </c>
      <c r="D30" s="22">
        <v>0</v>
      </c>
      <c r="E30" s="23" t="str">
        <f t="shared" si="1"/>
        <v>-</v>
      </c>
      <c r="F30" s="22">
        <v>0</v>
      </c>
      <c r="G30" s="22">
        <v>0</v>
      </c>
      <c r="H30" s="23" t="str">
        <f t="shared" si="2"/>
        <v>-</v>
      </c>
      <c r="I30" s="22">
        <v>0</v>
      </c>
      <c r="J30" s="22">
        <v>0</v>
      </c>
      <c r="K30" s="23" t="str">
        <f t="shared" si="3"/>
        <v>-</v>
      </c>
      <c r="L30" s="22">
        <v>0</v>
      </c>
      <c r="M30" s="22">
        <v>0</v>
      </c>
      <c r="N30" s="23" t="str">
        <f t="shared" si="4"/>
        <v>-</v>
      </c>
      <c r="O30" s="22">
        <f t="shared" si="5"/>
        <v>0</v>
      </c>
      <c r="P30" s="22">
        <f t="shared" si="5"/>
        <v>0</v>
      </c>
      <c r="R30" s="22">
        <v>0</v>
      </c>
      <c r="S30" s="22">
        <v>0</v>
      </c>
      <c r="T30" s="23" t="str">
        <f t="shared" si="6"/>
        <v>-</v>
      </c>
      <c r="U30" s="22">
        <v>0</v>
      </c>
      <c r="V30" s="22">
        <v>0</v>
      </c>
      <c r="W30" s="23" t="str">
        <f t="shared" si="7"/>
        <v>-</v>
      </c>
      <c r="X30" s="22">
        <v>0</v>
      </c>
      <c r="Y30" s="22">
        <v>0</v>
      </c>
      <c r="Z30" s="23" t="str">
        <f t="shared" si="8"/>
        <v>-</v>
      </c>
      <c r="AA30" s="22">
        <v>0</v>
      </c>
      <c r="AB30" s="22">
        <v>0</v>
      </c>
      <c r="AC30" s="23" t="str">
        <f t="shared" si="9"/>
        <v>-</v>
      </c>
      <c r="AD30" s="22">
        <f t="shared" si="10"/>
        <v>0</v>
      </c>
      <c r="AE30" s="22">
        <f t="shared" si="10"/>
        <v>0</v>
      </c>
    </row>
    <row r="31" spans="2:31" ht="15" x14ac:dyDescent="0.25">
      <c r="B31" s="21">
        <f t="shared" si="0"/>
        <v>45862</v>
      </c>
      <c r="C31" s="22">
        <v>0</v>
      </c>
      <c r="D31" s="22">
        <v>0</v>
      </c>
      <c r="E31" s="23" t="str">
        <f t="shared" si="1"/>
        <v>-</v>
      </c>
      <c r="F31" s="22">
        <v>0</v>
      </c>
      <c r="G31" s="22">
        <v>0</v>
      </c>
      <c r="H31" s="23" t="str">
        <f t="shared" si="2"/>
        <v>-</v>
      </c>
      <c r="I31" s="22">
        <v>0</v>
      </c>
      <c r="J31" s="22">
        <v>0</v>
      </c>
      <c r="K31" s="23" t="str">
        <f t="shared" si="3"/>
        <v>-</v>
      </c>
      <c r="L31" s="22">
        <v>0</v>
      </c>
      <c r="M31" s="22">
        <v>0</v>
      </c>
      <c r="N31" s="23" t="str">
        <f t="shared" si="4"/>
        <v>-</v>
      </c>
      <c r="O31" s="22">
        <f t="shared" si="5"/>
        <v>0</v>
      </c>
      <c r="P31" s="22">
        <f t="shared" si="5"/>
        <v>0</v>
      </c>
      <c r="R31" s="22">
        <v>0</v>
      </c>
      <c r="S31" s="22">
        <v>0</v>
      </c>
      <c r="T31" s="23" t="str">
        <f t="shared" si="6"/>
        <v>-</v>
      </c>
      <c r="U31" s="22">
        <v>0</v>
      </c>
      <c r="V31" s="22">
        <v>0</v>
      </c>
      <c r="W31" s="23" t="str">
        <f t="shared" si="7"/>
        <v>-</v>
      </c>
      <c r="X31" s="22">
        <v>0</v>
      </c>
      <c r="Y31" s="22">
        <v>0</v>
      </c>
      <c r="Z31" s="23" t="str">
        <f t="shared" si="8"/>
        <v>-</v>
      </c>
      <c r="AA31" s="22">
        <v>0</v>
      </c>
      <c r="AB31" s="22">
        <v>0</v>
      </c>
      <c r="AC31" s="23" t="str">
        <f t="shared" si="9"/>
        <v>-</v>
      </c>
      <c r="AD31" s="22">
        <f t="shared" si="10"/>
        <v>0</v>
      </c>
      <c r="AE31" s="22">
        <f t="shared" si="10"/>
        <v>0</v>
      </c>
    </row>
    <row r="32" spans="2:31" ht="15" x14ac:dyDescent="0.25">
      <c r="B32" s="21">
        <f t="shared" si="0"/>
        <v>45863</v>
      </c>
      <c r="C32" s="22">
        <v>0</v>
      </c>
      <c r="D32" s="22">
        <v>0</v>
      </c>
      <c r="E32" s="23" t="str">
        <f t="shared" si="1"/>
        <v>-</v>
      </c>
      <c r="F32" s="22">
        <v>0</v>
      </c>
      <c r="G32" s="22">
        <v>0</v>
      </c>
      <c r="H32" s="23" t="str">
        <f t="shared" si="2"/>
        <v>-</v>
      </c>
      <c r="I32" s="22">
        <v>0</v>
      </c>
      <c r="J32" s="22">
        <v>0</v>
      </c>
      <c r="K32" s="23" t="str">
        <f t="shared" si="3"/>
        <v>-</v>
      </c>
      <c r="L32" s="22">
        <v>0</v>
      </c>
      <c r="M32" s="22">
        <v>0</v>
      </c>
      <c r="N32" s="23" t="str">
        <f t="shared" si="4"/>
        <v>-</v>
      </c>
      <c r="O32" s="22">
        <f t="shared" si="5"/>
        <v>0</v>
      </c>
      <c r="P32" s="22">
        <f t="shared" si="5"/>
        <v>0</v>
      </c>
      <c r="R32" s="22">
        <v>0</v>
      </c>
      <c r="S32" s="22">
        <v>0</v>
      </c>
      <c r="T32" s="23" t="str">
        <f t="shared" si="6"/>
        <v>-</v>
      </c>
      <c r="U32" s="22">
        <v>0</v>
      </c>
      <c r="V32" s="22">
        <v>0</v>
      </c>
      <c r="W32" s="23" t="str">
        <f t="shared" si="7"/>
        <v>-</v>
      </c>
      <c r="X32" s="22">
        <v>0</v>
      </c>
      <c r="Y32" s="22">
        <v>0</v>
      </c>
      <c r="Z32" s="23" t="str">
        <f t="shared" si="8"/>
        <v>-</v>
      </c>
      <c r="AA32" s="22">
        <v>0</v>
      </c>
      <c r="AB32" s="22">
        <v>0</v>
      </c>
      <c r="AC32" s="23" t="str">
        <f t="shared" si="9"/>
        <v>-</v>
      </c>
      <c r="AD32" s="22">
        <f t="shared" si="10"/>
        <v>0</v>
      </c>
      <c r="AE32" s="22">
        <f t="shared" si="10"/>
        <v>0</v>
      </c>
    </row>
    <row r="33" spans="1:31" ht="15" x14ac:dyDescent="0.25">
      <c r="B33" s="21">
        <f t="shared" si="0"/>
        <v>45864</v>
      </c>
      <c r="C33" s="22">
        <v>0</v>
      </c>
      <c r="D33" s="22">
        <v>0</v>
      </c>
      <c r="E33" s="23" t="str">
        <f t="shared" si="1"/>
        <v>-</v>
      </c>
      <c r="F33" s="22">
        <v>0</v>
      </c>
      <c r="G33" s="22">
        <v>0</v>
      </c>
      <c r="H33" s="23" t="str">
        <f t="shared" si="2"/>
        <v>-</v>
      </c>
      <c r="I33" s="22">
        <v>0</v>
      </c>
      <c r="J33" s="22">
        <v>0</v>
      </c>
      <c r="K33" s="23" t="str">
        <f t="shared" si="3"/>
        <v>-</v>
      </c>
      <c r="L33" s="22">
        <v>0</v>
      </c>
      <c r="M33" s="22">
        <v>0</v>
      </c>
      <c r="N33" s="23" t="str">
        <f t="shared" si="4"/>
        <v>-</v>
      </c>
      <c r="O33" s="22">
        <f t="shared" si="5"/>
        <v>0</v>
      </c>
      <c r="P33" s="22">
        <f t="shared" si="5"/>
        <v>0</v>
      </c>
      <c r="R33" s="22">
        <v>0</v>
      </c>
      <c r="S33" s="22">
        <v>0</v>
      </c>
      <c r="T33" s="23" t="str">
        <f t="shared" si="6"/>
        <v>-</v>
      </c>
      <c r="U33" s="22">
        <v>0</v>
      </c>
      <c r="V33" s="22">
        <v>0</v>
      </c>
      <c r="W33" s="23" t="str">
        <f t="shared" si="7"/>
        <v>-</v>
      </c>
      <c r="X33" s="22">
        <v>0</v>
      </c>
      <c r="Y33" s="22">
        <v>0</v>
      </c>
      <c r="Z33" s="23" t="str">
        <f t="shared" si="8"/>
        <v>-</v>
      </c>
      <c r="AA33" s="22">
        <v>0</v>
      </c>
      <c r="AB33" s="22">
        <v>0</v>
      </c>
      <c r="AC33" s="23" t="str">
        <f t="shared" si="9"/>
        <v>-</v>
      </c>
      <c r="AD33" s="22">
        <f t="shared" si="10"/>
        <v>0</v>
      </c>
      <c r="AE33" s="22">
        <f t="shared" si="10"/>
        <v>0</v>
      </c>
    </row>
    <row r="34" spans="1:31" ht="15" x14ac:dyDescent="0.25">
      <c r="B34" s="21">
        <f t="shared" si="0"/>
        <v>45865</v>
      </c>
      <c r="C34" s="22">
        <v>0</v>
      </c>
      <c r="D34" s="22">
        <v>0</v>
      </c>
      <c r="E34" s="23" t="str">
        <f t="shared" si="1"/>
        <v>-</v>
      </c>
      <c r="F34" s="22">
        <v>0</v>
      </c>
      <c r="G34" s="22">
        <v>0</v>
      </c>
      <c r="H34" s="23" t="str">
        <f t="shared" si="2"/>
        <v>-</v>
      </c>
      <c r="I34" s="22">
        <v>0</v>
      </c>
      <c r="J34" s="22">
        <v>0</v>
      </c>
      <c r="K34" s="23" t="str">
        <f t="shared" si="3"/>
        <v>-</v>
      </c>
      <c r="L34" s="22">
        <v>0</v>
      </c>
      <c r="M34" s="22">
        <v>0</v>
      </c>
      <c r="N34" s="23" t="str">
        <f t="shared" si="4"/>
        <v>-</v>
      </c>
      <c r="O34" s="22">
        <f t="shared" si="5"/>
        <v>0</v>
      </c>
      <c r="P34" s="22">
        <f t="shared" si="5"/>
        <v>0</v>
      </c>
      <c r="R34" s="22">
        <v>0</v>
      </c>
      <c r="S34" s="22">
        <v>0</v>
      </c>
      <c r="T34" s="23" t="str">
        <f t="shared" si="6"/>
        <v>-</v>
      </c>
      <c r="U34" s="22">
        <v>0</v>
      </c>
      <c r="V34" s="22">
        <v>0</v>
      </c>
      <c r="W34" s="23" t="str">
        <f t="shared" si="7"/>
        <v>-</v>
      </c>
      <c r="X34" s="22">
        <v>0</v>
      </c>
      <c r="Y34" s="22">
        <v>0</v>
      </c>
      <c r="Z34" s="23" t="str">
        <f t="shared" si="8"/>
        <v>-</v>
      </c>
      <c r="AA34" s="22">
        <v>0</v>
      </c>
      <c r="AB34" s="22">
        <v>0</v>
      </c>
      <c r="AC34" s="23" t="str">
        <f t="shared" si="9"/>
        <v>-</v>
      </c>
      <c r="AD34" s="22">
        <f t="shared" si="10"/>
        <v>0</v>
      </c>
      <c r="AE34" s="22">
        <f t="shared" si="10"/>
        <v>0</v>
      </c>
    </row>
    <row r="35" spans="1:31" ht="15" x14ac:dyDescent="0.25">
      <c r="B35" s="21">
        <f t="shared" si="0"/>
        <v>45866</v>
      </c>
      <c r="C35" s="22">
        <v>0</v>
      </c>
      <c r="D35" s="22">
        <v>0</v>
      </c>
      <c r="E35" s="23" t="str">
        <f t="shared" si="1"/>
        <v>-</v>
      </c>
      <c r="F35" s="22">
        <v>0</v>
      </c>
      <c r="G35" s="22">
        <v>0</v>
      </c>
      <c r="H35" s="23" t="str">
        <f t="shared" si="2"/>
        <v>-</v>
      </c>
      <c r="I35" s="22">
        <v>0</v>
      </c>
      <c r="J35" s="22">
        <v>0</v>
      </c>
      <c r="K35" s="23" t="str">
        <f t="shared" si="3"/>
        <v>-</v>
      </c>
      <c r="L35" s="22">
        <v>0</v>
      </c>
      <c r="M35" s="22">
        <v>0</v>
      </c>
      <c r="N35" s="23" t="str">
        <f t="shared" si="4"/>
        <v>-</v>
      </c>
      <c r="O35" s="22">
        <f t="shared" si="5"/>
        <v>0</v>
      </c>
      <c r="P35" s="22">
        <f t="shared" si="5"/>
        <v>0</v>
      </c>
      <c r="R35" s="22">
        <v>0</v>
      </c>
      <c r="S35" s="22">
        <v>0</v>
      </c>
      <c r="T35" s="23" t="str">
        <f t="shared" si="6"/>
        <v>-</v>
      </c>
      <c r="U35" s="22">
        <v>0</v>
      </c>
      <c r="V35" s="22">
        <v>0</v>
      </c>
      <c r="W35" s="23" t="str">
        <f t="shared" si="7"/>
        <v>-</v>
      </c>
      <c r="X35" s="22">
        <v>0</v>
      </c>
      <c r="Y35" s="22">
        <v>0</v>
      </c>
      <c r="Z35" s="23" t="str">
        <f t="shared" si="8"/>
        <v>-</v>
      </c>
      <c r="AA35" s="22">
        <v>0</v>
      </c>
      <c r="AB35" s="22">
        <v>0</v>
      </c>
      <c r="AC35" s="23" t="str">
        <f t="shared" si="9"/>
        <v>-</v>
      </c>
      <c r="AD35" s="22">
        <f t="shared" si="10"/>
        <v>0</v>
      </c>
      <c r="AE35" s="22">
        <f t="shared" si="10"/>
        <v>0</v>
      </c>
    </row>
    <row r="36" spans="1:31" ht="15" x14ac:dyDescent="0.25">
      <c r="B36" s="21">
        <f t="shared" si="0"/>
        <v>45867</v>
      </c>
      <c r="C36" s="22">
        <v>0</v>
      </c>
      <c r="D36" s="22">
        <v>0</v>
      </c>
      <c r="E36" s="23" t="str">
        <f t="shared" si="1"/>
        <v>-</v>
      </c>
      <c r="F36" s="22">
        <v>0</v>
      </c>
      <c r="G36" s="22">
        <v>0</v>
      </c>
      <c r="H36" s="23" t="str">
        <f t="shared" si="2"/>
        <v>-</v>
      </c>
      <c r="I36" s="22">
        <v>0</v>
      </c>
      <c r="J36" s="22">
        <v>0</v>
      </c>
      <c r="K36" s="23" t="str">
        <f t="shared" si="3"/>
        <v>-</v>
      </c>
      <c r="L36" s="22">
        <v>0</v>
      </c>
      <c r="M36" s="22">
        <v>0</v>
      </c>
      <c r="N36" s="23" t="str">
        <f t="shared" si="4"/>
        <v>-</v>
      </c>
      <c r="O36" s="22">
        <f t="shared" si="5"/>
        <v>0</v>
      </c>
      <c r="P36" s="22">
        <f t="shared" si="5"/>
        <v>0</v>
      </c>
      <c r="R36" s="22">
        <v>0</v>
      </c>
      <c r="S36" s="22">
        <v>0</v>
      </c>
      <c r="T36" s="23" t="str">
        <f t="shared" si="6"/>
        <v>-</v>
      </c>
      <c r="U36" s="22">
        <v>0</v>
      </c>
      <c r="V36" s="22">
        <v>0</v>
      </c>
      <c r="W36" s="23" t="str">
        <f t="shared" si="7"/>
        <v>-</v>
      </c>
      <c r="X36" s="22">
        <v>0</v>
      </c>
      <c r="Y36" s="22">
        <v>0</v>
      </c>
      <c r="Z36" s="23" t="str">
        <f t="shared" si="8"/>
        <v>-</v>
      </c>
      <c r="AA36" s="22">
        <v>0</v>
      </c>
      <c r="AB36" s="22">
        <v>0</v>
      </c>
      <c r="AC36" s="23" t="str">
        <f t="shared" si="9"/>
        <v>-</v>
      </c>
      <c r="AD36" s="22">
        <f t="shared" si="10"/>
        <v>0</v>
      </c>
      <c r="AE36" s="22">
        <f t="shared" si="10"/>
        <v>0</v>
      </c>
    </row>
    <row r="37" spans="1:31" ht="15" x14ac:dyDescent="0.25">
      <c r="B37" s="21">
        <f t="shared" si="0"/>
        <v>45868</v>
      </c>
      <c r="C37" s="22">
        <v>0</v>
      </c>
      <c r="D37" s="22">
        <v>0</v>
      </c>
      <c r="E37" s="23" t="str">
        <f t="shared" si="1"/>
        <v>-</v>
      </c>
      <c r="F37" s="22">
        <v>0</v>
      </c>
      <c r="G37" s="22">
        <v>0</v>
      </c>
      <c r="H37" s="23" t="str">
        <f t="shared" si="2"/>
        <v>-</v>
      </c>
      <c r="I37" s="22">
        <v>0</v>
      </c>
      <c r="J37" s="22">
        <v>0</v>
      </c>
      <c r="K37" s="23" t="str">
        <f t="shared" si="3"/>
        <v>-</v>
      </c>
      <c r="L37" s="22">
        <v>0</v>
      </c>
      <c r="M37" s="22">
        <v>0</v>
      </c>
      <c r="N37" s="23" t="str">
        <f t="shared" si="4"/>
        <v>-</v>
      </c>
      <c r="O37" s="22">
        <f t="shared" si="5"/>
        <v>0</v>
      </c>
      <c r="P37" s="22">
        <f t="shared" si="5"/>
        <v>0</v>
      </c>
      <c r="R37" s="22">
        <v>0</v>
      </c>
      <c r="S37" s="22">
        <v>0</v>
      </c>
      <c r="T37" s="23" t="str">
        <f t="shared" si="6"/>
        <v>-</v>
      </c>
      <c r="U37" s="22">
        <v>0</v>
      </c>
      <c r="V37" s="22">
        <v>0</v>
      </c>
      <c r="W37" s="23" t="str">
        <f t="shared" si="7"/>
        <v>-</v>
      </c>
      <c r="X37" s="22">
        <v>0</v>
      </c>
      <c r="Y37" s="22">
        <v>0</v>
      </c>
      <c r="Z37" s="23" t="str">
        <f t="shared" si="8"/>
        <v>-</v>
      </c>
      <c r="AA37" s="22">
        <v>0</v>
      </c>
      <c r="AB37" s="22">
        <v>0</v>
      </c>
      <c r="AC37" s="23" t="str">
        <f t="shared" si="9"/>
        <v>-</v>
      </c>
      <c r="AD37" s="22">
        <f t="shared" si="10"/>
        <v>0</v>
      </c>
      <c r="AE37" s="22">
        <f t="shared" si="10"/>
        <v>0</v>
      </c>
    </row>
    <row r="38" spans="1:31" ht="15" x14ac:dyDescent="0.25">
      <c r="B38" s="21">
        <f t="shared" si="0"/>
        <v>45869</v>
      </c>
      <c r="C38" s="22">
        <v>0</v>
      </c>
      <c r="D38" s="22">
        <v>0</v>
      </c>
      <c r="E38" s="23" t="str">
        <f t="shared" si="1"/>
        <v>-</v>
      </c>
      <c r="F38" s="22">
        <v>0</v>
      </c>
      <c r="G38" s="22">
        <v>0</v>
      </c>
      <c r="H38" s="23" t="str">
        <f t="shared" si="2"/>
        <v>-</v>
      </c>
      <c r="I38" s="22">
        <v>0</v>
      </c>
      <c r="J38" s="22">
        <v>0</v>
      </c>
      <c r="K38" s="23" t="str">
        <f t="shared" si="3"/>
        <v>-</v>
      </c>
      <c r="L38" s="22">
        <v>0</v>
      </c>
      <c r="M38" s="22">
        <v>0</v>
      </c>
      <c r="N38" s="23" t="str">
        <f t="shared" si="4"/>
        <v>-</v>
      </c>
      <c r="O38" s="22">
        <f t="shared" si="5"/>
        <v>0</v>
      </c>
      <c r="P38" s="22">
        <f t="shared" si="5"/>
        <v>0</v>
      </c>
      <c r="R38" s="22">
        <v>0</v>
      </c>
      <c r="S38" s="22">
        <v>0</v>
      </c>
      <c r="T38" s="23" t="str">
        <f t="shared" si="6"/>
        <v>-</v>
      </c>
      <c r="U38" s="22">
        <v>0</v>
      </c>
      <c r="V38" s="22">
        <v>0</v>
      </c>
      <c r="W38" s="23" t="str">
        <f t="shared" si="7"/>
        <v>-</v>
      </c>
      <c r="X38" s="22">
        <v>0</v>
      </c>
      <c r="Y38" s="22">
        <v>0</v>
      </c>
      <c r="Z38" s="23" t="str">
        <f t="shared" si="8"/>
        <v>-</v>
      </c>
      <c r="AA38" s="22">
        <v>0</v>
      </c>
      <c r="AB38" s="22">
        <v>0</v>
      </c>
      <c r="AC38" s="23" t="str">
        <f t="shared" si="9"/>
        <v>-</v>
      </c>
      <c r="AD38" s="22">
        <f t="shared" si="10"/>
        <v>0</v>
      </c>
      <c r="AE38" s="22">
        <f t="shared" si="10"/>
        <v>0</v>
      </c>
    </row>
    <row r="39" spans="1:31" s="14" customFormat="1" x14ac:dyDescent="0.25">
      <c r="B39" s="24" t="s">
        <v>14</v>
      </c>
      <c r="C39" s="26">
        <f>SUM(C8:C38)</f>
        <v>0</v>
      </c>
      <c r="D39" s="26">
        <f>SUM(D8:D38)</f>
        <v>0</v>
      </c>
      <c r="E39" s="26" t="e">
        <f>D39/C39</f>
        <v>#DIV/0!</v>
      </c>
      <c r="F39" s="26">
        <f>SUM(F8:F38)</f>
        <v>0</v>
      </c>
      <c r="G39" s="26">
        <f>SUM(G8:G38)</f>
        <v>0</v>
      </c>
      <c r="H39" s="26" t="e">
        <f>G39/F39</f>
        <v>#DIV/0!</v>
      </c>
      <c r="I39" s="26">
        <f>SUM(I8:I38)</f>
        <v>0</v>
      </c>
      <c r="J39" s="26">
        <f>SUM(J8:J38)</f>
        <v>0</v>
      </c>
      <c r="K39" s="26" t="e">
        <f>J39/I39</f>
        <v>#DIV/0!</v>
      </c>
      <c r="L39" s="26">
        <f>SUM(L8:L38)</f>
        <v>0</v>
      </c>
      <c r="M39" s="26">
        <f>SUM(M8:M38)</f>
        <v>0</v>
      </c>
      <c r="N39" s="26" t="e">
        <f>M39/L39</f>
        <v>#DIV/0!</v>
      </c>
      <c r="O39" s="26">
        <f>SUM(O8:O38)</f>
        <v>0</v>
      </c>
      <c r="P39" s="26">
        <f>SUM(P8:P38)</f>
        <v>0</v>
      </c>
      <c r="Q39" s="6"/>
      <c r="R39" s="26">
        <f>SUM(R8:R38)</f>
        <v>0</v>
      </c>
      <c r="S39" s="26">
        <f>SUM(S8:S38)</f>
        <v>0</v>
      </c>
      <c r="T39" s="26" t="e">
        <f>S39/R39</f>
        <v>#DIV/0!</v>
      </c>
      <c r="U39" s="26">
        <f>SUM(U8:U38)</f>
        <v>0</v>
      </c>
      <c r="V39" s="26">
        <f>SUM(V8:V38)</f>
        <v>0</v>
      </c>
      <c r="W39" s="26" t="e">
        <f>V39/U39</f>
        <v>#DIV/0!</v>
      </c>
      <c r="X39" s="26">
        <f>SUM(X8:X38)</f>
        <v>0</v>
      </c>
      <c r="Y39" s="26">
        <f>SUM(Y8:Y38)</f>
        <v>0</v>
      </c>
      <c r="Z39" s="28" t="e">
        <f>Y39/X39</f>
        <v>#DIV/0!</v>
      </c>
      <c r="AA39" s="26">
        <f>SUM(AA8:AA38)</f>
        <v>0</v>
      </c>
      <c r="AB39" s="26">
        <f>SUM(AB8:AB38)</f>
        <v>0</v>
      </c>
      <c r="AC39" s="28" t="e">
        <f>AB39/AA39</f>
        <v>#DIV/0!</v>
      </c>
      <c r="AD39" s="26">
        <f>SUM(AD8:AD38)</f>
        <v>0</v>
      </c>
      <c r="AE39" s="26">
        <f>SUM(AE8:AE38)</f>
        <v>0</v>
      </c>
    </row>
    <row r="40" spans="1:31" s="14" customFormat="1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</row>
    <row r="41" spans="1:31" s="14" customFormat="1" x14ac:dyDescent="0.25">
      <c r="B41" s="27">
        <f>DATE(YEAR(B4),MONTH(B4),10)</f>
        <v>45848</v>
      </c>
      <c r="C41" s="10">
        <f>SUM(C$8:C$17)</f>
        <v>0</v>
      </c>
      <c r="D41" s="10">
        <f>SUM(D$8:D$17)</f>
        <v>0</v>
      </c>
      <c r="E41" s="10" t="e">
        <f>D41/C41</f>
        <v>#DIV/0!</v>
      </c>
      <c r="F41" s="10">
        <f>SUM(F$8:F$17)</f>
        <v>0</v>
      </c>
      <c r="G41" s="10">
        <f>SUM(G$8:G$17)</f>
        <v>0</v>
      </c>
      <c r="H41" s="10" t="e">
        <f>G41/F41</f>
        <v>#DIV/0!</v>
      </c>
      <c r="I41" s="10">
        <f>SUM(I$8:I$17)</f>
        <v>0</v>
      </c>
      <c r="J41" s="10">
        <f>SUM(J$8:J$17)</f>
        <v>0</v>
      </c>
      <c r="K41" s="10" t="e">
        <f>J41/I41</f>
        <v>#DIV/0!</v>
      </c>
      <c r="L41" s="10">
        <f>SUM(L$8:L$17)</f>
        <v>0</v>
      </c>
      <c r="M41" s="10">
        <f>SUM(M$8:M$17)</f>
        <v>0</v>
      </c>
      <c r="N41" s="10" t="e">
        <f>M41/L41</f>
        <v>#DIV/0!</v>
      </c>
      <c r="O41" s="10">
        <f>SUM(O$8:O$17)</f>
        <v>0</v>
      </c>
      <c r="P41" s="10">
        <f>SUM(P$8:P$17)</f>
        <v>0</v>
      </c>
      <c r="R41" s="10">
        <f>SUM(R$8:R$17)</f>
        <v>0</v>
      </c>
      <c r="S41" s="10">
        <f>SUM(S$8:S$17)</f>
        <v>0</v>
      </c>
      <c r="T41" s="10" t="e">
        <f>S41/R41</f>
        <v>#DIV/0!</v>
      </c>
      <c r="U41" s="10">
        <f>SUM(U$8:U$17)</f>
        <v>0</v>
      </c>
      <c r="V41" s="10">
        <f>SUM(V$8:V$17)</f>
        <v>0</v>
      </c>
      <c r="W41" s="10" t="e">
        <f>V41/U41</f>
        <v>#DIV/0!</v>
      </c>
      <c r="X41" s="10">
        <f>SUM(X$8:X$17)</f>
        <v>0</v>
      </c>
      <c r="Y41" s="10">
        <f>SUM(Y$8:Y$17)</f>
        <v>0</v>
      </c>
      <c r="Z41" s="10" t="e">
        <f>Y41/X41</f>
        <v>#DIV/0!</v>
      </c>
      <c r="AA41" s="10">
        <f>SUM(AA$8:AA$17)</f>
        <v>0</v>
      </c>
      <c r="AB41" s="10">
        <f>SUM(AB$8:AB$17)</f>
        <v>0</v>
      </c>
      <c r="AC41" s="10" t="e">
        <f>AB41/AA41</f>
        <v>#DIV/0!</v>
      </c>
      <c r="AD41" s="10">
        <f>SUM(AD$8:AD$17)</f>
        <v>0</v>
      </c>
      <c r="AE41" s="10">
        <f>SUM(AE$8:AE$17)</f>
        <v>0</v>
      </c>
    </row>
    <row r="42" spans="1:31" s="14" customFormat="1" x14ac:dyDescent="0.25">
      <c r="B42" s="27">
        <f>DATE(YEAR(B4),MONTH(B4),20)</f>
        <v>45858</v>
      </c>
      <c r="C42" s="10">
        <f>SUM(C$18:C$27)</f>
        <v>0</v>
      </c>
      <c r="D42" s="10">
        <f>SUM(D$18:D$27)</f>
        <v>0</v>
      </c>
      <c r="E42" s="10" t="e">
        <f t="shared" ref="E42:E43" si="11">D42/C42</f>
        <v>#DIV/0!</v>
      </c>
      <c r="F42" s="10">
        <f>SUM(F$18:F$27)</f>
        <v>0</v>
      </c>
      <c r="G42" s="10">
        <f>SUM(G$18:G$27)</f>
        <v>0</v>
      </c>
      <c r="H42" s="10" t="e">
        <f t="shared" ref="H42:H43" si="12">G42/F42</f>
        <v>#DIV/0!</v>
      </c>
      <c r="I42" s="10">
        <f>SUM(I$18:I$27)</f>
        <v>0</v>
      </c>
      <c r="J42" s="10">
        <f>SUM(J$18:J$27)</f>
        <v>0</v>
      </c>
      <c r="K42" s="10" t="e">
        <f t="shared" ref="K42:K43" si="13">J42/I42</f>
        <v>#DIV/0!</v>
      </c>
      <c r="L42" s="10">
        <f>SUM(L$18:L$27)</f>
        <v>0</v>
      </c>
      <c r="M42" s="10">
        <f>SUM(M$18:M$27)</f>
        <v>0</v>
      </c>
      <c r="N42" s="10" t="e">
        <f t="shared" ref="N42:N43" si="14">M42/L42</f>
        <v>#DIV/0!</v>
      </c>
      <c r="O42" s="10">
        <f>SUM(O$18:O$27)</f>
        <v>0</v>
      </c>
      <c r="P42" s="10">
        <f>SUM(P$18:P$27)</f>
        <v>0</v>
      </c>
      <c r="R42" s="10">
        <f>SUM(R$18:R$27)</f>
        <v>0</v>
      </c>
      <c r="S42" s="10">
        <f>SUM(S$18:S$27)</f>
        <v>0</v>
      </c>
      <c r="T42" s="10" t="e">
        <f t="shared" ref="T42:T43" si="15">S42/R42</f>
        <v>#DIV/0!</v>
      </c>
      <c r="U42" s="10">
        <f>SUM(U$18:U$27)</f>
        <v>0</v>
      </c>
      <c r="V42" s="10">
        <f>SUM(V$18:V$27)</f>
        <v>0</v>
      </c>
      <c r="W42" s="10" t="e">
        <f t="shared" ref="W42:W43" si="16">V42/U42</f>
        <v>#DIV/0!</v>
      </c>
      <c r="X42" s="10">
        <f>SUM(X$18:X$27)</f>
        <v>0</v>
      </c>
      <c r="Y42" s="10">
        <f>SUM(Y$18:Y$27)</f>
        <v>0</v>
      </c>
      <c r="Z42" s="10" t="e">
        <f t="shared" ref="Z42:Z43" si="17">Y42/X42</f>
        <v>#DIV/0!</v>
      </c>
      <c r="AA42" s="10">
        <f>SUM(AA$18:AA$27)</f>
        <v>0</v>
      </c>
      <c r="AB42" s="10">
        <f>SUM(AB$18:AB$27)</f>
        <v>0</v>
      </c>
      <c r="AC42" s="10" t="e">
        <f t="shared" ref="AC42:AC43" si="18">AB42/AA42</f>
        <v>#DIV/0!</v>
      </c>
      <c r="AD42" s="10">
        <f>SUM(AD$18:AD$27)</f>
        <v>0</v>
      </c>
      <c r="AE42" s="10">
        <f>SUM(AE$18:AE$27)</f>
        <v>0</v>
      </c>
    </row>
    <row r="43" spans="1:31" s="14" customFormat="1" x14ac:dyDescent="0.25">
      <c r="B43" s="27">
        <f>EOMONTH(B4,0)</f>
        <v>45869</v>
      </c>
      <c r="C43" s="10">
        <f>SUM(C$28:C$38)</f>
        <v>0</v>
      </c>
      <c r="D43" s="10">
        <f>SUM(D$28:D$38)</f>
        <v>0</v>
      </c>
      <c r="E43" s="10" t="e">
        <f t="shared" si="11"/>
        <v>#DIV/0!</v>
      </c>
      <c r="F43" s="10">
        <f>SUM(F$28:F$38)</f>
        <v>0</v>
      </c>
      <c r="G43" s="10">
        <f>SUM(G$28:G$38)</f>
        <v>0</v>
      </c>
      <c r="H43" s="10" t="e">
        <f t="shared" si="12"/>
        <v>#DIV/0!</v>
      </c>
      <c r="I43" s="10">
        <f>SUM(I$28:I$38)</f>
        <v>0</v>
      </c>
      <c r="J43" s="10">
        <f>SUM(J$28:J$38)</f>
        <v>0</v>
      </c>
      <c r="K43" s="10" t="e">
        <f t="shared" si="13"/>
        <v>#DIV/0!</v>
      </c>
      <c r="L43" s="10">
        <f>SUM(L$28:L$38)</f>
        <v>0</v>
      </c>
      <c r="M43" s="10">
        <f>SUM(M$28:M$38)</f>
        <v>0</v>
      </c>
      <c r="N43" s="10" t="e">
        <f t="shared" si="14"/>
        <v>#DIV/0!</v>
      </c>
      <c r="O43" s="10">
        <f>SUM(O$28:O$38)</f>
        <v>0</v>
      </c>
      <c r="P43" s="10">
        <f>SUM(P$28:P$38)</f>
        <v>0</v>
      </c>
      <c r="R43" s="10">
        <f>SUM(R$28:R$38)</f>
        <v>0</v>
      </c>
      <c r="S43" s="10">
        <f>SUM(S$28:S$38)</f>
        <v>0</v>
      </c>
      <c r="T43" s="10" t="e">
        <f t="shared" si="15"/>
        <v>#DIV/0!</v>
      </c>
      <c r="U43" s="10">
        <f>SUM(U$28:U$38)</f>
        <v>0</v>
      </c>
      <c r="V43" s="10">
        <f>SUM(V$28:V$38)</f>
        <v>0</v>
      </c>
      <c r="W43" s="10" t="e">
        <f t="shared" si="16"/>
        <v>#DIV/0!</v>
      </c>
      <c r="X43" s="10">
        <f>SUM(X$28:X$38)</f>
        <v>0</v>
      </c>
      <c r="Y43" s="10">
        <f>SUM(Y$28:Y$38)</f>
        <v>0</v>
      </c>
      <c r="Z43" s="10" t="e">
        <f t="shared" si="17"/>
        <v>#DIV/0!</v>
      </c>
      <c r="AA43" s="10">
        <f>SUM(AA$28:AA$38)</f>
        <v>0</v>
      </c>
      <c r="AB43" s="10">
        <f>SUM(AB$28:AB$38)</f>
        <v>0</v>
      </c>
      <c r="AC43" s="10" t="e">
        <f t="shared" si="18"/>
        <v>#DIV/0!</v>
      </c>
      <c r="AD43" s="10">
        <f>SUM(AD$28:AD$38)</f>
        <v>0</v>
      </c>
      <c r="AE43" s="10">
        <f>SUM(AE$28:AE$38)</f>
        <v>0</v>
      </c>
    </row>
    <row r="44" spans="1:31" s="14" customFormat="1" x14ac:dyDescent="0.25">
      <c r="A44" s="14" t="s">
        <v>0</v>
      </c>
      <c r="B44" s="24" t="s">
        <v>14</v>
      </c>
      <c r="C44" s="26">
        <f>SUM(C41:C43)</f>
        <v>0</v>
      </c>
      <c r="D44" s="26">
        <f>SUM(D41:D43)</f>
        <v>0</v>
      </c>
      <c r="E44" s="26"/>
      <c r="F44" s="26">
        <f>SUM(F41:F43)</f>
        <v>0</v>
      </c>
      <c r="G44" s="26">
        <f>SUM(G41:G43)</f>
        <v>0</v>
      </c>
      <c r="H44" s="26"/>
      <c r="I44" s="26">
        <f>SUM(I41:I43)</f>
        <v>0</v>
      </c>
      <c r="J44" s="26">
        <f>SUM(J41:J43)</f>
        <v>0</v>
      </c>
      <c r="K44" s="26"/>
      <c r="L44" s="26">
        <f>SUM(L41:L43)</f>
        <v>0</v>
      </c>
      <c r="M44" s="26">
        <f>SUM(M41:M43)</f>
        <v>0</v>
      </c>
      <c r="N44" s="26"/>
      <c r="O44" s="26">
        <f>SUM(O41:O43)</f>
        <v>0</v>
      </c>
      <c r="P44" s="26">
        <f>SUM(P41:P43)</f>
        <v>0</v>
      </c>
      <c r="R44" s="26">
        <f>SUM(R41:R43)</f>
        <v>0</v>
      </c>
      <c r="S44" s="26">
        <f>SUM(S41:S43)</f>
        <v>0</v>
      </c>
      <c r="T44" s="26"/>
      <c r="U44" s="26">
        <f>SUM(U41:U43)</f>
        <v>0</v>
      </c>
      <c r="V44" s="26">
        <f>SUM(V41:V43)</f>
        <v>0</v>
      </c>
      <c r="W44" s="26"/>
      <c r="X44" s="26">
        <f>SUM(X41:X43)</f>
        <v>0</v>
      </c>
      <c r="Y44" s="26">
        <f>SUM(Y41:Y43)</f>
        <v>0</v>
      </c>
      <c r="Z44" s="26"/>
      <c r="AA44" s="26">
        <f>SUM(AA41:AA43)</f>
        <v>0</v>
      </c>
      <c r="AB44" s="26">
        <f>SUM(AB41:AB43)</f>
        <v>0</v>
      </c>
      <c r="AC44" s="26"/>
      <c r="AD44" s="26">
        <f>SUM(AD41:AD43)</f>
        <v>0</v>
      </c>
      <c r="AE44" s="26">
        <f>SUM(AE41:AE43)</f>
        <v>0</v>
      </c>
    </row>
    <row r="45" spans="1:31" s="14" customFormat="1" x14ac:dyDescent="0.25"/>
    <row r="46" spans="1:31" x14ac:dyDescent="0.25">
      <c r="C46" s="7"/>
      <c r="E46" s="7"/>
      <c r="G46" s="7"/>
      <c r="I46" s="7"/>
    </row>
    <row r="47" spans="1:31" ht="15" x14ac:dyDescent="0.25">
      <c r="A47" s="16" t="s">
        <v>15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</row>
    <row r="48" spans="1:31" ht="15" x14ac:dyDescent="0.25">
      <c r="A48" s="12" t="s">
        <v>16</v>
      </c>
      <c r="B48" s="17"/>
      <c r="C48" s="17"/>
      <c r="D48" s="17"/>
      <c r="E48" s="17"/>
      <c r="F48" s="17"/>
      <c r="G48" s="17"/>
      <c r="H48" s="17"/>
      <c r="I48" s="17"/>
      <c r="J48" s="17"/>
      <c r="K48" s="17"/>
    </row>
    <row r="49" spans="2:11" ht="15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</row>
    <row r="50" spans="2:11" ht="15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</row>
    <row r="51" spans="2:11" ht="15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5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5" x14ac:dyDescent="0.25">
      <c r="B53" s="17"/>
      <c r="C53" s="17"/>
      <c r="D53" s="17"/>
      <c r="E53" s="17"/>
      <c r="F53" s="17"/>
      <c r="G53" s="17"/>
      <c r="H53" s="17"/>
      <c r="I53" s="17"/>
      <c r="J53" s="17"/>
      <c r="K53" s="17"/>
    </row>
    <row r="54" spans="2:11" ht="15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</row>
    <row r="55" spans="2:11" ht="15" x14ac:dyDescent="0.25">
      <c r="B55" s="17"/>
      <c r="C55" s="17"/>
      <c r="D55" s="17"/>
      <c r="E55" s="17"/>
      <c r="F55" s="17"/>
      <c r="G55" s="17"/>
      <c r="H55" s="17"/>
      <c r="I55" s="17"/>
      <c r="J55" s="17"/>
      <c r="K55" s="17"/>
    </row>
    <row r="56" spans="2:11" ht="15" x14ac:dyDescent="0.25">
      <c r="B56" s="17"/>
      <c r="C56" s="17"/>
      <c r="D56" s="17"/>
      <c r="E56" s="17"/>
      <c r="F56" s="17"/>
      <c r="G56" s="17"/>
      <c r="H56" s="17"/>
      <c r="I56" s="17"/>
      <c r="J56" s="17"/>
      <c r="K56" s="17"/>
    </row>
    <row r="57" spans="2:11" ht="15" x14ac:dyDescent="0.25">
      <c r="B57" s="17"/>
      <c r="C57" s="17"/>
      <c r="D57" s="17"/>
      <c r="E57" s="17"/>
      <c r="F57" s="17"/>
      <c r="G57" s="17"/>
      <c r="H57" s="17"/>
      <c r="I57" s="17"/>
      <c r="J57" s="17"/>
      <c r="K57" s="17"/>
    </row>
    <row r="58" spans="2:11" ht="15" x14ac:dyDescent="0.25">
      <c r="B58" s="17"/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5" x14ac:dyDescent="0.25">
      <c r="B59" s="17"/>
      <c r="C59" s="17"/>
      <c r="D59" s="17"/>
      <c r="E59" s="17"/>
      <c r="F59" s="17"/>
      <c r="G59" s="17"/>
      <c r="H59" s="17"/>
      <c r="I59" s="17"/>
      <c r="J59" s="17"/>
      <c r="K59" s="17"/>
    </row>
    <row r="60" spans="2:11" ht="15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15" x14ac:dyDescent="0.25">
      <c r="B61" s="17"/>
      <c r="C61" s="17"/>
      <c r="D61" s="17"/>
      <c r="E61" s="17"/>
      <c r="F61" s="17"/>
      <c r="G61" s="17"/>
      <c r="H61" s="17"/>
      <c r="I61" s="17"/>
      <c r="J61" s="17"/>
      <c r="K61" s="17"/>
    </row>
    <row r="62" spans="2:11" ht="15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5" x14ac:dyDescent="0.25">
      <c r="B63" s="17"/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5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5" x14ac:dyDescent="0.25">
      <c r="B65" s="17"/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5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5" x14ac:dyDescent="0.25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1" ht="15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1" ht="15" x14ac:dyDescent="0.25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0" spans="2:11" ht="15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</row>
    <row r="71" spans="2:11" ht="15" x14ac:dyDescent="0.25">
      <c r="B71" s="17"/>
      <c r="C71" s="17"/>
      <c r="D71" s="17"/>
      <c r="E71" s="17"/>
      <c r="F71" s="17"/>
      <c r="G71" s="17"/>
      <c r="H71" s="17"/>
      <c r="I71" s="17"/>
      <c r="J71" s="17"/>
      <c r="K71" s="17"/>
    </row>
    <row r="72" spans="2:11" ht="15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</row>
    <row r="73" spans="2:11" ht="15" x14ac:dyDescent="0.25">
      <c r="B73" s="17"/>
      <c r="C73" s="17"/>
      <c r="D73" s="17"/>
      <c r="E73" s="17"/>
      <c r="F73" s="17"/>
      <c r="G73" s="17"/>
      <c r="H73" s="17"/>
      <c r="I73" s="17"/>
      <c r="J73" s="17"/>
      <c r="K73" s="17"/>
    </row>
    <row r="74" spans="2:11" ht="15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</row>
    <row r="75" spans="2:11" ht="15" x14ac:dyDescent="0.25">
      <c r="B75" s="17"/>
      <c r="C75" s="17"/>
      <c r="D75" s="17"/>
      <c r="E75" s="17"/>
      <c r="F75" s="17"/>
      <c r="G75" s="17"/>
      <c r="H75" s="17"/>
      <c r="I75" s="17"/>
      <c r="J75" s="17"/>
      <c r="K75" s="17"/>
    </row>
    <row r="76" spans="2:11" ht="15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</row>
    <row r="77" spans="2:11" ht="15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</row>
    <row r="78" spans="2:11" ht="15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</row>
    <row r="79" spans="2:11" ht="15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5F0A-D4BD-43B7-82C1-BB27E4383C05}">
  <sheetPr codeName="Sheet9">
    <tabColor theme="0" tint="-0.34998626667073579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885DB-E3C1-41C8-A90F-E0C50DD20303}">
  <sheetPr codeName="Sheet2"/>
  <dimension ref="A1:AE79"/>
  <sheetViews>
    <sheetView showGridLines="0" workbookViewId="0">
      <pane xSplit="2" ySplit="7" topLeftCell="C8" activePane="bottomRight" state="frozen"/>
      <selection activeCell="I8" sqref="I8"/>
      <selection pane="topRight" activeCell="I8" sqref="I8"/>
      <selection pane="bottomLeft" activeCell="I8" sqref="I8"/>
      <selection pane="bottomRight" activeCell="C8" sqref="C8"/>
    </sheetView>
  </sheetViews>
  <sheetFormatPr defaultColWidth="9.140625" defaultRowHeight="14.25" x14ac:dyDescent="0.25"/>
  <cols>
    <col min="1" max="1" width="9.140625" style="12"/>
    <col min="2" max="2" width="12.42578125" style="12" bestFit="1" customWidth="1"/>
    <col min="3" max="3" width="10.140625" style="12" bestFit="1" customWidth="1"/>
    <col min="4" max="4" width="13.5703125" style="12" bestFit="1" customWidth="1"/>
    <col min="5" max="5" width="12.140625" style="12" bestFit="1" customWidth="1"/>
    <col min="6" max="6" width="14.5703125" style="12" bestFit="1" customWidth="1"/>
    <col min="7" max="7" width="12.140625" style="12" bestFit="1" customWidth="1"/>
    <col min="8" max="8" width="14.5703125" style="12" bestFit="1" customWidth="1"/>
    <col min="9" max="9" width="12.140625" style="12" bestFit="1" customWidth="1"/>
    <col min="10" max="10" width="14.5703125" style="12" bestFit="1" customWidth="1"/>
    <col min="11" max="11" width="12.85546875" style="12" bestFit="1" customWidth="1"/>
    <col min="12" max="16" width="15.7109375" style="12" customWidth="1"/>
    <col min="17" max="17" width="9.140625" style="12"/>
    <col min="18" max="18" width="10.140625" style="12" bestFit="1" customWidth="1"/>
    <col min="19" max="19" width="13.5703125" style="12" bestFit="1" customWidth="1"/>
    <col min="20" max="20" width="12.140625" style="12" bestFit="1" customWidth="1"/>
    <col min="21" max="21" width="14.5703125" style="12" bestFit="1" customWidth="1"/>
    <col min="22" max="22" width="12.140625" style="12" bestFit="1" customWidth="1"/>
    <col min="23" max="23" width="14.5703125" style="12" bestFit="1" customWidth="1"/>
    <col min="24" max="24" width="12.140625" style="12" bestFit="1" customWidth="1"/>
    <col min="25" max="25" width="14.5703125" style="12" bestFit="1" customWidth="1"/>
    <col min="26" max="26" width="12.85546875" style="12" bestFit="1" customWidth="1"/>
    <col min="27" max="31" width="15.7109375" style="12" customWidth="1"/>
    <col min="32" max="16384" width="9.140625" style="12"/>
  </cols>
  <sheetData>
    <row r="1" spans="1:31" x14ac:dyDescent="0.25">
      <c r="A1" s="12" t="s">
        <v>0</v>
      </c>
      <c r="P1" s="12" t="s">
        <v>0</v>
      </c>
    </row>
    <row r="2" spans="1:31" ht="15.95" customHeight="1" x14ac:dyDescent="0.25"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31" ht="15" x14ac:dyDescent="0.25">
      <c r="B3" s="2" t="s">
        <v>19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31" ht="15" x14ac:dyDescent="0.25">
      <c r="B4" s="54">
        <f>'Sales Report_CW'!B4</f>
        <v>45839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"/>
      <c r="P4" s="3"/>
    </row>
    <row r="5" spans="1:31" ht="15" x14ac:dyDescent="0.25">
      <c r="C5" s="13" t="s">
        <v>3</v>
      </c>
      <c r="R5" s="13" t="s">
        <v>4</v>
      </c>
    </row>
    <row r="6" spans="1:31" s="30" customFormat="1" x14ac:dyDescent="0.25">
      <c r="C6" s="31" t="s">
        <v>5</v>
      </c>
      <c r="D6" s="32"/>
      <c r="E6" s="32"/>
      <c r="F6" s="31" t="s">
        <v>6</v>
      </c>
      <c r="G6" s="32"/>
      <c r="H6" s="32"/>
      <c r="I6" s="31" t="s">
        <v>7</v>
      </c>
      <c r="J6" s="32"/>
      <c r="K6" s="32"/>
      <c r="L6" s="31" t="s">
        <v>8</v>
      </c>
      <c r="M6" s="32"/>
      <c r="N6" s="32"/>
      <c r="O6" s="31" t="s">
        <v>9</v>
      </c>
      <c r="P6" s="31"/>
      <c r="R6" s="31" t="s">
        <v>5</v>
      </c>
      <c r="S6" s="32"/>
      <c r="T6" s="32"/>
      <c r="U6" s="31" t="s">
        <v>6</v>
      </c>
      <c r="V6" s="32"/>
      <c r="W6" s="32"/>
      <c r="X6" s="31" t="s">
        <v>7</v>
      </c>
      <c r="Y6" s="32"/>
      <c r="Z6" s="32"/>
      <c r="AA6" s="31" t="s">
        <v>8</v>
      </c>
      <c r="AB6" s="32"/>
      <c r="AC6" s="32"/>
      <c r="AD6" s="31" t="s">
        <v>9</v>
      </c>
      <c r="AE6" s="31"/>
    </row>
    <row r="7" spans="1:31" x14ac:dyDescent="0.25">
      <c r="B7" s="4" t="s">
        <v>10</v>
      </c>
      <c r="C7" s="25" t="s">
        <v>11</v>
      </c>
      <c r="D7" s="25" t="s">
        <v>12</v>
      </c>
      <c r="E7" s="25" t="s">
        <v>13</v>
      </c>
      <c r="F7" s="25" t="s">
        <v>11</v>
      </c>
      <c r="G7" s="25" t="s">
        <v>12</v>
      </c>
      <c r="H7" s="25" t="s">
        <v>13</v>
      </c>
      <c r="I7" s="25" t="s">
        <v>11</v>
      </c>
      <c r="J7" s="25" t="s">
        <v>12</v>
      </c>
      <c r="K7" s="25" t="s">
        <v>13</v>
      </c>
      <c r="L7" s="25" t="s">
        <v>11</v>
      </c>
      <c r="M7" s="25" t="s">
        <v>12</v>
      </c>
      <c r="N7" s="25" t="s">
        <v>13</v>
      </c>
      <c r="O7" s="25" t="s">
        <v>11</v>
      </c>
      <c r="P7" s="25" t="s">
        <v>12</v>
      </c>
      <c r="R7" s="25" t="s">
        <v>11</v>
      </c>
      <c r="S7" s="25" t="s">
        <v>12</v>
      </c>
      <c r="T7" s="25" t="s">
        <v>13</v>
      </c>
      <c r="U7" s="25" t="s">
        <v>11</v>
      </c>
      <c r="V7" s="25" t="s">
        <v>12</v>
      </c>
      <c r="W7" s="25" t="s">
        <v>13</v>
      </c>
      <c r="X7" s="25" t="s">
        <v>11</v>
      </c>
      <c r="Y7" s="25" t="s">
        <v>12</v>
      </c>
      <c r="Z7" s="25" t="s">
        <v>13</v>
      </c>
      <c r="AA7" s="25" t="s">
        <v>11</v>
      </c>
      <c r="AB7" s="25" t="s">
        <v>12</v>
      </c>
      <c r="AC7" s="25" t="s">
        <v>13</v>
      </c>
      <c r="AD7" s="25" t="s">
        <v>11</v>
      </c>
      <c r="AE7" s="25" t="s">
        <v>12</v>
      </c>
    </row>
    <row r="8" spans="1:31" ht="15" x14ac:dyDescent="0.25">
      <c r="B8" s="21">
        <f>IF(DAY(DATE(YEAR($B$4),MONTH($B$4),ROW()-7))=ROW()-7,DATE(YEAR($B$4),MONTH($B$4),ROW()-7),"")</f>
        <v>45839</v>
      </c>
      <c r="C8" s="22">
        <f>'Sales Report_CW'!$C8</f>
        <v>0</v>
      </c>
      <c r="D8" s="22">
        <f>'Sales Report_CW'!$D8</f>
        <v>0</v>
      </c>
      <c r="E8" s="23" t="str">
        <f>IFERROR(D8/C8,"-")</f>
        <v>-</v>
      </c>
      <c r="F8" s="22">
        <f>'Sales Report_CW'!$E8</f>
        <v>0</v>
      </c>
      <c r="G8" s="22">
        <f>'Sales Report_CW'!$F8</f>
        <v>0</v>
      </c>
      <c r="H8" s="23" t="str">
        <f>IFERROR(G8/F8,"-")</f>
        <v>-</v>
      </c>
      <c r="I8" s="22">
        <f>'Sales Report_CW'!$G8</f>
        <v>0</v>
      </c>
      <c r="J8" s="22">
        <f>'Sales Report_CW'!$H8</f>
        <v>0</v>
      </c>
      <c r="K8" s="23" t="str">
        <f>IFERROR(J8/I8,"-")</f>
        <v>-</v>
      </c>
      <c r="L8" s="22">
        <f>'Sales Report_CW'!$I8</f>
        <v>0</v>
      </c>
      <c r="M8" s="22">
        <f>'Sales Report_CW'!$J8</f>
        <v>0</v>
      </c>
      <c r="N8" s="23" t="str">
        <f>IFERROR(M8/L8,"-")</f>
        <v>-</v>
      </c>
      <c r="O8" s="22">
        <f>C8+F8+I8+L8</f>
        <v>0</v>
      </c>
      <c r="P8" s="22">
        <f>D8+G8+J8+M8</f>
        <v>0</v>
      </c>
      <c r="R8" s="22">
        <f>'Sales Report_CW'!$M8</f>
        <v>0</v>
      </c>
      <c r="S8" s="22">
        <f>'Sales Report_CW'!$N8</f>
        <v>0</v>
      </c>
      <c r="T8" s="23" t="str">
        <f>IFERROR(S8/R8,"-")</f>
        <v>-</v>
      </c>
      <c r="U8" s="22">
        <f>'Sales Report_CW'!$O8</f>
        <v>0</v>
      </c>
      <c r="V8" s="22">
        <f>'Sales Report_CW'!$P8</f>
        <v>0</v>
      </c>
      <c r="W8" s="23" t="str">
        <f>IFERROR(V8/U8,"-")</f>
        <v>-</v>
      </c>
      <c r="X8" s="22">
        <f>'Sales Report_CW'!$Q8</f>
        <v>0</v>
      </c>
      <c r="Y8" s="22">
        <f>'Sales Report_CW'!$R8</f>
        <v>0</v>
      </c>
      <c r="Z8" s="23" t="str">
        <f>IFERROR(Y8/X8,"-")</f>
        <v>-</v>
      </c>
      <c r="AA8" s="22">
        <f>'Sales Report_CW'!$S8</f>
        <v>0</v>
      </c>
      <c r="AB8" s="22">
        <f>'Sales Report_CW'!$T8</f>
        <v>0</v>
      </c>
      <c r="AC8" s="23" t="str">
        <f>IFERROR(AB8/AA8,"-")</f>
        <v>-</v>
      </c>
      <c r="AD8" s="22">
        <f>R8+U8+X8+AA8</f>
        <v>0</v>
      </c>
      <c r="AE8" s="22">
        <f>S8+V8+Y8+AB8</f>
        <v>0</v>
      </c>
    </row>
    <row r="9" spans="1:31" ht="15" x14ac:dyDescent="0.25">
      <c r="B9" s="21">
        <f t="shared" ref="B9:B38" si="0">IF(DAY(DATE(YEAR($B$4),MONTH($B$4),ROW()-7))=ROW()-7,DATE(YEAR($B$4),MONTH($B$4),ROW()-7),"")</f>
        <v>45840</v>
      </c>
      <c r="C9" s="22">
        <f>'Sales Report_CW'!$C9</f>
        <v>0</v>
      </c>
      <c r="D9" s="22">
        <f>'Sales Report_CW'!$D9</f>
        <v>0</v>
      </c>
      <c r="E9" s="23" t="str">
        <f t="shared" ref="E9:E38" si="1">IFERROR(D9/C9,"-")</f>
        <v>-</v>
      </c>
      <c r="F9" s="22">
        <f>'Sales Report_CW'!$E9</f>
        <v>0</v>
      </c>
      <c r="G9" s="22">
        <f>'Sales Report_CW'!$F9</f>
        <v>0</v>
      </c>
      <c r="H9" s="23" t="str">
        <f t="shared" ref="H9:H38" si="2">IFERROR(G9/F9,"-")</f>
        <v>-</v>
      </c>
      <c r="I9" s="22">
        <f>'Sales Report_CW'!$G9</f>
        <v>0</v>
      </c>
      <c r="J9" s="22">
        <f>'Sales Report_CW'!$H9</f>
        <v>0</v>
      </c>
      <c r="K9" s="23" t="str">
        <f t="shared" ref="K9:K38" si="3">IFERROR(J9/I9,"-")</f>
        <v>-</v>
      </c>
      <c r="L9" s="22">
        <f>'Sales Report_CW'!$I9</f>
        <v>0</v>
      </c>
      <c r="M9" s="22">
        <f>'Sales Report_CW'!$J9</f>
        <v>0</v>
      </c>
      <c r="N9" s="23" t="str">
        <f t="shared" ref="N9:N38" si="4">IFERROR(M9/L9,"-")</f>
        <v>-</v>
      </c>
      <c r="O9" s="22">
        <f t="shared" ref="O9:P38" si="5">C9+F9+I9+L9</f>
        <v>0</v>
      </c>
      <c r="P9" s="22">
        <f t="shared" si="5"/>
        <v>0</v>
      </c>
      <c r="R9" s="22">
        <f>'Sales Report_CW'!$M9</f>
        <v>0</v>
      </c>
      <c r="S9" s="22">
        <f>'Sales Report_CW'!$N9</f>
        <v>0</v>
      </c>
      <c r="T9" s="23" t="str">
        <f t="shared" ref="T9:T38" si="6">IFERROR(S9/R9,"-")</f>
        <v>-</v>
      </c>
      <c r="U9" s="22">
        <f>'Sales Report_CW'!$O9</f>
        <v>0</v>
      </c>
      <c r="V9" s="22">
        <f>'Sales Report_CW'!$P9</f>
        <v>0</v>
      </c>
      <c r="W9" s="23" t="str">
        <f t="shared" ref="W9:W38" si="7">IFERROR(V9/U9,"-")</f>
        <v>-</v>
      </c>
      <c r="X9" s="22">
        <f>'Sales Report_CW'!$Q9</f>
        <v>0</v>
      </c>
      <c r="Y9" s="22">
        <f>'Sales Report_CW'!$R9</f>
        <v>0</v>
      </c>
      <c r="Z9" s="23" t="str">
        <f t="shared" ref="Z9:Z38" si="8">IFERROR(Y9/X9,"-")</f>
        <v>-</v>
      </c>
      <c r="AA9" s="22">
        <f>'Sales Report_CW'!$S9</f>
        <v>0</v>
      </c>
      <c r="AB9" s="22">
        <f>'Sales Report_CW'!$T9</f>
        <v>0</v>
      </c>
      <c r="AC9" s="23" t="str">
        <f t="shared" ref="AC9:AC38" si="9">IFERROR(AB9/AA9,"-")</f>
        <v>-</v>
      </c>
      <c r="AD9" s="22">
        <f t="shared" ref="AD9:AE38" si="10">R9+U9+X9+AA9</f>
        <v>0</v>
      </c>
      <c r="AE9" s="22">
        <f t="shared" si="10"/>
        <v>0</v>
      </c>
    </row>
    <row r="10" spans="1:31" ht="15" x14ac:dyDescent="0.25">
      <c r="B10" s="21">
        <f t="shared" si="0"/>
        <v>45841</v>
      </c>
      <c r="C10" s="22">
        <f>'Sales Report_CW'!$C10</f>
        <v>0</v>
      </c>
      <c r="D10" s="22">
        <f>'Sales Report_CW'!$D10</f>
        <v>0</v>
      </c>
      <c r="E10" s="23" t="str">
        <f t="shared" si="1"/>
        <v>-</v>
      </c>
      <c r="F10" s="22">
        <f>'Sales Report_CW'!$E10</f>
        <v>0</v>
      </c>
      <c r="G10" s="22">
        <f>'Sales Report_CW'!$F10</f>
        <v>0</v>
      </c>
      <c r="H10" s="23" t="str">
        <f t="shared" si="2"/>
        <v>-</v>
      </c>
      <c r="I10" s="22">
        <f>'Sales Report_CW'!$G10</f>
        <v>0</v>
      </c>
      <c r="J10" s="22">
        <f>'Sales Report_CW'!$H10</f>
        <v>0</v>
      </c>
      <c r="K10" s="23" t="str">
        <f t="shared" si="3"/>
        <v>-</v>
      </c>
      <c r="L10" s="22">
        <f>'Sales Report_CW'!$I10</f>
        <v>0</v>
      </c>
      <c r="M10" s="22">
        <f>'Sales Report_CW'!$J10</f>
        <v>0</v>
      </c>
      <c r="N10" s="23" t="str">
        <f t="shared" si="4"/>
        <v>-</v>
      </c>
      <c r="O10" s="22">
        <f t="shared" si="5"/>
        <v>0</v>
      </c>
      <c r="P10" s="22">
        <f t="shared" si="5"/>
        <v>0</v>
      </c>
      <c r="R10" s="22">
        <f>'Sales Report_CW'!$M10</f>
        <v>0</v>
      </c>
      <c r="S10" s="22">
        <f>'Sales Report_CW'!$N10</f>
        <v>0</v>
      </c>
      <c r="T10" s="23" t="str">
        <f t="shared" si="6"/>
        <v>-</v>
      </c>
      <c r="U10" s="22">
        <f>'Sales Report_CW'!$O10</f>
        <v>0</v>
      </c>
      <c r="V10" s="22">
        <f>'Sales Report_CW'!$P10</f>
        <v>0</v>
      </c>
      <c r="W10" s="23" t="str">
        <f t="shared" si="7"/>
        <v>-</v>
      </c>
      <c r="X10" s="22">
        <f>'Sales Report_CW'!$Q10</f>
        <v>0</v>
      </c>
      <c r="Y10" s="22">
        <f>'Sales Report_CW'!$R10</f>
        <v>0</v>
      </c>
      <c r="Z10" s="23" t="str">
        <f t="shared" si="8"/>
        <v>-</v>
      </c>
      <c r="AA10" s="22">
        <f>'Sales Report_CW'!$S10</f>
        <v>0</v>
      </c>
      <c r="AB10" s="22">
        <f>'Sales Report_CW'!$T10</f>
        <v>0</v>
      </c>
      <c r="AC10" s="23" t="str">
        <f t="shared" si="9"/>
        <v>-</v>
      </c>
      <c r="AD10" s="22">
        <f t="shared" si="10"/>
        <v>0</v>
      </c>
      <c r="AE10" s="22">
        <f t="shared" si="10"/>
        <v>0</v>
      </c>
    </row>
    <row r="11" spans="1:31" ht="15" x14ac:dyDescent="0.25">
      <c r="B11" s="21">
        <f t="shared" si="0"/>
        <v>45842</v>
      </c>
      <c r="C11" s="22">
        <f>'Sales Report_CW'!$C11</f>
        <v>0</v>
      </c>
      <c r="D11" s="22">
        <f>'Sales Report_CW'!$D11</f>
        <v>0</v>
      </c>
      <c r="E11" s="23" t="str">
        <f t="shared" si="1"/>
        <v>-</v>
      </c>
      <c r="F11" s="22">
        <f>'Sales Report_CW'!$E11</f>
        <v>0</v>
      </c>
      <c r="G11" s="22">
        <f>'Sales Report_CW'!$F11</f>
        <v>0</v>
      </c>
      <c r="H11" s="23" t="str">
        <f t="shared" si="2"/>
        <v>-</v>
      </c>
      <c r="I11" s="22">
        <f>'Sales Report_CW'!$G11</f>
        <v>0</v>
      </c>
      <c r="J11" s="22">
        <f>'Sales Report_CW'!$H11</f>
        <v>0</v>
      </c>
      <c r="K11" s="23" t="str">
        <f t="shared" si="3"/>
        <v>-</v>
      </c>
      <c r="L11" s="22">
        <f>'Sales Report_CW'!$I11</f>
        <v>0</v>
      </c>
      <c r="M11" s="22">
        <f>'Sales Report_CW'!$J11</f>
        <v>0</v>
      </c>
      <c r="N11" s="23" t="str">
        <f t="shared" si="4"/>
        <v>-</v>
      </c>
      <c r="O11" s="22">
        <f t="shared" si="5"/>
        <v>0</v>
      </c>
      <c r="P11" s="22">
        <f t="shared" si="5"/>
        <v>0</v>
      </c>
      <c r="R11" s="22">
        <f>'Sales Report_CW'!$M11</f>
        <v>0</v>
      </c>
      <c r="S11" s="22">
        <f>'Sales Report_CW'!$N11</f>
        <v>0</v>
      </c>
      <c r="T11" s="23" t="str">
        <f t="shared" si="6"/>
        <v>-</v>
      </c>
      <c r="U11" s="22">
        <f>'Sales Report_CW'!$O11</f>
        <v>0</v>
      </c>
      <c r="V11" s="22">
        <f>'Sales Report_CW'!$P11</f>
        <v>0</v>
      </c>
      <c r="W11" s="23" t="str">
        <f t="shared" si="7"/>
        <v>-</v>
      </c>
      <c r="X11" s="22">
        <f>'Sales Report_CW'!$Q11</f>
        <v>0</v>
      </c>
      <c r="Y11" s="22">
        <f>'Sales Report_CW'!$R11</f>
        <v>0</v>
      </c>
      <c r="Z11" s="23" t="str">
        <f t="shared" si="8"/>
        <v>-</v>
      </c>
      <c r="AA11" s="22">
        <f>'Sales Report_CW'!$S11</f>
        <v>0</v>
      </c>
      <c r="AB11" s="22">
        <f>'Sales Report_CW'!$T11</f>
        <v>0</v>
      </c>
      <c r="AC11" s="23" t="str">
        <f t="shared" si="9"/>
        <v>-</v>
      </c>
      <c r="AD11" s="22">
        <f t="shared" si="10"/>
        <v>0</v>
      </c>
      <c r="AE11" s="22">
        <f t="shared" si="10"/>
        <v>0</v>
      </c>
    </row>
    <row r="12" spans="1:31" ht="15" x14ac:dyDescent="0.25">
      <c r="B12" s="21">
        <f t="shared" si="0"/>
        <v>45843</v>
      </c>
      <c r="C12" s="22">
        <f>'Sales Report_CW'!$C12</f>
        <v>0</v>
      </c>
      <c r="D12" s="22">
        <f>'Sales Report_CW'!$D12</f>
        <v>0</v>
      </c>
      <c r="E12" s="23" t="str">
        <f t="shared" si="1"/>
        <v>-</v>
      </c>
      <c r="F12" s="22">
        <f>'Sales Report_CW'!$E12</f>
        <v>0</v>
      </c>
      <c r="G12" s="22">
        <f>'Sales Report_CW'!$F12</f>
        <v>0</v>
      </c>
      <c r="H12" s="23" t="str">
        <f t="shared" si="2"/>
        <v>-</v>
      </c>
      <c r="I12" s="22">
        <f>'Sales Report_CW'!$G12</f>
        <v>0</v>
      </c>
      <c r="J12" s="22">
        <f>'Sales Report_CW'!$H12</f>
        <v>0</v>
      </c>
      <c r="K12" s="23" t="str">
        <f t="shared" si="3"/>
        <v>-</v>
      </c>
      <c r="L12" s="22">
        <f>'Sales Report_CW'!$I12</f>
        <v>0</v>
      </c>
      <c r="M12" s="22">
        <f>'Sales Report_CW'!$J12</f>
        <v>0</v>
      </c>
      <c r="N12" s="23" t="str">
        <f t="shared" si="4"/>
        <v>-</v>
      </c>
      <c r="O12" s="22">
        <f t="shared" si="5"/>
        <v>0</v>
      </c>
      <c r="P12" s="22">
        <f t="shared" si="5"/>
        <v>0</v>
      </c>
      <c r="R12" s="22">
        <f>'Sales Report_CW'!$M12</f>
        <v>0</v>
      </c>
      <c r="S12" s="22">
        <f>'Sales Report_CW'!$N12</f>
        <v>0</v>
      </c>
      <c r="T12" s="23" t="str">
        <f t="shared" si="6"/>
        <v>-</v>
      </c>
      <c r="U12" s="22">
        <f>'Sales Report_CW'!$O12</f>
        <v>0</v>
      </c>
      <c r="V12" s="22">
        <f>'Sales Report_CW'!$P12</f>
        <v>0</v>
      </c>
      <c r="W12" s="23" t="str">
        <f t="shared" si="7"/>
        <v>-</v>
      </c>
      <c r="X12" s="22">
        <f>'Sales Report_CW'!$Q12</f>
        <v>0</v>
      </c>
      <c r="Y12" s="22">
        <f>'Sales Report_CW'!$R12</f>
        <v>0</v>
      </c>
      <c r="Z12" s="23" t="str">
        <f t="shared" si="8"/>
        <v>-</v>
      </c>
      <c r="AA12" s="22">
        <f>'Sales Report_CW'!$S12</f>
        <v>0</v>
      </c>
      <c r="AB12" s="22">
        <f>'Sales Report_CW'!$T12</f>
        <v>0</v>
      </c>
      <c r="AC12" s="23" t="str">
        <f t="shared" si="9"/>
        <v>-</v>
      </c>
      <c r="AD12" s="22">
        <f t="shared" si="10"/>
        <v>0</v>
      </c>
      <c r="AE12" s="22">
        <f t="shared" si="10"/>
        <v>0</v>
      </c>
    </row>
    <row r="13" spans="1:31" ht="15" x14ac:dyDescent="0.25">
      <c r="B13" s="21">
        <f t="shared" si="0"/>
        <v>45844</v>
      </c>
      <c r="C13" s="22">
        <f>'Sales Report_CW'!$C13</f>
        <v>0</v>
      </c>
      <c r="D13" s="22">
        <f>'Sales Report_CW'!$D13</f>
        <v>0</v>
      </c>
      <c r="E13" s="23" t="str">
        <f t="shared" si="1"/>
        <v>-</v>
      </c>
      <c r="F13" s="22">
        <f>'Sales Report_CW'!$E13</f>
        <v>0</v>
      </c>
      <c r="G13" s="22">
        <f>'Sales Report_CW'!$F13</f>
        <v>0</v>
      </c>
      <c r="H13" s="23" t="str">
        <f t="shared" si="2"/>
        <v>-</v>
      </c>
      <c r="I13" s="22">
        <f>'Sales Report_CW'!$G13</f>
        <v>0</v>
      </c>
      <c r="J13" s="22">
        <f>'Sales Report_CW'!$H13</f>
        <v>0</v>
      </c>
      <c r="K13" s="23" t="str">
        <f t="shared" si="3"/>
        <v>-</v>
      </c>
      <c r="L13" s="22">
        <f>'Sales Report_CW'!$I13</f>
        <v>0</v>
      </c>
      <c r="M13" s="22">
        <f>'Sales Report_CW'!$J13</f>
        <v>0</v>
      </c>
      <c r="N13" s="23" t="str">
        <f t="shared" si="4"/>
        <v>-</v>
      </c>
      <c r="O13" s="22">
        <f t="shared" si="5"/>
        <v>0</v>
      </c>
      <c r="P13" s="22">
        <f t="shared" si="5"/>
        <v>0</v>
      </c>
      <c r="R13" s="22">
        <f>'Sales Report_CW'!$M13</f>
        <v>0</v>
      </c>
      <c r="S13" s="22">
        <f>'Sales Report_CW'!$N13</f>
        <v>0</v>
      </c>
      <c r="T13" s="23" t="str">
        <f t="shared" si="6"/>
        <v>-</v>
      </c>
      <c r="U13" s="22">
        <f>'Sales Report_CW'!$O13</f>
        <v>0</v>
      </c>
      <c r="V13" s="22">
        <f>'Sales Report_CW'!$P13</f>
        <v>0</v>
      </c>
      <c r="W13" s="23" t="str">
        <f t="shared" si="7"/>
        <v>-</v>
      </c>
      <c r="X13" s="22">
        <f>'Sales Report_CW'!$Q13</f>
        <v>0</v>
      </c>
      <c r="Y13" s="22">
        <f>'Sales Report_CW'!$R13</f>
        <v>0</v>
      </c>
      <c r="Z13" s="23" t="str">
        <f t="shared" si="8"/>
        <v>-</v>
      </c>
      <c r="AA13" s="22">
        <f>'Sales Report_CW'!$S13</f>
        <v>0</v>
      </c>
      <c r="AB13" s="22">
        <f>'Sales Report_CW'!$T13</f>
        <v>0</v>
      </c>
      <c r="AC13" s="23" t="str">
        <f t="shared" si="9"/>
        <v>-</v>
      </c>
      <c r="AD13" s="22">
        <f t="shared" si="10"/>
        <v>0</v>
      </c>
      <c r="AE13" s="22">
        <f t="shared" si="10"/>
        <v>0</v>
      </c>
    </row>
    <row r="14" spans="1:31" ht="15" x14ac:dyDescent="0.25">
      <c r="B14" s="21">
        <f t="shared" si="0"/>
        <v>45845</v>
      </c>
      <c r="C14" s="22">
        <f>'Sales Report_CW'!$C14</f>
        <v>0</v>
      </c>
      <c r="D14" s="22">
        <f>'Sales Report_CW'!$D14</f>
        <v>0</v>
      </c>
      <c r="E14" s="23" t="str">
        <f t="shared" si="1"/>
        <v>-</v>
      </c>
      <c r="F14" s="22">
        <f>'Sales Report_CW'!$E14</f>
        <v>0</v>
      </c>
      <c r="G14" s="22">
        <f>'Sales Report_CW'!$F14</f>
        <v>0</v>
      </c>
      <c r="H14" s="23" t="str">
        <f t="shared" si="2"/>
        <v>-</v>
      </c>
      <c r="I14" s="22">
        <f>'Sales Report_CW'!$G14</f>
        <v>0</v>
      </c>
      <c r="J14" s="22">
        <f>'Sales Report_CW'!$H14</f>
        <v>0</v>
      </c>
      <c r="K14" s="23" t="str">
        <f t="shared" si="3"/>
        <v>-</v>
      </c>
      <c r="L14" s="22">
        <f>'Sales Report_CW'!$I14</f>
        <v>0</v>
      </c>
      <c r="M14" s="22">
        <f>'Sales Report_CW'!$J14</f>
        <v>0</v>
      </c>
      <c r="N14" s="23" t="str">
        <f t="shared" si="4"/>
        <v>-</v>
      </c>
      <c r="O14" s="22">
        <f t="shared" si="5"/>
        <v>0</v>
      </c>
      <c r="P14" s="22">
        <f t="shared" si="5"/>
        <v>0</v>
      </c>
      <c r="R14" s="22">
        <f>'Sales Report_CW'!$M14</f>
        <v>0</v>
      </c>
      <c r="S14" s="22">
        <f>'Sales Report_CW'!$N14</f>
        <v>0</v>
      </c>
      <c r="T14" s="23" t="str">
        <f t="shared" si="6"/>
        <v>-</v>
      </c>
      <c r="U14" s="22">
        <f>'Sales Report_CW'!$O14</f>
        <v>0</v>
      </c>
      <c r="V14" s="22">
        <f>'Sales Report_CW'!$P14</f>
        <v>0</v>
      </c>
      <c r="W14" s="23" t="str">
        <f t="shared" si="7"/>
        <v>-</v>
      </c>
      <c r="X14" s="22">
        <f>'Sales Report_CW'!$Q14</f>
        <v>0</v>
      </c>
      <c r="Y14" s="22">
        <f>'Sales Report_CW'!$R14</f>
        <v>0</v>
      </c>
      <c r="Z14" s="23" t="str">
        <f t="shared" si="8"/>
        <v>-</v>
      </c>
      <c r="AA14" s="22">
        <f>'Sales Report_CW'!$S14</f>
        <v>0</v>
      </c>
      <c r="AB14" s="22">
        <f>'Sales Report_CW'!$T14</f>
        <v>0</v>
      </c>
      <c r="AC14" s="23" t="str">
        <f t="shared" si="9"/>
        <v>-</v>
      </c>
      <c r="AD14" s="22">
        <f t="shared" si="10"/>
        <v>0</v>
      </c>
      <c r="AE14" s="22">
        <f t="shared" si="10"/>
        <v>0</v>
      </c>
    </row>
    <row r="15" spans="1:31" ht="15" x14ac:dyDescent="0.25">
      <c r="B15" s="21">
        <f t="shared" si="0"/>
        <v>45846</v>
      </c>
      <c r="C15" s="22">
        <f>'Sales Report_CW'!$C15</f>
        <v>0</v>
      </c>
      <c r="D15" s="22">
        <f>'Sales Report_CW'!$D15</f>
        <v>0</v>
      </c>
      <c r="E15" s="23" t="str">
        <f t="shared" si="1"/>
        <v>-</v>
      </c>
      <c r="F15" s="22">
        <f>'Sales Report_CW'!$E15</f>
        <v>0</v>
      </c>
      <c r="G15" s="22">
        <f>'Sales Report_CW'!$F15</f>
        <v>0</v>
      </c>
      <c r="H15" s="23" t="str">
        <f t="shared" si="2"/>
        <v>-</v>
      </c>
      <c r="I15" s="22">
        <f>'Sales Report_CW'!$G15</f>
        <v>0</v>
      </c>
      <c r="J15" s="22">
        <f>'Sales Report_CW'!$H15</f>
        <v>0</v>
      </c>
      <c r="K15" s="23" t="str">
        <f t="shared" si="3"/>
        <v>-</v>
      </c>
      <c r="L15" s="22">
        <f>'Sales Report_CW'!$I15</f>
        <v>0</v>
      </c>
      <c r="M15" s="22">
        <f>'Sales Report_CW'!$J15</f>
        <v>0</v>
      </c>
      <c r="N15" s="23" t="str">
        <f t="shared" si="4"/>
        <v>-</v>
      </c>
      <c r="O15" s="22">
        <f t="shared" si="5"/>
        <v>0</v>
      </c>
      <c r="P15" s="22">
        <f t="shared" si="5"/>
        <v>0</v>
      </c>
      <c r="R15" s="22">
        <f>'Sales Report_CW'!$M15</f>
        <v>0</v>
      </c>
      <c r="S15" s="22">
        <f>'Sales Report_CW'!$N15</f>
        <v>0</v>
      </c>
      <c r="T15" s="23" t="str">
        <f t="shared" si="6"/>
        <v>-</v>
      </c>
      <c r="U15" s="22">
        <f>'Sales Report_CW'!$O15</f>
        <v>0</v>
      </c>
      <c r="V15" s="22">
        <f>'Sales Report_CW'!$P15</f>
        <v>0</v>
      </c>
      <c r="W15" s="23" t="str">
        <f t="shared" si="7"/>
        <v>-</v>
      </c>
      <c r="X15" s="22">
        <f>'Sales Report_CW'!$Q15</f>
        <v>0</v>
      </c>
      <c r="Y15" s="22">
        <f>'Sales Report_CW'!$R15</f>
        <v>0</v>
      </c>
      <c r="Z15" s="23" t="str">
        <f t="shared" si="8"/>
        <v>-</v>
      </c>
      <c r="AA15" s="22">
        <f>'Sales Report_CW'!$S15</f>
        <v>0</v>
      </c>
      <c r="AB15" s="22">
        <f>'Sales Report_CW'!$T15</f>
        <v>0</v>
      </c>
      <c r="AC15" s="23" t="str">
        <f t="shared" si="9"/>
        <v>-</v>
      </c>
      <c r="AD15" s="22">
        <f t="shared" si="10"/>
        <v>0</v>
      </c>
      <c r="AE15" s="22">
        <f t="shared" si="10"/>
        <v>0</v>
      </c>
    </row>
    <row r="16" spans="1:31" ht="15" x14ac:dyDescent="0.25">
      <c r="B16" s="21">
        <f t="shared" si="0"/>
        <v>45847</v>
      </c>
      <c r="C16" s="22">
        <f>'Sales Report_CW'!$C16</f>
        <v>0</v>
      </c>
      <c r="D16" s="22">
        <f>'Sales Report_CW'!$D16</f>
        <v>0</v>
      </c>
      <c r="E16" s="23" t="str">
        <f t="shared" si="1"/>
        <v>-</v>
      </c>
      <c r="F16" s="22">
        <f>'Sales Report_CW'!$E16</f>
        <v>0</v>
      </c>
      <c r="G16" s="22">
        <f>'Sales Report_CW'!$F16</f>
        <v>0</v>
      </c>
      <c r="H16" s="23" t="str">
        <f t="shared" si="2"/>
        <v>-</v>
      </c>
      <c r="I16" s="22">
        <f>'Sales Report_CW'!$G16</f>
        <v>0</v>
      </c>
      <c r="J16" s="22">
        <f>'Sales Report_CW'!$H16</f>
        <v>0</v>
      </c>
      <c r="K16" s="23" t="str">
        <f t="shared" si="3"/>
        <v>-</v>
      </c>
      <c r="L16" s="22">
        <f>'Sales Report_CW'!$I16</f>
        <v>0</v>
      </c>
      <c r="M16" s="22">
        <f>'Sales Report_CW'!$J16</f>
        <v>0</v>
      </c>
      <c r="N16" s="23" t="str">
        <f t="shared" si="4"/>
        <v>-</v>
      </c>
      <c r="O16" s="22">
        <f t="shared" si="5"/>
        <v>0</v>
      </c>
      <c r="P16" s="22">
        <f t="shared" si="5"/>
        <v>0</v>
      </c>
      <c r="R16" s="22">
        <f>'Sales Report_CW'!$M16</f>
        <v>0</v>
      </c>
      <c r="S16" s="22">
        <f>'Sales Report_CW'!$N16</f>
        <v>0</v>
      </c>
      <c r="T16" s="23" t="str">
        <f t="shared" si="6"/>
        <v>-</v>
      </c>
      <c r="U16" s="22">
        <f>'Sales Report_CW'!$O16</f>
        <v>0</v>
      </c>
      <c r="V16" s="22">
        <f>'Sales Report_CW'!$P16</f>
        <v>0</v>
      </c>
      <c r="W16" s="23" t="str">
        <f t="shared" si="7"/>
        <v>-</v>
      </c>
      <c r="X16" s="22">
        <f>'Sales Report_CW'!$Q16</f>
        <v>0</v>
      </c>
      <c r="Y16" s="22">
        <f>'Sales Report_CW'!$R16</f>
        <v>0</v>
      </c>
      <c r="Z16" s="23" t="str">
        <f t="shared" si="8"/>
        <v>-</v>
      </c>
      <c r="AA16" s="22">
        <f>'Sales Report_CW'!$S16</f>
        <v>0</v>
      </c>
      <c r="AB16" s="22">
        <f>'Sales Report_CW'!$T16</f>
        <v>0</v>
      </c>
      <c r="AC16" s="23" t="str">
        <f t="shared" si="9"/>
        <v>-</v>
      </c>
      <c r="AD16" s="22">
        <f t="shared" si="10"/>
        <v>0</v>
      </c>
      <c r="AE16" s="22">
        <f t="shared" si="10"/>
        <v>0</v>
      </c>
    </row>
    <row r="17" spans="2:31" ht="15" x14ac:dyDescent="0.25">
      <c r="B17" s="21">
        <f t="shared" si="0"/>
        <v>45848</v>
      </c>
      <c r="C17" s="22">
        <f>'Sales Report_CW'!$C17</f>
        <v>0</v>
      </c>
      <c r="D17" s="22">
        <f>'Sales Report_CW'!$D17</f>
        <v>0</v>
      </c>
      <c r="E17" s="23" t="str">
        <f t="shared" si="1"/>
        <v>-</v>
      </c>
      <c r="F17" s="22">
        <f>'Sales Report_CW'!$E17</f>
        <v>0</v>
      </c>
      <c r="G17" s="22">
        <f>'Sales Report_CW'!$F17</f>
        <v>0</v>
      </c>
      <c r="H17" s="23" t="str">
        <f t="shared" si="2"/>
        <v>-</v>
      </c>
      <c r="I17" s="22">
        <f>'Sales Report_CW'!$G17</f>
        <v>0</v>
      </c>
      <c r="J17" s="22">
        <f>'Sales Report_CW'!$H17</f>
        <v>0</v>
      </c>
      <c r="K17" s="23" t="str">
        <f t="shared" si="3"/>
        <v>-</v>
      </c>
      <c r="L17" s="22">
        <f>'Sales Report_CW'!$I17</f>
        <v>0</v>
      </c>
      <c r="M17" s="22">
        <f>'Sales Report_CW'!$J17</f>
        <v>0</v>
      </c>
      <c r="N17" s="23" t="str">
        <f t="shared" si="4"/>
        <v>-</v>
      </c>
      <c r="O17" s="22">
        <f t="shared" si="5"/>
        <v>0</v>
      </c>
      <c r="P17" s="22">
        <f t="shared" si="5"/>
        <v>0</v>
      </c>
      <c r="R17" s="22">
        <f>'Sales Report_CW'!$M17</f>
        <v>0</v>
      </c>
      <c r="S17" s="22">
        <f>'Sales Report_CW'!$N17</f>
        <v>0</v>
      </c>
      <c r="T17" s="23" t="str">
        <f t="shared" si="6"/>
        <v>-</v>
      </c>
      <c r="U17" s="22">
        <f>'Sales Report_CW'!$O17</f>
        <v>0</v>
      </c>
      <c r="V17" s="22">
        <f>'Sales Report_CW'!$P17</f>
        <v>0</v>
      </c>
      <c r="W17" s="23" t="str">
        <f t="shared" si="7"/>
        <v>-</v>
      </c>
      <c r="X17" s="22">
        <f>'Sales Report_CW'!$Q17</f>
        <v>0</v>
      </c>
      <c r="Y17" s="22">
        <f>'Sales Report_CW'!$R17</f>
        <v>0</v>
      </c>
      <c r="Z17" s="23" t="str">
        <f t="shared" si="8"/>
        <v>-</v>
      </c>
      <c r="AA17" s="22">
        <f>'Sales Report_CW'!$S17</f>
        <v>0</v>
      </c>
      <c r="AB17" s="22">
        <f>'Sales Report_CW'!$T17</f>
        <v>0</v>
      </c>
      <c r="AC17" s="23" t="str">
        <f t="shared" si="9"/>
        <v>-</v>
      </c>
      <c r="AD17" s="22">
        <f t="shared" si="10"/>
        <v>0</v>
      </c>
      <c r="AE17" s="22">
        <f t="shared" si="10"/>
        <v>0</v>
      </c>
    </row>
    <row r="18" spans="2:31" ht="15" x14ac:dyDescent="0.25">
      <c r="B18" s="21">
        <f t="shared" si="0"/>
        <v>45849</v>
      </c>
      <c r="C18" s="22">
        <f>'Sales Report_CW'!$C18</f>
        <v>0</v>
      </c>
      <c r="D18" s="22">
        <f>'Sales Report_CW'!$D18</f>
        <v>0</v>
      </c>
      <c r="E18" s="23" t="str">
        <f t="shared" si="1"/>
        <v>-</v>
      </c>
      <c r="F18" s="22">
        <f>'Sales Report_CW'!$E18</f>
        <v>0</v>
      </c>
      <c r="G18" s="22">
        <f>'Sales Report_CW'!$F18</f>
        <v>0</v>
      </c>
      <c r="H18" s="23" t="str">
        <f t="shared" si="2"/>
        <v>-</v>
      </c>
      <c r="I18" s="22">
        <f>'Sales Report_CW'!$G18</f>
        <v>0</v>
      </c>
      <c r="J18" s="22">
        <f>'Sales Report_CW'!$H18</f>
        <v>0</v>
      </c>
      <c r="K18" s="23" t="str">
        <f t="shared" si="3"/>
        <v>-</v>
      </c>
      <c r="L18" s="22">
        <f>'Sales Report_CW'!$I18</f>
        <v>0</v>
      </c>
      <c r="M18" s="22">
        <f>'Sales Report_CW'!$J18</f>
        <v>0</v>
      </c>
      <c r="N18" s="23" t="str">
        <f t="shared" si="4"/>
        <v>-</v>
      </c>
      <c r="O18" s="22">
        <f t="shared" si="5"/>
        <v>0</v>
      </c>
      <c r="P18" s="22">
        <f t="shared" si="5"/>
        <v>0</v>
      </c>
      <c r="R18" s="22">
        <f>'Sales Report_CW'!$M18</f>
        <v>0</v>
      </c>
      <c r="S18" s="22">
        <f>'Sales Report_CW'!$N18</f>
        <v>0</v>
      </c>
      <c r="T18" s="23" t="str">
        <f t="shared" si="6"/>
        <v>-</v>
      </c>
      <c r="U18" s="22">
        <f>'Sales Report_CW'!$O18</f>
        <v>0</v>
      </c>
      <c r="V18" s="22">
        <f>'Sales Report_CW'!$P18</f>
        <v>0</v>
      </c>
      <c r="W18" s="23" t="str">
        <f t="shared" si="7"/>
        <v>-</v>
      </c>
      <c r="X18" s="22">
        <f>'Sales Report_CW'!$Q18</f>
        <v>0</v>
      </c>
      <c r="Y18" s="22">
        <f>'Sales Report_CW'!$R18</f>
        <v>0</v>
      </c>
      <c r="Z18" s="23" t="str">
        <f t="shared" si="8"/>
        <v>-</v>
      </c>
      <c r="AA18" s="22">
        <f>'Sales Report_CW'!$S18</f>
        <v>0</v>
      </c>
      <c r="AB18" s="22">
        <f>'Sales Report_CW'!$T18</f>
        <v>0</v>
      </c>
      <c r="AC18" s="23" t="str">
        <f t="shared" si="9"/>
        <v>-</v>
      </c>
      <c r="AD18" s="22">
        <f t="shared" si="10"/>
        <v>0</v>
      </c>
      <c r="AE18" s="22">
        <f t="shared" si="10"/>
        <v>0</v>
      </c>
    </row>
    <row r="19" spans="2:31" ht="15" x14ac:dyDescent="0.25">
      <c r="B19" s="21">
        <f t="shared" si="0"/>
        <v>45850</v>
      </c>
      <c r="C19" s="22">
        <f>'Sales Report_CW'!$C19</f>
        <v>0</v>
      </c>
      <c r="D19" s="22">
        <f>'Sales Report_CW'!$D19</f>
        <v>0</v>
      </c>
      <c r="E19" s="23" t="str">
        <f t="shared" si="1"/>
        <v>-</v>
      </c>
      <c r="F19" s="22">
        <f>'Sales Report_CW'!$E19</f>
        <v>0</v>
      </c>
      <c r="G19" s="22">
        <f>'Sales Report_CW'!$F19</f>
        <v>0</v>
      </c>
      <c r="H19" s="23" t="str">
        <f t="shared" si="2"/>
        <v>-</v>
      </c>
      <c r="I19" s="22">
        <f>'Sales Report_CW'!$G19</f>
        <v>0</v>
      </c>
      <c r="J19" s="22">
        <f>'Sales Report_CW'!$H19</f>
        <v>0</v>
      </c>
      <c r="K19" s="23" t="str">
        <f t="shared" si="3"/>
        <v>-</v>
      </c>
      <c r="L19" s="22">
        <f>'Sales Report_CW'!$I19</f>
        <v>0</v>
      </c>
      <c r="M19" s="22">
        <f>'Sales Report_CW'!$J19</f>
        <v>0</v>
      </c>
      <c r="N19" s="23" t="str">
        <f t="shared" si="4"/>
        <v>-</v>
      </c>
      <c r="O19" s="22">
        <f t="shared" si="5"/>
        <v>0</v>
      </c>
      <c r="P19" s="22">
        <f t="shared" si="5"/>
        <v>0</v>
      </c>
      <c r="R19" s="22">
        <f>'Sales Report_CW'!$M19</f>
        <v>0</v>
      </c>
      <c r="S19" s="22">
        <f>'Sales Report_CW'!$N19</f>
        <v>0</v>
      </c>
      <c r="T19" s="23" t="str">
        <f t="shared" si="6"/>
        <v>-</v>
      </c>
      <c r="U19" s="22">
        <f>'Sales Report_CW'!$O19</f>
        <v>0</v>
      </c>
      <c r="V19" s="22">
        <f>'Sales Report_CW'!$P19</f>
        <v>0</v>
      </c>
      <c r="W19" s="23" t="str">
        <f t="shared" si="7"/>
        <v>-</v>
      </c>
      <c r="X19" s="22">
        <f>'Sales Report_CW'!$Q19</f>
        <v>0</v>
      </c>
      <c r="Y19" s="22">
        <f>'Sales Report_CW'!$R19</f>
        <v>0</v>
      </c>
      <c r="Z19" s="23" t="str">
        <f t="shared" si="8"/>
        <v>-</v>
      </c>
      <c r="AA19" s="22">
        <f>'Sales Report_CW'!$S19</f>
        <v>0</v>
      </c>
      <c r="AB19" s="22">
        <f>'Sales Report_CW'!$T19</f>
        <v>0</v>
      </c>
      <c r="AC19" s="23" t="str">
        <f t="shared" si="9"/>
        <v>-</v>
      </c>
      <c r="AD19" s="22">
        <f t="shared" si="10"/>
        <v>0</v>
      </c>
      <c r="AE19" s="22">
        <f t="shared" si="10"/>
        <v>0</v>
      </c>
    </row>
    <row r="20" spans="2:31" ht="15" x14ac:dyDescent="0.25">
      <c r="B20" s="21">
        <f t="shared" si="0"/>
        <v>45851</v>
      </c>
      <c r="C20" s="22">
        <f>'Sales Report_CW'!$C20</f>
        <v>0</v>
      </c>
      <c r="D20" s="22">
        <f>'Sales Report_CW'!$D20</f>
        <v>0</v>
      </c>
      <c r="E20" s="23" t="str">
        <f t="shared" si="1"/>
        <v>-</v>
      </c>
      <c r="F20" s="22">
        <f>'Sales Report_CW'!$E20</f>
        <v>0</v>
      </c>
      <c r="G20" s="22">
        <f>'Sales Report_CW'!$F20</f>
        <v>0</v>
      </c>
      <c r="H20" s="23" t="str">
        <f t="shared" si="2"/>
        <v>-</v>
      </c>
      <c r="I20" s="22">
        <f>'Sales Report_CW'!$G20</f>
        <v>0</v>
      </c>
      <c r="J20" s="22">
        <f>'Sales Report_CW'!$H20</f>
        <v>0</v>
      </c>
      <c r="K20" s="23" t="str">
        <f t="shared" si="3"/>
        <v>-</v>
      </c>
      <c r="L20" s="22">
        <f>'Sales Report_CW'!$I20</f>
        <v>0</v>
      </c>
      <c r="M20" s="22">
        <f>'Sales Report_CW'!$J20</f>
        <v>0</v>
      </c>
      <c r="N20" s="23" t="str">
        <f t="shared" si="4"/>
        <v>-</v>
      </c>
      <c r="O20" s="22">
        <f t="shared" si="5"/>
        <v>0</v>
      </c>
      <c r="P20" s="22">
        <f t="shared" si="5"/>
        <v>0</v>
      </c>
      <c r="R20" s="22">
        <f>'Sales Report_CW'!$M20</f>
        <v>0</v>
      </c>
      <c r="S20" s="22">
        <f>'Sales Report_CW'!$N20</f>
        <v>0</v>
      </c>
      <c r="T20" s="23" t="str">
        <f t="shared" si="6"/>
        <v>-</v>
      </c>
      <c r="U20" s="22">
        <f>'Sales Report_CW'!$O20</f>
        <v>0</v>
      </c>
      <c r="V20" s="22">
        <f>'Sales Report_CW'!$P20</f>
        <v>0</v>
      </c>
      <c r="W20" s="23" t="str">
        <f t="shared" si="7"/>
        <v>-</v>
      </c>
      <c r="X20" s="22">
        <f>'Sales Report_CW'!$Q20</f>
        <v>0</v>
      </c>
      <c r="Y20" s="22">
        <f>'Sales Report_CW'!$R20</f>
        <v>0</v>
      </c>
      <c r="Z20" s="23" t="str">
        <f t="shared" si="8"/>
        <v>-</v>
      </c>
      <c r="AA20" s="22">
        <f>'Sales Report_CW'!$S20</f>
        <v>0</v>
      </c>
      <c r="AB20" s="22">
        <f>'Sales Report_CW'!$T20</f>
        <v>0</v>
      </c>
      <c r="AC20" s="23" t="str">
        <f t="shared" si="9"/>
        <v>-</v>
      </c>
      <c r="AD20" s="22">
        <f t="shared" si="10"/>
        <v>0</v>
      </c>
      <c r="AE20" s="22">
        <f t="shared" si="10"/>
        <v>0</v>
      </c>
    </row>
    <row r="21" spans="2:31" ht="15" x14ac:dyDescent="0.25">
      <c r="B21" s="21">
        <f t="shared" si="0"/>
        <v>45852</v>
      </c>
      <c r="C21" s="22">
        <f>'Sales Report_CW'!$C21</f>
        <v>0</v>
      </c>
      <c r="D21" s="22">
        <f>'Sales Report_CW'!$D21</f>
        <v>0</v>
      </c>
      <c r="E21" s="23" t="str">
        <f t="shared" si="1"/>
        <v>-</v>
      </c>
      <c r="F21" s="22">
        <f>'Sales Report_CW'!$E21</f>
        <v>0</v>
      </c>
      <c r="G21" s="22">
        <f>'Sales Report_CW'!$F21</f>
        <v>0</v>
      </c>
      <c r="H21" s="23" t="str">
        <f t="shared" si="2"/>
        <v>-</v>
      </c>
      <c r="I21" s="22">
        <f>'Sales Report_CW'!$G21</f>
        <v>0</v>
      </c>
      <c r="J21" s="22">
        <f>'Sales Report_CW'!$H21</f>
        <v>0</v>
      </c>
      <c r="K21" s="23" t="str">
        <f t="shared" si="3"/>
        <v>-</v>
      </c>
      <c r="L21" s="22">
        <f>'Sales Report_CW'!$I21</f>
        <v>0</v>
      </c>
      <c r="M21" s="22">
        <f>'Sales Report_CW'!$J21</f>
        <v>0</v>
      </c>
      <c r="N21" s="23" t="str">
        <f t="shared" si="4"/>
        <v>-</v>
      </c>
      <c r="O21" s="22">
        <f t="shared" si="5"/>
        <v>0</v>
      </c>
      <c r="P21" s="22">
        <f t="shared" si="5"/>
        <v>0</v>
      </c>
      <c r="R21" s="22">
        <f>'Sales Report_CW'!$M21</f>
        <v>0</v>
      </c>
      <c r="S21" s="22">
        <f>'Sales Report_CW'!$N21</f>
        <v>0</v>
      </c>
      <c r="T21" s="23" t="str">
        <f t="shared" si="6"/>
        <v>-</v>
      </c>
      <c r="U21" s="22">
        <f>'Sales Report_CW'!$O21</f>
        <v>0</v>
      </c>
      <c r="V21" s="22">
        <f>'Sales Report_CW'!$P21</f>
        <v>0</v>
      </c>
      <c r="W21" s="23" t="str">
        <f t="shared" si="7"/>
        <v>-</v>
      </c>
      <c r="X21" s="22">
        <f>'Sales Report_CW'!$Q21</f>
        <v>0</v>
      </c>
      <c r="Y21" s="22">
        <f>'Sales Report_CW'!$R21</f>
        <v>0</v>
      </c>
      <c r="Z21" s="23" t="str">
        <f t="shared" si="8"/>
        <v>-</v>
      </c>
      <c r="AA21" s="22">
        <f>'Sales Report_CW'!$S21</f>
        <v>0</v>
      </c>
      <c r="AB21" s="22">
        <f>'Sales Report_CW'!$T21</f>
        <v>0</v>
      </c>
      <c r="AC21" s="23" t="str">
        <f t="shared" si="9"/>
        <v>-</v>
      </c>
      <c r="AD21" s="22">
        <f t="shared" si="10"/>
        <v>0</v>
      </c>
      <c r="AE21" s="22">
        <f t="shared" si="10"/>
        <v>0</v>
      </c>
    </row>
    <row r="22" spans="2:31" ht="15" x14ac:dyDescent="0.25">
      <c r="B22" s="21">
        <f t="shared" si="0"/>
        <v>45853</v>
      </c>
      <c r="C22" s="22">
        <f>'Sales Report_CW'!$C22</f>
        <v>0</v>
      </c>
      <c r="D22" s="22">
        <f>'Sales Report_CW'!$D22</f>
        <v>0</v>
      </c>
      <c r="E22" s="23" t="str">
        <f t="shared" si="1"/>
        <v>-</v>
      </c>
      <c r="F22" s="23">
        <f>'Sales Report_CW'!$E22</f>
        <v>0</v>
      </c>
      <c r="G22" s="22">
        <f>'Sales Report_CW'!$F22</f>
        <v>0</v>
      </c>
      <c r="H22" s="23" t="str">
        <f t="shared" si="2"/>
        <v>-</v>
      </c>
      <c r="I22" s="22">
        <f>'Sales Report_CW'!$G22</f>
        <v>0</v>
      </c>
      <c r="J22" s="22">
        <f>'Sales Report_CW'!$H22</f>
        <v>0</v>
      </c>
      <c r="K22" s="23" t="str">
        <f t="shared" si="3"/>
        <v>-</v>
      </c>
      <c r="L22" s="22">
        <f>'Sales Report_CW'!$I22</f>
        <v>0</v>
      </c>
      <c r="M22" s="22">
        <f>'Sales Report_CW'!$J22</f>
        <v>0</v>
      </c>
      <c r="N22" s="23" t="str">
        <f t="shared" si="4"/>
        <v>-</v>
      </c>
      <c r="O22" s="22">
        <f t="shared" si="5"/>
        <v>0</v>
      </c>
      <c r="P22" s="22">
        <f t="shared" si="5"/>
        <v>0</v>
      </c>
      <c r="R22" s="22">
        <f>'Sales Report_CW'!$M22</f>
        <v>0</v>
      </c>
      <c r="S22" s="22">
        <f>'Sales Report_CW'!$N22</f>
        <v>0</v>
      </c>
      <c r="T22" s="23" t="str">
        <f t="shared" si="6"/>
        <v>-</v>
      </c>
      <c r="U22" s="22">
        <f>'Sales Report_CW'!$O22</f>
        <v>0</v>
      </c>
      <c r="V22" s="22">
        <f>'Sales Report_CW'!$P22</f>
        <v>0</v>
      </c>
      <c r="W22" s="23" t="str">
        <f t="shared" si="7"/>
        <v>-</v>
      </c>
      <c r="X22" s="22">
        <f>'Sales Report_CW'!$Q22</f>
        <v>0</v>
      </c>
      <c r="Y22" s="22">
        <f>'Sales Report_CW'!$R22</f>
        <v>0</v>
      </c>
      <c r="Z22" s="23" t="str">
        <f t="shared" si="8"/>
        <v>-</v>
      </c>
      <c r="AA22" s="22">
        <f>'Sales Report_CW'!$S22</f>
        <v>0</v>
      </c>
      <c r="AB22" s="22">
        <f>'Sales Report_CW'!$T22</f>
        <v>0</v>
      </c>
      <c r="AC22" s="23" t="str">
        <f t="shared" si="9"/>
        <v>-</v>
      </c>
      <c r="AD22" s="22">
        <f t="shared" si="10"/>
        <v>0</v>
      </c>
      <c r="AE22" s="22">
        <f t="shared" si="10"/>
        <v>0</v>
      </c>
    </row>
    <row r="23" spans="2:31" ht="15" x14ac:dyDescent="0.25">
      <c r="B23" s="21">
        <f t="shared" si="0"/>
        <v>45854</v>
      </c>
      <c r="C23" s="22">
        <f>'Sales Report_CW'!$C23</f>
        <v>0</v>
      </c>
      <c r="D23" s="22">
        <f>'Sales Report_CW'!$D23</f>
        <v>0</v>
      </c>
      <c r="E23" s="23" t="str">
        <f t="shared" si="1"/>
        <v>-</v>
      </c>
      <c r="F23" s="22">
        <f>'Sales Report_CW'!$E23</f>
        <v>0</v>
      </c>
      <c r="G23" s="22">
        <f>'Sales Report_CW'!$F23</f>
        <v>0</v>
      </c>
      <c r="H23" s="23" t="str">
        <f t="shared" si="2"/>
        <v>-</v>
      </c>
      <c r="I23" s="22">
        <f>'Sales Report_CW'!$G23</f>
        <v>0</v>
      </c>
      <c r="J23" s="22">
        <f>'Sales Report_CW'!$H23</f>
        <v>0</v>
      </c>
      <c r="K23" s="23" t="str">
        <f t="shared" si="3"/>
        <v>-</v>
      </c>
      <c r="L23" s="22">
        <f>'Sales Report_CW'!$I23</f>
        <v>0</v>
      </c>
      <c r="M23" s="22">
        <f>'Sales Report_CW'!$J23</f>
        <v>0</v>
      </c>
      <c r="N23" s="23" t="str">
        <f t="shared" si="4"/>
        <v>-</v>
      </c>
      <c r="O23" s="22">
        <f t="shared" si="5"/>
        <v>0</v>
      </c>
      <c r="P23" s="22">
        <f t="shared" si="5"/>
        <v>0</v>
      </c>
      <c r="R23" s="22">
        <f>'Sales Report_CW'!$M23</f>
        <v>0</v>
      </c>
      <c r="S23" s="22">
        <f>'Sales Report_CW'!$N23</f>
        <v>0</v>
      </c>
      <c r="T23" s="23" t="str">
        <f t="shared" si="6"/>
        <v>-</v>
      </c>
      <c r="U23" s="22">
        <f>'Sales Report_CW'!$O23</f>
        <v>0</v>
      </c>
      <c r="V23" s="22">
        <f>'Sales Report_CW'!$P23</f>
        <v>0</v>
      </c>
      <c r="W23" s="23" t="str">
        <f t="shared" si="7"/>
        <v>-</v>
      </c>
      <c r="X23" s="22">
        <f>'Sales Report_CW'!$Q23</f>
        <v>0</v>
      </c>
      <c r="Y23" s="22">
        <f>'Sales Report_CW'!$R23</f>
        <v>0</v>
      </c>
      <c r="Z23" s="23" t="str">
        <f t="shared" si="8"/>
        <v>-</v>
      </c>
      <c r="AA23" s="22">
        <f>'Sales Report_CW'!$S23</f>
        <v>0</v>
      </c>
      <c r="AB23" s="22">
        <f>'Sales Report_CW'!$T23</f>
        <v>0</v>
      </c>
      <c r="AC23" s="23" t="str">
        <f t="shared" si="9"/>
        <v>-</v>
      </c>
      <c r="AD23" s="22">
        <f t="shared" si="10"/>
        <v>0</v>
      </c>
      <c r="AE23" s="22">
        <f t="shared" si="10"/>
        <v>0</v>
      </c>
    </row>
    <row r="24" spans="2:31" ht="15" x14ac:dyDescent="0.25">
      <c r="B24" s="21">
        <f t="shared" si="0"/>
        <v>45855</v>
      </c>
      <c r="C24" s="22">
        <f>'Sales Report_CW'!$C24</f>
        <v>0</v>
      </c>
      <c r="D24" s="22">
        <f>'Sales Report_CW'!$D24</f>
        <v>0</v>
      </c>
      <c r="E24" s="23" t="str">
        <f t="shared" si="1"/>
        <v>-</v>
      </c>
      <c r="F24" s="22">
        <f>'Sales Report_CW'!$E24</f>
        <v>0</v>
      </c>
      <c r="G24" s="22">
        <f>'Sales Report_CW'!$F24</f>
        <v>0</v>
      </c>
      <c r="H24" s="23" t="str">
        <f t="shared" si="2"/>
        <v>-</v>
      </c>
      <c r="I24" s="22">
        <f>'Sales Report_CW'!$G24</f>
        <v>0</v>
      </c>
      <c r="J24" s="22">
        <f>'Sales Report_CW'!$H24</f>
        <v>0</v>
      </c>
      <c r="K24" s="23" t="str">
        <f t="shared" si="3"/>
        <v>-</v>
      </c>
      <c r="L24" s="22">
        <f>'Sales Report_CW'!$I24</f>
        <v>0</v>
      </c>
      <c r="M24" s="22">
        <f>'Sales Report_CW'!$J24</f>
        <v>0</v>
      </c>
      <c r="N24" s="23" t="str">
        <f t="shared" si="4"/>
        <v>-</v>
      </c>
      <c r="O24" s="22">
        <f t="shared" si="5"/>
        <v>0</v>
      </c>
      <c r="P24" s="22">
        <f t="shared" si="5"/>
        <v>0</v>
      </c>
      <c r="R24" s="22">
        <f>'Sales Report_CW'!$M24</f>
        <v>0</v>
      </c>
      <c r="S24" s="22">
        <f>'Sales Report_CW'!$N24</f>
        <v>0</v>
      </c>
      <c r="T24" s="23" t="str">
        <f t="shared" si="6"/>
        <v>-</v>
      </c>
      <c r="U24" s="22">
        <f>'Sales Report_CW'!$O24</f>
        <v>0</v>
      </c>
      <c r="V24" s="22">
        <f>'Sales Report_CW'!$P24</f>
        <v>0</v>
      </c>
      <c r="W24" s="23" t="str">
        <f t="shared" si="7"/>
        <v>-</v>
      </c>
      <c r="X24" s="22">
        <f>'Sales Report_CW'!$Q24</f>
        <v>0</v>
      </c>
      <c r="Y24" s="22">
        <f>'Sales Report_CW'!$R24</f>
        <v>0</v>
      </c>
      <c r="Z24" s="23" t="str">
        <f t="shared" si="8"/>
        <v>-</v>
      </c>
      <c r="AA24" s="22">
        <f>'Sales Report_CW'!$S24</f>
        <v>0</v>
      </c>
      <c r="AB24" s="22">
        <f>'Sales Report_CW'!$T24</f>
        <v>0</v>
      </c>
      <c r="AC24" s="23" t="str">
        <f t="shared" si="9"/>
        <v>-</v>
      </c>
      <c r="AD24" s="22">
        <f t="shared" si="10"/>
        <v>0</v>
      </c>
      <c r="AE24" s="22">
        <f t="shared" si="10"/>
        <v>0</v>
      </c>
    </row>
    <row r="25" spans="2:31" ht="15" x14ac:dyDescent="0.25">
      <c r="B25" s="21">
        <f t="shared" si="0"/>
        <v>45856</v>
      </c>
      <c r="C25" s="22">
        <f>'Sales Report_CW'!$C25</f>
        <v>0</v>
      </c>
      <c r="D25" s="22">
        <f>'Sales Report_CW'!$D25</f>
        <v>0</v>
      </c>
      <c r="E25" s="23" t="str">
        <f t="shared" si="1"/>
        <v>-</v>
      </c>
      <c r="F25" s="22">
        <f>'Sales Report_CW'!$E25</f>
        <v>0</v>
      </c>
      <c r="G25" s="22">
        <f>'Sales Report_CW'!$F25</f>
        <v>0</v>
      </c>
      <c r="H25" s="23" t="str">
        <f t="shared" si="2"/>
        <v>-</v>
      </c>
      <c r="I25" s="22">
        <f>'Sales Report_CW'!$G25</f>
        <v>0</v>
      </c>
      <c r="J25" s="22">
        <f>'Sales Report_CW'!$H25</f>
        <v>0</v>
      </c>
      <c r="K25" s="23" t="str">
        <f t="shared" si="3"/>
        <v>-</v>
      </c>
      <c r="L25" s="22">
        <f>'Sales Report_CW'!$I25</f>
        <v>0</v>
      </c>
      <c r="M25" s="22">
        <f>'Sales Report_CW'!$J25</f>
        <v>0</v>
      </c>
      <c r="N25" s="23" t="str">
        <f t="shared" si="4"/>
        <v>-</v>
      </c>
      <c r="O25" s="22">
        <f t="shared" si="5"/>
        <v>0</v>
      </c>
      <c r="P25" s="22">
        <f t="shared" si="5"/>
        <v>0</v>
      </c>
      <c r="R25" s="22">
        <f>'Sales Report_CW'!$M25</f>
        <v>0</v>
      </c>
      <c r="S25" s="22">
        <f>'Sales Report_CW'!$N25</f>
        <v>0</v>
      </c>
      <c r="T25" s="23" t="str">
        <f t="shared" si="6"/>
        <v>-</v>
      </c>
      <c r="U25" s="22">
        <f>'Sales Report_CW'!$O25</f>
        <v>0</v>
      </c>
      <c r="V25" s="22">
        <f>'Sales Report_CW'!$P25</f>
        <v>0</v>
      </c>
      <c r="W25" s="23" t="str">
        <f t="shared" si="7"/>
        <v>-</v>
      </c>
      <c r="X25" s="22">
        <f>'Sales Report_CW'!$Q25</f>
        <v>0</v>
      </c>
      <c r="Y25" s="22">
        <f>'Sales Report_CW'!$R25</f>
        <v>0</v>
      </c>
      <c r="Z25" s="23" t="str">
        <f t="shared" si="8"/>
        <v>-</v>
      </c>
      <c r="AA25" s="22">
        <f>'Sales Report_CW'!$S25</f>
        <v>0</v>
      </c>
      <c r="AB25" s="22">
        <f>'Sales Report_CW'!$T25</f>
        <v>0</v>
      </c>
      <c r="AC25" s="23" t="str">
        <f t="shared" si="9"/>
        <v>-</v>
      </c>
      <c r="AD25" s="22">
        <f t="shared" si="10"/>
        <v>0</v>
      </c>
      <c r="AE25" s="22">
        <f t="shared" si="10"/>
        <v>0</v>
      </c>
    </row>
    <row r="26" spans="2:31" ht="15" x14ac:dyDescent="0.25">
      <c r="B26" s="21">
        <f t="shared" si="0"/>
        <v>45857</v>
      </c>
      <c r="C26" s="22">
        <f>'Sales Report_CW'!$C26</f>
        <v>0</v>
      </c>
      <c r="D26" s="22">
        <f>'Sales Report_CW'!$D26</f>
        <v>0</v>
      </c>
      <c r="E26" s="23" t="str">
        <f t="shared" si="1"/>
        <v>-</v>
      </c>
      <c r="F26" s="22">
        <f>'Sales Report_CW'!$E26</f>
        <v>0</v>
      </c>
      <c r="G26" s="22">
        <f>'Sales Report_CW'!$F26</f>
        <v>0</v>
      </c>
      <c r="H26" s="23" t="str">
        <f t="shared" si="2"/>
        <v>-</v>
      </c>
      <c r="I26" s="22">
        <f>'Sales Report_CW'!$G26</f>
        <v>0</v>
      </c>
      <c r="J26" s="22">
        <f>'Sales Report_CW'!$H26</f>
        <v>0</v>
      </c>
      <c r="K26" s="23" t="str">
        <f t="shared" si="3"/>
        <v>-</v>
      </c>
      <c r="L26" s="22">
        <f>'Sales Report_CW'!$I26</f>
        <v>0</v>
      </c>
      <c r="M26" s="22">
        <f>'Sales Report_CW'!$J26</f>
        <v>0</v>
      </c>
      <c r="N26" s="23" t="str">
        <f t="shared" si="4"/>
        <v>-</v>
      </c>
      <c r="O26" s="22">
        <f t="shared" si="5"/>
        <v>0</v>
      </c>
      <c r="P26" s="22">
        <f t="shared" si="5"/>
        <v>0</v>
      </c>
      <c r="R26" s="22">
        <f>'Sales Report_CW'!$M26</f>
        <v>0</v>
      </c>
      <c r="S26" s="22">
        <f>'Sales Report_CW'!$N26</f>
        <v>0</v>
      </c>
      <c r="T26" s="23" t="str">
        <f t="shared" si="6"/>
        <v>-</v>
      </c>
      <c r="U26" s="22">
        <f>'Sales Report_CW'!$O26</f>
        <v>0</v>
      </c>
      <c r="V26" s="22">
        <f>'Sales Report_CW'!$P26</f>
        <v>0</v>
      </c>
      <c r="W26" s="23" t="str">
        <f t="shared" si="7"/>
        <v>-</v>
      </c>
      <c r="X26" s="22">
        <f>'Sales Report_CW'!$Q26</f>
        <v>0</v>
      </c>
      <c r="Y26" s="22">
        <f>'Sales Report_CW'!$R26</f>
        <v>0</v>
      </c>
      <c r="Z26" s="23" t="str">
        <f t="shared" si="8"/>
        <v>-</v>
      </c>
      <c r="AA26" s="22">
        <f>'Sales Report_CW'!$S26</f>
        <v>0</v>
      </c>
      <c r="AB26" s="22">
        <f>'Sales Report_CW'!$T26</f>
        <v>0</v>
      </c>
      <c r="AC26" s="23" t="str">
        <f t="shared" si="9"/>
        <v>-</v>
      </c>
      <c r="AD26" s="22">
        <f t="shared" si="10"/>
        <v>0</v>
      </c>
      <c r="AE26" s="22">
        <f t="shared" si="10"/>
        <v>0</v>
      </c>
    </row>
    <row r="27" spans="2:31" ht="15" x14ac:dyDescent="0.25">
      <c r="B27" s="21">
        <f t="shared" si="0"/>
        <v>45858</v>
      </c>
      <c r="C27" s="22">
        <f>'Sales Report_CW'!$C27</f>
        <v>0</v>
      </c>
      <c r="D27" s="22">
        <f>'Sales Report_CW'!$D27</f>
        <v>0</v>
      </c>
      <c r="E27" s="23" t="str">
        <f t="shared" si="1"/>
        <v>-</v>
      </c>
      <c r="F27" s="22">
        <f>'Sales Report_CW'!$E27</f>
        <v>0</v>
      </c>
      <c r="G27" s="22">
        <f>'Sales Report_CW'!$F27</f>
        <v>0</v>
      </c>
      <c r="H27" s="23" t="str">
        <f t="shared" si="2"/>
        <v>-</v>
      </c>
      <c r="I27" s="22">
        <f>'Sales Report_CW'!$G27</f>
        <v>0</v>
      </c>
      <c r="J27" s="22">
        <f>'Sales Report_CW'!$H27</f>
        <v>0</v>
      </c>
      <c r="K27" s="23" t="str">
        <f t="shared" si="3"/>
        <v>-</v>
      </c>
      <c r="L27" s="22">
        <f>'Sales Report_CW'!$I27</f>
        <v>0</v>
      </c>
      <c r="M27" s="22">
        <f>'Sales Report_CW'!$J27</f>
        <v>0</v>
      </c>
      <c r="N27" s="23" t="str">
        <f t="shared" si="4"/>
        <v>-</v>
      </c>
      <c r="O27" s="22">
        <f t="shared" si="5"/>
        <v>0</v>
      </c>
      <c r="P27" s="22">
        <f t="shared" si="5"/>
        <v>0</v>
      </c>
      <c r="R27" s="22">
        <f>'Sales Report_CW'!$M27</f>
        <v>0</v>
      </c>
      <c r="S27" s="22">
        <f>'Sales Report_CW'!$N27</f>
        <v>0</v>
      </c>
      <c r="T27" s="23" t="str">
        <f t="shared" si="6"/>
        <v>-</v>
      </c>
      <c r="U27" s="22">
        <f>'Sales Report_CW'!$O27</f>
        <v>0</v>
      </c>
      <c r="V27" s="22">
        <f>'Sales Report_CW'!$P27</f>
        <v>0</v>
      </c>
      <c r="W27" s="23" t="str">
        <f t="shared" si="7"/>
        <v>-</v>
      </c>
      <c r="X27" s="22">
        <f>'Sales Report_CW'!$Q27</f>
        <v>0</v>
      </c>
      <c r="Y27" s="22">
        <f>'Sales Report_CW'!$R27</f>
        <v>0</v>
      </c>
      <c r="Z27" s="23" t="str">
        <f t="shared" si="8"/>
        <v>-</v>
      </c>
      <c r="AA27" s="22">
        <f>'Sales Report_CW'!$S27</f>
        <v>0</v>
      </c>
      <c r="AB27" s="22">
        <f>'Sales Report_CW'!$T27</f>
        <v>0</v>
      </c>
      <c r="AC27" s="23" t="str">
        <f t="shared" si="9"/>
        <v>-</v>
      </c>
      <c r="AD27" s="22">
        <f t="shared" si="10"/>
        <v>0</v>
      </c>
      <c r="AE27" s="22">
        <f t="shared" si="10"/>
        <v>0</v>
      </c>
    </row>
    <row r="28" spans="2:31" ht="15" x14ac:dyDescent="0.25">
      <c r="B28" s="21">
        <f t="shared" si="0"/>
        <v>45859</v>
      </c>
      <c r="C28" s="22">
        <f>'Sales Report_CW'!$C28</f>
        <v>0</v>
      </c>
      <c r="D28" s="22">
        <f>'Sales Report_CW'!$D28</f>
        <v>0</v>
      </c>
      <c r="E28" s="23" t="str">
        <f t="shared" si="1"/>
        <v>-</v>
      </c>
      <c r="F28" s="22">
        <f>'Sales Report_CW'!$E28</f>
        <v>0</v>
      </c>
      <c r="G28" s="22">
        <f>'Sales Report_CW'!$F28</f>
        <v>0</v>
      </c>
      <c r="H28" s="23" t="str">
        <f t="shared" si="2"/>
        <v>-</v>
      </c>
      <c r="I28" s="22">
        <f>'Sales Report_CW'!$G28</f>
        <v>0</v>
      </c>
      <c r="J28" s="22">
        <f>'Sales Report_CW'!$H28</f>
        <v>0</v>
      </c>
      <c r="K28" s="23" t="str">
        <f t="shared" si="3"/>
        <v>-</v>
      </c>
      <c r="L28" s="22">
        <f>'Sales Report_CW'!$I28</f>
        <v>0</v>
      </c>
      <c r="M28" s="22">
        <f>'Sales Report_CW'!$J28</f>
        <v>0</v>
      </c>
      <c r="N28" s="23" t="str">
        <f t="shared" si="4"/>
        <v>-</v>
      </c>
      <c r="O28" s="22">
        <f t="shared" si="5"/>
        <v>0</v>
      </c>
      <c r="P28" s="22">
        <f t="shared" si="5"/>
        <v>0</v>
      </c>
      <c r="R28" s="22">
        <f>'Sales Report_CW'!$M28</f>
        <v>0</v>
      </c>
      <c r="S28" s="22">
        <f>'Sales Report_CW'!$N28</f>
        <v>0</v>
      </c>
      <c r="T28" s="23" t="str">
        <f t="shared" si="6"/>
        <v>-</v>
      </c>
      <c r="U28" s="22">
        <f>'Sales Report_CW'!$O28</f>
        <v>0</v>
      </c>
      <c r="V28" s="22">
        <f>'Sales Report_CW'!$P28</f>
        <v>0</v>
      </c>
      <c r="W28" s="23" t="str">
        <f t="shared" si="7"/>
        <v>-</v>
      </c>
      <c r="X28" s="22">
        <f>'Sales Report_CW'!$Q28</f>
        <v>0</v>
      </c>
      <c r="Y28" s="22">
        <f>'Sales Report_CW'!$R28</f>
        <v>0</v>
      </c>
      <c r="Z28" s="23" t="str">
        <f t="shared" si="8"/>
        <v>-</v>
      </c>
      <c r="AA28" s="22">
        <f>'Sales Report_CW'!$S28</f>
        <v>0</v>
      </c>
      <c r="AB28" s="22">
        <f>'Sales Report_CW'!$T28</f>
        <v>0</v>
      </c>
      <c r="AC28" s="23" t="str">
        <f t="shared" si="9"/>
        <v>-</v>
      </c>
      <c r="AD28" s="22">
        <f t="shared" si="10"/>
        <v>0</v>
      </c>
      <c r="AE28" s="22">
        <f t="shared" si="10"/>
        <v>0</v>
      </c>
    </row>
    <row r="29" spans="2:31" ht="15" x14ac:dyDescent="0.25">
      <c r="B29" s="21">
        <f t="shared" si="0"/>
        <v>45860</v>
      </c>
      <c r="C29" s="22">
        <f>'Sales Report_CW'!$C29</f>
        <v>0</v>
      </c>
      <c r="D29" s="22">
        <f>'Sales Report_CW'!$D29</f>
        <v>0</v>
      </c>
      <c r="E29" s="23" t="str">
        <f t="shared" si="1"/>
        <v>-</v>
      </c>
      <c r="F29" s="22">
        <f>'Sales Report_CW'!$E29</f>
        <v>0</v>
      </c>
      <c r="G29" s="22">
        <f>'Sales Report_CW'!$F29</f>
        <v>0</v>
      </c>
      <c r="H29" s="23" t="str">
        <f t="shared" si="2"/>
        <v>-</v>
      </c>
      <c r="I29" s="22">
        <f>'Sales Report_CW'!$G29</f>
        <v>0</v>
      </c>
      <c r="J29" s="22">
        <f>'Sales Report_CW'!$H29</f>
        <v>0</v>
      </c>
      <c r="K29" s="23" t="str">
        <f t="shared" si="3"/>
        <v>-</v>
      </c>
      <c r="L29" s="22">
        <f>'Sales Report_CW'!$I29</f>
        <v>0</v>
      </c>
      <c r="M29" s="22">
        <f>'Sales Report_CW'!$J29</f>
        <v>0</v>
      </c>
      <c r="N29" s="23" t="str">
        <f t="shared" si="4"/>
        <v>-</v>
      </c>
      <c r="O29" s="22">
        <f t="shared" si="5"/>
        <v>0</v>
      </c>
      <c r="P29" s="22">
        <f t="shared" si="5"/>
        <v>0</v>
      </c>
      <c r="R29" s="22">
        <f>'Sales Report_CW'!$M29</f>
        <v>0</v>
      </c>
      <c r="S29" s="22">
        <f>'Sales Report_CW'!$N29</f>
        <v>0</v>
      </c>
      <c r="T29" s="23" t="str">
        <f t="shared" si="6"/>
        <v>-</v>
      </c>
      <c r="U29" s="22">
        <f>'Sales Report_CW'!$O29</f>
        <v>0</v>
      </c>
      <c r="V29" s="22">
        <f>'Sales Report_CW'!$P29</f>
        <v>0</v>
      </c>
      <c r="W29" s="23" t="str">
        <f t="shared" si="7"/>
        <v>-</v>
      </c>
      <c r="X29" s="22">
        <f>'Sales Report_CW'!$Q29</f>
        <v>0</v>
      </c>
      <c r="Y29" s="22">
        <f>'Sales Report_CW'!$R29</f>
        <v>0</v>
      </c>
      <c r="Z29" s="23" t="str">
        <f t="shared" si="8"/>
        <v>-</v>
      </c>
      <c r="AA29" s="22">
        <f>'Sales Report_CW'!$S29</f>
        <v>0</v>
      </c>
      <c r="AB29" s="22">
        <f>'Sales Report_CW'!$T29</f>
        <v>0</v>
      </c>
      <c r="AC29" s="23" t="str">
        <f t="shared" si="9"/>
        <v>-</v>
      </c>
      <c r="AD29" s="22">
        <f t="shared" si="10"/>
        <v>0</v>
      </c>
      <c r="AE29" s="22">
        <f t="shared" si="10"/>
        <v>0</v>
      </c>
    </row>
    <row r="30" spans="2:31" ht="15" x14ac:dyDescent="0.25">
      <c r="B30" s="21">
        <f t="shared" si="0"/>
        <v>45861</v>
      </c>
      <c r="C30" s="22">
        <f>'Sales Report_CW'!$C30</f>
        <v>0</v>
      </c>
      <c r="D30" s="22">
        <f>'Sales Report_CW'!$D30</f>
        <v>0</v>
      </c>
      <c r="E30" s="23" t="str">
        <f t="shared" si="1"/>
        <v>-</v>
      </c>
      <c r="F30" s="22">
        <f>'Sales Report_CW'!$E30</f>
        <v>0</v>
      </c>
      <c r="G30" s="22">
        <f>'Sales Report_CW'!$F30</f>
        <v>0</v>
      </c>
      <c r="H30" s="23" t="str">
        <f t="shared" si="2"/>
        <v>-</v>
      </c>
      <c r="I30" s="22">
        <f>'Sales Report_CW'!$G30</f>
        <v>0</v>
      </c>
      <c r="J30" s="22">
        <f>'Sales Report_CW'!$H30</f>
        <v>0</v>
      </c>
      <c r="K30" s="23" t="str">
        <f t="shared" si="3"/>
        <v>-</v>
      </c>
      <c r="L30" s="22">
        <f>'Sales Report_CW'!$I30</f>
        <v>0</v>
      </c>
      <c r="M30" s="22">
        <f>'Sales Report_CW'!$J30</f>
        <v>0</v>
      </c>
      <c r="N30" s="23" t="str">
        <f t="shared" si="4"/>
        <v>-</v>
      </c>
      <c r="O30" s="22">
        <f t="shared" si="5"/>
        <v>0</v>
      </c>
      <c r="P30" s="22">
        <f t="shared" si="5"/>
        <v>0</v>
      </c>
      <c r="R30" s="22">
        <f>'Sales Report_CW'!$M30</f>
        <v>0</v>
      </c>
      <c r="S30" s="22">
        <f>'Sales Report_CW'!$N30</f>
        <v>0</v>
      </c>
      <c r="T30" s="23" t="str">
        <f t="shared" si="6"/>
        <v>-</v>
      </c>
      <c r="U30" s="22">
        <f>'Sales Report_CW'!$O30</f>
        <v>0</v>
      </c>
      <c r="V30" s="22">
        <f>'Sales Report_CW'!$P30</f>
        <v>0</v>
      </c>
      <c r="W30" s="23" t="str">
        <f t="shared" si="7"/>
        <v>-</v>
      </c>
      <c r="X30" s="22">
        <f>'Sales Report_CW'!$Q30</f>
        <v>0</v>
      </c>
      <c r="Y30" s="22">
        <f>'Sales Report_CW'!$R30</f>
        <v>0</v>
      </c>
      <c r="Z30" s="23" t="str">
        <f t="shared" si="8"/>
        <v>-</v>
      </c>
      <c r="AA30" s="22">
        <f>'Sales Report_CW'!$S30</f>
        <v>0</v>
      </c>
      <c r="AB30" s="22">
        <f>'Sales Report_CW'!$T30</f>
        <v>0</v>
      </c>
      <c r="AC30" s="23" t="str">
        <f t="shared" si="9"/>
        <v>-</v>
      </c>
      <c r="AD30" s="22">
        <f t="shared" si="10"/>
        <v>0</v>
      </c>
      <c r="AE30" s="22">
        <f t="shared" si="10"/>
        <v>0</v>
      </c>
    </row>
    <row r="31" spans="2:31" ht="15" x14ac:dyDescent="0.25">
      <c r="B31" s="21">
        <f t="shared" si="0"/>
        <v>45862</v>
      </c>
      <c r="C31" s="22">
        <f>'Sales Report_CW'!$C31</f>
        <v>0</v>
      </c>
      <c r="D31" s="22">
        <f>'Sales Report_CW'!$D31</f>
        <v>0</v>
      </c>
      <c r="E31" s="23" t="str">
        <f t="shared" si="1"/>
        <v>-</v>
      </c>
      <c r="F31" s="22">
        <f>'Sales Report_CW'!$E31</f>
        <v>0</v>
      </c>
      <c r="G31" s="22">
        <f>'Sales Report_CW'!$F31</f>
        <v>0</v>
      </c>
      <c r="H31" s="23" t="str">
        <f t="shared" si="2"/>
        <v>-</v>
      </c>
      <c r="I31" s="22">
        <f>'Sales Report_CW'!$G31</f>
        <v>0</v>
      </c>
      <c r="J31" s="22">
        <f>'Sales Report_CW'!$H31</f>
        <v>0</v>
      </c>
      <c r="K31" s="23" t="str">
        <f t="shared" si="3"/>
        <v>-</v>
      </c>
      <c r="L31" s="22">
        <f>'Sales Report_CW'!$I31</f>
        <v>0</v>
      </c>
      <c r="M31" s="22">
        <f>'Sales Report_CW'!$J31</f>
        <v>0</v>
      </c>
      <c r="N31" s="23" t="str">
        <f t="shared" si="4"/>
        <v>-</v>
      </c>
      <c r="O31" s="22">
        <f t="shared" si="5"/>
        <v>0</v>
      </c>
      <c r="P31" s="22">
        <f t="shared" si="5"/>
        <v>0</v>
      </c>
      <c r="R31" s="22">
        <f>'Sales Report_CW'!$M31</f>
        <v>0</v>
      </c>
      <c r="S31" s="22">
        <f>'Sales Report_CW'!$N31</f>
        <v>0</v>
      </c>
      <c r="T31" s="23" t="str">
        <f t="shared" si="6"/>
        <v>-</v>
      </c>
      <c r="U31" s="22">
        <f>'Sales Report_CW'!$O31</f>
        <v>0</v>
      </c>
      <c r="V31" s="22">
        <f>'Sales Report_CW'!$P31</f>
        <v>0</v>
      </c>
      <c r="W31" s="23" t="str">
        <f t="shared" si="7"/>
        <v>-</v>
      </c>
      <c r="X31" s="22">
        <f>'Sales Report_CW'!$Q31</f>
        <v>0</v>
      </c>
      <c r="Y31" s="22">
        <f>'Sales Report_CW'!$R31</f>
        <v>0</v>
      </c>
      <c r="Z31" s="23" t="str">
        <f t="shared" si="8"/>
        <v>-</v>
      </c>
      <c r="AA31" s="22">
        <f>'Sales Report_CW'!$S31</f>
        <v>0</v>
      </c>
      <c r="AB31" s="22">
        <f>'Sales Report_CW'!$T31</f>
        <v>0</v>
      </c>
      <c r="AC31" s="23" t="str">
        <f t="shared" si="9"/>
        <v>-</v>
      </c>
      <c r="AD31" s="22">
        <f t="shared" si="10"/>
        <v>0</v>
      </c>
      <c r="AE31" s="22">
        <f t="shared" si="10"/>
        <v>0</v>
      </c>
    </row>
    <row r="32" spans="2:31" ht="15" x14ac:dyDescent="0.25">
      <c r="B32" s="21">
        <f t="shared" si="0"/>
        <v>45863</v>
      </c>
      <c r="C32" s="22">
        <f>'Sales Report_CW'!$C32</f>
        <v>0</v>
      </c>
      <c r="D32" s="22">
        <f>'Sales Report_CW'!$D32</f>
        <v>0</v>
      </c>
      <c r="E32" s="23" t="str">
        <f t="shared" si="1"/>
        <v>-</v>
      </c>
      <c r="F32" s="22">
        <f>'Sales Report_CW'!$E32</f>
        <v>0</v>
      </c>
      <c r="G32" s="22">
        <f>'Sales Report_CW'!$F32</f>
        <v>0</v>
      </c>
      <c r="H32" s="23" t="str">
        <f t="shared" si="2"/>
        <v>-</v>
      </c>
      <c r="I32" s="22">
        <f>'Sales Report_CW'!$G32</f>
        <v>0</v>
      </c>
      <c r="J32" s="22">
        <f>'Sales Report_CW'!$H32</f>
        <v>0</v>
      </c>
      <c r="K32" s="23" t="str">
        <f t="shared" si="3"/>
        <v>-</v>
      </c>
      <c r="L32" s="22">
        <f>'Sales Report_CW'!$I32</f>
        <v>0</v>
      </c>
      <c r="M32" s="22">
        <f>'Sales Report_CW'!$J32</f>
        <v>0</v>
      </c>
      <c r="N32" s="23" t="str">
        <f t="shared" si="4"/>
        <v>-</v>
      </c>
      <c r="O32" s="22">
        <f t="shared" si="5"/>
        <v>0</v>
      </c>
      <c r="P32" s="22">
        <f t="shared" si="5"/>
        <v>0</v>
      </c>
      <c r="R32" s="22">
        <f>'Sales Report_CW'!$M32</f>
        <v>0</v>
      </c>
      <c r="S32" s="22">
        <f>'Sales Report_CW'!$N32</f>
        <v>0</v>
      </c>
      <c r="T32" s="23" t="str">
        <f t="shared" si="6"/>
        <v>-</v>
      </c>
      <c r="U32" s="22">
        <f>'Sales Report_CW'!$O32</f>
        <v>0</v>
      </c>
      <c r="V32" s="22">
        <f>'Sales Report_CW'!$P32</f>
        <v>0</v>
      </c>
      <c r="W32" s="23" t="str">
        <f t="shared" si="7"/>
        <v>-</v>
      </c>
      <c r="X32" s="22">
        <f>'Sales Report_CW'!$Q32</f>
        <v>0</v>
      </c>
      <c r="Y32" s="22">
        <f>'Sales Report_CW'!$R32</f>
        <v>0</v>
      </c>
      <c r="Z32" s="23" t="str">
        <f t="shared" si="8"/>
        <v>-</v>
      </c>
      <c r="AA32" s="22">
        <f>'Sales Report_CW'!$S32</f>
        <v>0</v>
      </c>
      <c r="AB32" s="22">
        <f>'Sales Report_CW'!$T32</f>
        <v>0</v>
      </c>
      <c r="AC32" s="23" t="str">
        <f t="shared" si="9"/>
        <v>-</v>
      </c>
      <c r="AD32" s="22">
        <f t="shared" si="10"/>
        <v>0</v>
      </c>
      <c r="AE32" s="22">
        <f t="shared" si="10"/>
        <v>0</v>
      </c>
    </row>
    <row r="33" spans="1:31" ht="15" x14ac:dyDescent="0.25">
      <c r="B33" s="21">
        <f t="shared" si="0"/>
        <v>45864</v>
      </c>
      <c r="C33" s="22">
        <f>'Sales Report_CW'!$C33</f>
        <v>0</v>
      </c>
      <c r="D33" s="22">
        <f>'Sales Report_CW'!$D33</f>
        <v>0</v>
      </c>
      <c r="E33" s="23" t="str">
        <f t="shared" si="1"/>
        <v>-</v>
      </c>
      <c r="F33" s="22">
        <f>'Sales Report_CW'!$E33</f>
        <v>0</v>
      </c>
      <c r="G33" s="22">
        <f>'Sales Report_CW'!$F33</f>
        <v>0</v>
      </c>
      <c r="H33" s="23" t="str">
        <f t="shared" si="2"/>
        <v>-</v>
      </c>
      <c r="I33" s="22">
        <f>'Sales Report_CW'!$G33</f>
        <v>0</v>
      </c>
      <c r="J33" s="22">
        <f>'Sales Report_CW'!$H33</f>
        <v>0</v>
      </c>
      <c r="K33" s="23" t="str">
        <f t="shared" si="3"/>
        <v>-</v>
      </c>
      <c r="L33" s="22">
        <f>'Sales Report_CW'!$I33</f>
        <v>0</v>
      </c>
      <c r="M33" s="22">
        <f>'Sales Report_CW'!$J33</f>
        <v>0</v>
      </c>
      <c r="N33" s="23" t="str">
        <f t="shared" si="4"/>
        <v>-</v>
      </c>
      <c r="O33" s="22">
        <f t="shared" si="5"/>
        <v>0</v>
      </c>
      <c r="P33" s="22">
        <f t="shared" si="5"/>
        <v>0</v>
      </c>
      <c r="R33" s="22">
        <f>'Sales Report_CW'!$M33</f>
        <v>0</v>
      </c>
      <c r="S33" s="22">
        <f>'Sales Report_CW'!$N33</f>
        <v>0</v>
      </c>
      <c r="T33" s="23" t="str">
        <f t="shared" si="6"/>
        <v>-</v>
      </c>
      <c r="U33" s="22">
        <f>'Sales Report_CW'!$O33</f>
        <v>0</v>
      </c>
      <c r="V33" s="22">
        <f>'Sales Report_CW'!$P33</f>
        <v>0</v>
      </c>
      <c r="W33" s="23" t="str">
        <f t="shared" si="7"/>
        <v>-</v>
      </c>
      <c r="X33" s="22">
        <f>'Sales Report_CW'!$Q33</f>
        <v>0</v>
      </c>
      <c r="Y33" s="22">
        <f>'Sales Report_CW'!$R33</f>
        <v>0</v>
      </c>
      <c r="Z33" s="23" t="str">
        <f t="shared" si="8"/>
        <v>-</v>
      </c>
      <c r="AA33" s="22">
        <f>'Sales Report_CW'!$S33</f>
        <v>0</v>
      </c>
      <c r="AB33" s="22">
        <f>'Sales Report_CW'!$T33</f>
        <v>0</v>
      </c>
      <c r="AC33" s="23" t="str">
        <f t="shared" si="9"/>
        <v>-</v>
      </c>
      <c r="AD33" s="22">
        <f t="shared" si="10"/>
        <v>0</v>
      </c>
      <c r="AE33" s="22">
        <f t="shared" si="10"/>
        <v>0</v>
      </c>
    </row>
    <row r="34" spans="1:31" ht="15" x14ac:dyDescent="0.25">
      <c r="B34" s="21">
        <f t="shared" si="0"/>
        <v>45865</v>
      </c>
      <c r="C34" s="22">
        <f>'Sales Report_CW'!$C34</f>
        <v>0</v>
      </c>
      <c r="D34" s="22">
        <f>'Sales Report_CW'!$D34</f>
        <v>0</v>
      </c>
      <c r="E34" s="23" t="str">
        <f t="shared" si="1"/>
        <v>-</v>
      </c>
      <c r="F34" s="22">
        <f>'Sales Report_CW'!$E34</f>
        <v>0</v>
      </c>
      <c r="G34" s="22">
        <f>'Sales Report_CW'!$F34</f>
        <v>0</v>
      </c>
      <c r="H34" s="23" t="str">
        <f t="shared" si="2"/>
        <v>-</v>
      </c>
      <c r="I34" s="22">
        <f>'Sales Report_CW'!$G34</f>
        <v>0</v>
      </c>
      <c r="J34" s="22">
        <f>'Sales Report_CW'!$H34</f>
        <v>0</v>
      </c>
      <c r="K34" s="23" t="str">
        <f t="shared" si="3"/>
        <v>-</v>
      </c>
      <c r="L34" s="22">
        <f>'Sales Report_CW'!$I34</f>
        <v>0</v>
      </c>
      <c r="M34" s="22">
        <f>'Sales Report_CW'!$J34</f>
        <v>0</v>
      </c>
      <c r="N34" s="23" t="str">
        <f t="shared" si="4"/>
        <v>-</v>
      </c>
      <c r="O34" s="22">
        <f t="shared" si="5"/>
        <v>0</v>
      </c>
      <c r="P34" s="22">
        <f t="shared" si="5"/>
        <v>0</v>
      </c>
      <c r="R34" s="22">
        <f>'Sales Report_CW'!$M34</f>
        <v>0</v>
      </c>
      <c r="S34" s="22">
        <f>'Sales Report_CW'!$N34</f>
        <v>0</v>
      </c>
      <c r="T34" s="23" t="str">
        <f t="shared" si="6"/>
        <v>-</v>
      </c>
      <c r="U34" s="22">
        <f>'Sales Report_CW'!$O34</f>
        <v>0</v>
      </c>
      <c r="V34" s="22">
        <f>'Sales Report_CW'!$P34</f>
        <v>0</v>
      </c>
      <c r="W34" s="23" t="str">
        <f t="shared" si="7"/>
        <v>-</v>
      </c>
      <c r="X34" s="22">
        <f>'Sales Report_CW'!$Q34</f>
        <v>0</v>
      </c>
      <c r="Y34" s="22">
        <f>'Sales Report_CW'!$R34</f>
        <v>0</v>
      </c>
      <c r="Z34" s="23" t="str">
        <f t="shared" si="8"/>
        <v>-</v>
      </c>
      <c r="AA34" s="22">
        <f>'Sales Report_CW'!$S34</f>
        <v>0</v>
      </c>
      <c r="AB34" s="22">
        <f>'Sales Report_CW'!$T34</f>
        <v>0</v>
      </c>
      <c r="AC34" s="23" t="str">
        <f t="shared" si="9"/>
        <v>-</v>
      </c>
      <c r="AD34" s="22">
        <f t="shared" si="10"/>
        <v>0</v>
      </c>
      <c r="AE34" s="22">
        <f t="shared" si="10"/>
        <v>0</v>
      </c>
    </row>
    <row r="35" spans="1:31" ht="15" x14ac:dyDescent="0.25">
      <c r="B35" s="21">
        <f t="shared" si="0"/>
        <v>45866</v>
      </c>
      <c r="C35" s="22">
        <f>'Sales Report_CW'!$C35</f>
        <v>0</v>
      </c>
      <c r="D35" s="22">
        <f>'Sales Report_CW'!$D35</f>
        <v>0</v>
      </c>
      <c r="E35" s="23" t="str">
        <f t="shared" si="1"/>
        <v>-</v>
      </c>
      <c r="F35" s="22">
        <f>'Sales Report_CW'!$E35</f>
        <v>0</v>
      </c>
      <c r="G35" s="22">
        <f>'Sales Report_CW'!$F35</f>
        <v>0</v>
      </c>
      <c r="H35" s="23" t="str">
        <f t="shared" si="2"/>
        <v>-</v>
      </c>
      <c r="I35" s="22">
        <f>'Sales Report_CW'!$G35</f>
        <v>0</v>
      </c>
      <c r="J35" s="22">
        <f>'Sales Report_CW'!$H35</f>
        <v>0</v>
      </c>
      <c r="K35" s="23" t="str">
        <f t="shared" si="3"/>
        <v>-</v>
      </c>
      <c r="L35" s="22">
        <f>'Sales Report_CW'!$I35</f>
        <v>0</v>
      </c>
      <c r="M35" s="22">
        <f>'Sales Report_CW'!$J35</f>
        <v>0</v>
      </c>
      <c r="N35" s="23" t="str">
        <f t="shared" si="4"/>
        <v>-</v>
      </c>
      <c r="O35" s="22">
        <f t="shared" si="5"/>
        <v>0</v>
      </c>
      <c r="P35" s="22">
        <f t="shared" si="5"/>
        <v>0</v>
      </c>
      <c r="R35" s="22">
        <f>'Sales Report_CW'!$M35</f>
        <v>0</v>
      </c>
      <c r="S35" s="22">
        <f>'Sales Report_CW'!$N35</f>
        <v>0</v>
      </c>
      <c r="T35" s="23" t="str">
        <f t="shared" si="6"/>
        <v>-</v>
      </c>
      <c r="U35" s="22">
        <f>'Sales Report_CW'!$O35</f>
        <v>0</v>
      </c>
      <c r="V35" s="22">
        <f>'Sales Report_CW'!$P35</f>
        <v>0</v>
      </c>
      <c r="W35" s="23" t="str">
        <f t="shared" si="7"/>
        <v>-</v>
      </c>
      <c r="X35" s="22">
        <f>'Sales Report_CW'!$Q35</f>
        <v>0</v>
      </c>
      <c r="Y35" s="22">
        <f>'Sales Report_CW'!$R35</f>
        <v>0</v>
      </c>
      <c r="Z35" s="23" t="str">
        <f t="shared" si="8"/>
        <v>-</v>
      </c>
      <c r="AA35" s="22">
        <f>'Sales Report_CW'!$S35</f>
        <v>0</v>
      </c>
      <c r="AB35" s="22">
        <f>'Sales Report_CW'!$T35</f>
        <v>0</v>
      </c>
      <c r="AC35" s="23" t="str">
        <f t="shared" si="9"/>
        <v>-</v>
      </c>
      <c r="AD35" s="22">
        <f t="shared" si="10"/>
        <v>0</v>
      </c>
      <c r="AE35" s="22">
        <f t="shared" si="10"/>
        <v>0</v>
      </c>
    </row>
    <row r="36" spans="1:31" ht="15" x14ac:dyDescent="0.25">
      <c r="B36" s="21">
        <f t="shared" si="0"/>
        <v>45867</v>
      </c>
      <c r="C36" s="22">
        <f>'Sales Report_CW'!$C36</f>
        <v>0</v>
      </c>
      <c r="D36" s="22">
        <f>'Sales Report_CW'!$D36</f>
        <v>0</v>
      </c>
      <c r="E36" s="23" t="str">
        <f t="shared" si="1"/>
        <v>-</v>
      </c>
      <c r="F36" s="22">
        <f>'Sales Report_CW'!$E36</f>
        <v>0</v>
      </c>
      <c r="G36" s="22">
        <f>'Sales Report_CW'!$F36</f>
        <v>0</v>
      </c>
      <c r="H36" s="23" t="str">
        <f t="shared" si="2"/>
        <v>-</v>
      </c>
      <c r="I36" s="22">
        <f>'Sales Report_CW'!$G36</f>
        <v>0</v>
      </c>
      <c r="J36" s="22">
        <f>'Sales Report_CW'!$H36</f>
        <v>0</v>
      </c>
      <c r="K36" s="23" t="str">
        <f t="shared" si="3"/>
        <v>-</v>
      </c>
      <c r="L36" s="22">
        <f>'Sales Report_CW'!$I36</f>
        <v>0</v>
      </c>
      <c r="M36" s="22">
        <f>'Sales Report_CW'!$J36</f>
        <v>0</v>
      </c>
      <c r="N36" s="23" t="str">
        <f t="shared" si="4"/>
        <v>-</v>
      </c>
      <c r="O36" s="22">
        <f t="shared" si="5"/>
        <v>0</v>
      </c>
      <c r="P36" s="22">
        <f t="shared" si="5"/>
        <v>0</v>
      </c>
      <c r="R36" s="22">
        <f>'Sales Report_CW'!$M36</f>
        <v>0</v>
      </c>
      <c r="S36" s="22">
        <f>'Sales Report_CW'!$N36</f>
        <v>0</v>
      </c>
      <c r="T36" s="23" t="str">
        <f t="shared" si="6"/>
        <v>-</v>
      </c>
      <c r="U36" s="22">
        <f>'Sales Report_CW'!$O36</f>
        <v>0</v>
      </c>
      <c r="V36" s="22">
        <f>'Sales Report_CW'!$P36</f>
        <v>0</v>
      </c>
      <c r="W36" s="23" t="str">
        <f t="shared" si="7"/>
        <v>-</v>
      </c>
      <c r="X36" s="22">
        <f>'Sales Report_CW'!$Q36</f>
        <v>0</v>
      </c>
      <c r="Y36" s="22">
        <f>'Sales Report_CW'!$R36</f>
        <v>0</v>
      </c>
      <c r="Z36" s="23" t="str">
        <f t="shared" si="8"/>
        <v>-</v>
      </c>
      <c r="AA36" s="22">
        <f>'Sales Report_CW'!$S36</f>
        <v>0</v>
      </c>
      <c r="AB36" s="22">
        <f>'Sales Report_CW'!$T36</f>
        <v>0</v>
      </c>
      <c r="AC36" s="23" t="str">
        <f t="shared" si="9"/>
        <v>-</v>
      </c>
      <c r="AD36" s="22">
        <f t="shared" si="10"/>
        <v>0</v>
      </c>
      <c r="AE36" s="22">
        <f t="shared" si="10"/>
        <v>0</v>
      </c>
    </row>
    <row r="37" spans="1:31" ht="15" x14ac:dyDescent="0.25">
      <c r="B37" s="21">
        <f t="shared" si="0"/>
        <v>45868</v>
      </c>
      <c r="C37" s="22">
        <f>'Sales Report_CW'!$C37</f>
        <v>0</v>
      </c>
      <c r="D37" s="22">
        <f>'Sales Report_CW'!$D37</f>
        <v>0</v>
      </c>
      <c r="E37" s="23" t="str">
        <f t="shared" si="1"/>
        <v>-</v>
      </c>
      <c r="F37" s="22">
        <f>'Sales Report_CW'!$E37</f>
        <v>0</v>
      </c>
      <c r="G37" s="22">
        <f>'Sales Report_CW'!$F37</f>
        <v>0</v>
      </c>
      <c r="H37" s="23" t="str">
        <f t="shared" si="2"/>
        <v>-</v>
      </c>
      <c r="I37" s="22">
        <f>'Sales Report_CW'!$G37</f>
        <v>0</v>
      </c>
      <c r="J37" s="22">
        <f>'Sales Report_CW'!$H37</f>
        <v>0</v>
      </c>
      <c r="K37" s="23" t="str">
        <f t="shared" si="3"/>
        <v>-</v>
      </c>
      <c r="L37" s="22">
        <f>'Sales Report_CW'!$I37</f>
        <v>0</v>
      </c>
      <c r="M37" s="22">
        <f>'Sales Report_CW'!$J37</f>
        <v>0</v>
      </c>
      <c r="N37" s="23" t="str">
        <f t="shared" si="4"/>
        <v>-</v>
      </c>
      <c r="O37" s="22">
        <f t="shared" si="5"/>
        <v>0</v>
      </c>
      <c r="P37" s="22">
        <f t="shared" si="5"/>
        <v>0</v>
      </c>
      <c r="R37" s="22">
        <f>'Sales Report_CW'!$M37</f>
        <v>0</v>
      </c>
      <c r="S37" s="22">
        <f>'Sales Report_CW'!$N37</f>
        <v>0</v>
      </c>
      <c r="T37" s="23" t="str">
        <f t="shared" si="6"/>
        <v>-</v>
      </c>
      <c r="U37" s="22">
        <f>'Sales Report_CW'!$O37</f>
        <v>0</v>
      </c>
      <c r="V37" s="22">
        <f>'Sales Report_CW'!$P37</f>
        <v>0</v>
      </c>
      <c r="W37" s="23" t="str">
        <f t="shared" si="7"/>
        <v>-</v>
      </c>
      <c r="X37" s="22">
        <f>'Sales Report_CW'!$Q37</f>
        <v>0</v>
      </c>
      <c r="Y37" s="22">
        <f>'Sales Report_CW'!$R37</f>
        <v>0</v>
      </c>
      <c r="Z37" s="23" t="str">
        <f t="shared" si="8"/>
        <v>-</v>
      </c>
      <c r="AA37" s="22">
        <f>'Sales Report_CW'!$S37</f>
        <v>0</v>
      </c>
      <c r="AB37" s="22">
        <f>'Sales Report_CW'!$T37</f>
        <v>0</v>
      </c>
      <c r="AC37" s="23" t="str">
        <f t="shared" si="9"/>
        <v>-</v>
      </c>
      <c r="AD37" s="22">
        <f t="shared" si="10"/>
        <v>0</v>
      </c>
      <c r="AE37" s="22">
        <f t="shared" si="10"/>
        <v>0</v>
      </c>
    </row>
    <row r="38" spans="1:31" ht="15" x14ac:dyDescent="0.25">
      <c r="B38" s="21">
        <f t="shared" si="0"/>
        <v>45869</v>
      </c>
      <c r="C38" s="22">
        <f>'Sales Report_CW'!$C38</f>
        <v>0</v>
      </c>
      <c r="D38" s="22">
        <f>'Sales Report_CW'!$D38</f>
        <v>0</v>
      </c>
      <c r="E38" s="23" t="str">
        <f t="shared" si="1"/>
        <v>-</v>
      </c>
      <c r="F38" s="22">
        <f>'Sales Report_CW'!$E38</f>
        <v>0</v>
      </c>
      <c r="G38" s="22">
        <f>'Sales Report_CW'!$F38</f>
        <v>0</v>
      </c>
      <c r="H38" s="23" t="str">
        <f t="shared" si="2"/>
        <v>-</v>
      </c>
      <c r="I38" s="22">
        <f>'Sales Report_CW'!$G38</f>
        <v>0</v>
      </c>
      <c r="J38" s="22">
        <f>'Sales Report_CW'!$H38</f>
        <v>0</v>
      </c>
      <c r="K38" s="23" t="str">
        <f t="shared" si="3"/>
        <v>-</v>
      </c>
      <c r="L38" s="22">
        <f>'Sales Report_CW'!$I38</f>
        <v>0</v>
      </c>
      <c r="M38" s="22">
        <f>'Sales Report_CW'!$J38</f>
        <v>0</v>
      </c>
      <c r="N38" s="23" t="str">
        <f t="shared" si="4"/>
        <v>-</v>
      </c>
      <c r="O38" s="22">
        <f t="shared" si="5"/>
        <v>0</v>
      </c>
      <c r="P38" s="22">
        <f t="shared" si="5"/>
        <v>0</v>
      </c>
      <c r="R38" s="22">
        <f>'Sales Report_CW'!$M38</f>
        <v>0</v>
      </c>
      <c r="S38" s="22">
        <f>'Sales Report_CW'!$N38</f>
        <v>0</v>
      </c>
      <c r="T38" s="23" t="str">
        <f t="shared" si="6"/>
        <v>-</v>
      </c>
      <c r="U38" s="22">
        <f>'Sales Report_CW'!$O38</f>
        <v>0</v>
      </c>
      <c r="V38" s="22">
        <f>'Sales Report_CW'!$P38</f>
        <v>0</v>
      </c>
      <c r="W38" s="23" t="str">
        <f t="shared" si="7"/>
        <v>-</v>
      </c>
      <c r="X38" s="22">
        <f>'Sales Report_CW'!$Q38</f>
        <v>0</v>
      </c>
      <c r="Y38" s="22">
        <f>'Sales Report_CW'!$R38</f>
        <v>0</v>
      </c>
      <c r="Z38" s="23" t="str">
        <f t="shared" si="8"/>
        <v>-</v>
      </c>
      <c r="AA38" s="22">
        <f>'Sales Report_CW'!$S38</f>
        <v>0</v>
      </c>
      <c r="AB38" s="22">
        <f>'Sales Report_CW'!$T38</f>
        <v>0</v>
      </c>
      <c r="AC38" s="23" t="str">
        <f t="shared" si="9"/>
        <v>-</v>
      </c>
      <c r="AD38" s="22">
        <f t="shared" si="10"/>
        <v>0</v>
      </c>
      <c r="AE38" s="22">
        <f t="shared" si="10"/>
        <v>0</v>
      </c>
    </row>
    <row r="39" spans="1:31" s="14" customFormat="1" x14ac:dyDescent="0.25">
      <c r="B39" s="24" t="s">
        <v>14</v>
      </c>
      <c r="C39" s="26">
        <f>SUM(C8:C38)</f>
        <v>0</v>
      </c>
      <c r="D39" s="26">
        <f>SUM(D8:D38)</f>
        <v>0</v>
      </c>
      <c r="E39" s="26" t="e">
        <f>D39/C39</f>
        <v>#DIV/0!</v>
      </c>
      <c r="F39" s="26">
        <f>SUM(F8:F38)</f>
        <v>0</v>
      </c>
      <c r="G39" s="26">
        <f>SUM(G8:G38)</f>
        <v>0</v>
      </c>
      <c r="H39" s="26" t="e">
        <f>G39/F39</f>
        <v>#DIV/0!</v>
      </c>
      <c r="I39" s="26">
        <f>SUM(I8:I38)</f>
        <v>0</v>
      </c>
      <c r="J39" s="26">
        <f>SUM(J8:J38)</f>
        <v>0</v>
      </c>
      <c r="K39" s="26" t="e">
        <f>J39/I39</f>
        <v>#DIV/0!</v>
      </c>
      <c r="L39" s="26">
        <f>SUM(L8:L38)</f>
        <v>0</v>
      </c>
      <c r="M39" s="26">
        <f>SUM(M8:M38)</f>
        <v>0</v>
      </c>
      <c r="N39" s="26" t="e">
        <f>M39/L39</f>
        <v>#DIV/0!</v>
      </c>
      <c r="O39" s="26">
        <f>SUM(O8:O38)</f>
        <v>0</v>
      </c>
      <c r="P39" s="26">
        <f>SUM(P8:P38)</f>
        <v>0</v>
      </c>
      <c r="Q39" s="6"/>
      <c r="R39" s="26">
        <f>SUM(R8:R38)</f>
        <v>0</v>
      </c>
      <c r="S39" s="26">
        <f>SUM(S8:S38)</f>
        <v>0</v>
      </c>
      <c r="T39" s="26" t="e">
        <f>S39/R39</f>
        <v>#DIV/0!</v>
      </c>
      <c r="U39" s="26">
        <f>SUM(U8:U38)</f>
        <v>0</v>
      </c>
      <c r="V39" s="26">
        <f>SUM(V8:V38)</f>
        <v>0</v>
      </c>
      <c r="W39" s="26" t="e">
        <f>V39/U39</f>
        <v>#DIV/0!</v>
      </c>
      <c r="X39" s="26">
        <f>SUM(X8:X38)</f>
        <v>0</v>
      </c>
      <c r="Y39" s="26">
        <f>SUM(Y8:Y38)</f>
        <v>0</v>
      </c>
      <c r="Z39" s="28" t="e">
        <f>Y39/X39</f>
        <v>#DIV/0!</v>
      </c>
      <c r="AA39" s="26">
        <f>SUM(AA8:AA38)</f>
        <v>0</v>
      </c>
      <c r="AB39" s="26">
        <f>SUM(AB8:AB38)</f>
        <v>0</v>
      </c>
      <c r="AC39" s="28" t="e">
        <f>AB39/AA39</f>
        <v>#DIV/0!</v>
      </c>
      <c r="AD39" s="26">
        <f>SUM(AD8:AD38)</f>
        <v>0</v>
      </c>
      <c r="AE39" s="26">
        <f>SUM(AE8:AE38)</f>
        <v>0</v>
      </c>
    </row>
    <row r="40" spans="1:31" s="14" customFormat="1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</row>
    <row r="41" spans="1:31" s="14" customFormat="1" x14ac:dyDescent="0.25">
      <c r="B41" s="27">
        <f>DATE(YEAR(B4),MONTH(B4),10)</f>
        <v>45848</v>
      </c>
      <c r="C41" s="10">
        <f>SUM(C$8:C$17)</f>
        <v>0</v>
      </c>
      <c r="D41" s="10">
        <f>SUM(D$8:D$17)</f>
        <v>0</v>
      </c>
      <c r="E41" s="10" t="e">
        <f>D41/C41</f>
        <v>#DIV/0!</v>
      </c>
      <c r="F41" s="10">
        <f>SUM(F$8:F$17)</f>
        <v>0</v>
      </c>
      <c r="G41" s="10">
        <f>SUM(G$8:G$17)</f>
        <v>0</v>
      </c>
      <c r="H41" s="10" t="e">
        <f>G41/F41</f>
        <v>#DIV/0!</v>
      </c>
      <c r="I41" s="10">
        <f>SUM(I$8:I$17)</f>
        <v>0</v>
      </c>
      <c r="J41" s="10">
        <f>SUM(J$8:J$17)</f>
        <v>0</v>
      </c>
      <c r="K41" s="10" t="e">
        <f>J41/I41</f>
        <v>#DIV/0!</v>
      </c>
      <c r="L41" s="10">
        <f>SUM(L$8:L$17)</f>
        <v>0</v>
      </c>
      <c r="M41" s="10">
        <f>SUM(M$8:M$17)</f>
        <v>0</v>
      </c>
      <c r="N41" s="10" t="e">
        <f>M41/L41</f>
        <v>#DIV/0!</v>
      </c>
      <c r="O41" s="10">
        <f>SUM(O$8:O$17)</f>
        <v>0</v>
      </c>
      <c r="P41" s="10">
        <f>SUM(P$8:P$17)</f>
        <v>0</v>
      </c>
      <c r="R41" s="10">
        <f>SUM(R$8:R$17)</f>
        <v>0</v>
      </c>
      <c r="S41" s="10">
        <f>SUM(S$8:S$17)</f>
        <v>0</v>
      </c>
      <c r="T41" s="10" t="e">
        <f>S41/R41</f>
        <v>#DIV/0!</v>
      </c>
      <c r="U41" s="10">
        <f>SUM(U$8:U$17)</f>
        <v>0</v>
      </c>
      <c r="V41" s="10">
        <f>SUM(V$8:V$17)</f>
        <v>0</v>
      </c>
      <c r="W41" s="10" t="e">
        <f>V41/U41</f>
        <v>#DIV/0!</v>
      </c>
      <c r="X41" s="10">
        <f>SUM(X$8:X$17)</f>
        <v>0</v>
      </c>
      <c r="Y41" s="10">
        <f>SUM(Y$8:Y$17)</f>
        <v>0</v>
      </c>
      <c r="Z41" s="10" t="e">
        <f>Y41/X41</f>
        <v>#DIV/0!</v>
      </c>
      <c r="AA41" s="10">
        <f>SUM(AA$8:AA$17)</f>
        <v>0</v>
      </c>
      <c r="AB41" s="10">
        <f>SUM(AB$8:AB$17)</f>
        <v>0</v>
      </c>
      <c r="AC41" s="10" t="e">
        <f>AB41/AA41</f>
        <v>#DIV/0!</v>
      </c>
      <c r="AD41" s="10">
        <f>SUM(AD$8:AD$17)</f>
        <v>0</v>
      </c>
      <c r="AE41" s="10">
        <f>SUM(AE$8:AE$17)</f>
        <v>0</v>
      </c>
    </row>
    <row r="42" spans="1:31" s="14" customFormat="1" x14ac:dyDescent="0.25">
      <c r="B42" s="27">
        <f>DATE(YEAR(B4),MONTH(B4),20)</f>
        <v>45858</v>
      </c>
      <c r="C42" s="10">
        <f>SUM(C$18:C$27)</f>
        <v>0</v>
      </c>
      <c r="D42" s="10">
        <f>SUM(D$18:D$27)</f>
        <v>0</v>
      </c>
      <c r="E42" s="10" t="e">
        <f t="shared" ref="E42:E43" si="11">D42/C42</f>
        <v>#DIV/0!</v>
      </c>
      <c r="F42" s="10">
        <f>SUM(F$18:F$27)</f>
        <v>0</v>
      </c>
      <c r="G42" s="10">
        <f>SUM(G$18:G$27)</f>
        <v>0</v>
      </c>
      <c r="H42" s="10" t="e">
        <f t="shared" ref="H42:H43" si="12">G42/F42</f>
        <v>#DIV/0!</v>
      </c>
      <c r="I42" s="10">
        <f>SUM(I$18:I$27)</f>
        <v>0</v>
      </c>
      <c r="J42" s="10">
        <f>SUM(J$18:J$27)</f>
        <v>0</v>
      </c>
      <c r="K42" s="10" t="e">
        <f t="shared" ref="K42:K43" si="13">J42/I42</f>
        <v>#DIV/0!</v>
      </c>
      <c r="L42" s="10">
        <f>SUM(L$18:L$27)</f>
        <v>0</v>
      </c>
      <c r="M42" s="10">
        <f>SUM(M$18:M$27)</f>
        <v>0</v>
      </c>
      <c r="N42" s="10" t="e">
        <f t="shared" ref="N42:N43" si="14">M42/L42</f>
        <v>#DIV/0!</v>
      </c>
      <c r="O42" s="10">
        <f>SUM(O$18:O$27)</f>
        <v>0</v>
      </c>
      <c r="P42" s="10">
        <f>SUM(P$18:P$27)</f>
        <v>0</v>
      </c>
      <c r="R42" s="10">
        <f>SUM(R$18:R$27)</f>
        <v>0</v>
      </c>
      <c r="S42" s="10">
        <f>SUM(S$18:S$27)</f>
        <v>0</v>
      </c>
      <c r="T42" s="10" t="e">
        <f t="shared" ref="T42:T43" si="15">S42/R42</f>
        <v>#DIV/0!</v>
      </c>
      <c r="U42" s="10">
        <f>SUM(U$18:U$27)</f>
        <v>0</v>
      </c>
      <c r="V42" s="10">
        <f>SUM(V$18:V$27)</f>
        <v>0</v>
      </c>
      <c r="W42" s="10" t="e">
        <f t="shared" ref="W42:W43" si="16">V42/U42</f>
        <v>#DIV/0!</v>
      </c>
      <c r="X42" s="10">
        <f>SUM(X$18:X$27)</f>
        <v>0</v>
      </c>
      <c r="Y42" s="10">
        <f>SUM(Y$18:Y$27)</f>
        <v>0</v>
      </c>
      <c r="Z42" s="10" t="e">
        <f t="shared" ref="Z42:Z43" si="17">Y42/X42</f>
        <v>#DIV/0!</v>
      </c>
      <c r="AA42" s="10">
        <f>SUM(AA$18:AA$27)</f>
        <v>0</v>
      </c>
      <c r="AB42" s="10">
        <f>SUM(AB$18:AB$27)</f>
        <v>0</v>
      </c>
      <c r="AC42" s="10" t="e">
        <f t="shared" ref="AC42:AC43" si="18">AB42/AA42</f>
        <v>#DIV/0!</v>
      </c>
      <c r="AD42" s="10">
        <f>SUM(AD$18:AD$27)</f>
        <v>0</v>
      </c>
      <c r="AE42" s="10">
        <f>SUM(AE$18:AE$27)</f>
        <v>0</v>
      </c>
    </row>
    <row r="43" spans="1:31" s="14" customFormat="1" x14ac:dyDescent="0.25">
      <c r="B43" s="27">
        <f>EOMONTH(B4,0)</f>
        <v>45869</v>
      </c>
      <c r="C43" s="10">
        <f>SUM(C$28:C$38)</f>
        <v>0</v>
      </c>
      <c r="D43" s="10">
        <f>SUM(D$28:D$38)</f>
        <v>0</v>
      </c>
      <c r="E43" s="10" t="e">
        <f t="shared" si="11"/>
        <v>#DIV/0!</v>
      </c>
      <c r="F43" s="10">
        <f>SUM(F$28:F$38)</f>
        <v>0</v>
      </c>
      <c r="G43" s="10">
        <f>SUM(G$28:G$38)</f>
        <v>0</v>
      </c>
      <c r="H43" s="10" t="e">
        <f t="shared" si="12"/>
        <v>#DIV/0!</v>
      </c>
      <c r="I43" s="10">
        <f>SUM(I$28:I$38)</f>
        <v>0</v>
      </c>
      <c r="J43" s="10">
        <f>SUM(J$28:J$38)</f>
        <v>0</v>
      </c>
      <c r="K43" s="10" t="e">
        <f t="shared" si="13"/>
        <v>#DIV/0!</v>
      </c>
      <c r="L43" s="10">
        <f>SUM(L$28:L$38)</f>
        <v>0</v>
      </c>
      <c r="M43" s="10">
        <f>SUM(M$28:M$38)</f>
        <v>0</v>
      </c>
      <c r="N43" s="10" t="e">
        <f t="shared" si="14"/>
        <v>#DIV/0!</v>
      </c>
      <c r="O43" s="10">
        <f>SUM(O$28:O$38)</f>
        <v>0</v>
      </c>
      <c r="P43" s="10">
        <f>SUM(P$28:P$38)</f>
        <v>0</v>
      </c>
      <c r="R43" s="10">
        <f>SUM(R$28:R$38)</f>
        <v>0</v>
      </c>
      <c r="S43" s="10">
        <f>SUM(S$28:S$38)</f>
        <v>0</v>
      </c>
      <c r="T43" s="10" t="e">
        <f t="shared" si="15"/>
        <v>#DIV/0!</v>
      </c>
      <c r="U43" s="10">
        <f>SUM(U$28:U$38)</f>
        <v>0</v>
      </c>
      <c r="V43" s="10">
        <f>SUM(V$28:V$38)</f>
        <v>0</v>
      </c>
      <c r="W43" s="10" t="e">
        <f t="shared" si="16"/>
        <v>#DIV/0!</v>
      </c>
      <c r="X43" s="10">
        <f>SUM(X$28:X$38)</f>
        <v>0</v>
      </c>
      <c r="Y43" s="10">
        <f>SUM(Y$28:Y$38)</f>
        <v>0</v>
      </c>
      <c r="Z43" s="10" t="e">
        <f t="shared" si="17"/>
        <v>#DIV/0!</v>
      </c>
      <c r="AA43" s="10">
        <f>SUM(AA$28:AA$38)</f>
        <v>0</v>
      </c>
      <c r="AB43" s="10">
        <f>SUM(AB$28:AB$38)</f>
        <v>0</v>
      </c>
      <c r="AC43" s="10" t="e">
        <f t="shared" si="18"/>
        <v>#DIV/0!</v>
      </c>
      <c r="AD43" s="10">
        <f>SUM(AD$28:AD$38)</f>
        <v>0</v>
      </c>
      <c r="AE43" s="10">
        <f>SUM(AE$28:AE$38)</f>
        <v>0</v>
      </c>
    </row>
    <row r="44" spans="1:31" s="14" customFormat="1" x14ac:dyDescent="0.25">
      <c r="A44" s="14" t="s">
        <v>0</v>
      </c>
      <c r="B44" s="24" t="s">
        <v>14</v>
      </c>
      <c r="C44" s="26">
        <f>SUM(C41:C43)</f>
        <v>0</v>
      </c>
      <c r="D44" s="26">
        <f>SUM(D41:D43)</f>
        <v>0</v>
      </c>
      <c r="E44" s="26"/>
      <c r="F44" s="26">
        <f>SUM(F41:F43)</f>
        <v>0</v>
      </c>
      <c r="G44" s="26">
        <f>SUM(G41:G43)</f>
        <v>0</v>
      </c>
      <c r="H44" s="26"/>
      <c r="I44" s="26">
        <f>SUM(I41:I43)</f>
        <v>0</v>
      </c>
      <c r="J44" s="26">
        <f>SUM(J41:J43)</f>
        <v>0</v>
      </c>
      <c r="K44" s="26"/>
      <c r="L44" s="26">
        <f>SUM(L41:L43)</f>
        <v>0</v>
      </c>
      <c r="M44" s="26">
        <f>SUM(M41:M43)</f>
        <v>0</v>
      </c>
      <c r="N44" s="26"/>
      <c r="O44" s="26">
        <f>SUM(O41:O43)</f>
        <v>0</v>
      </c>
      <c r="P44" s="26">
        <f>SUM(P41:P43)</f>
        <v>0</v>
      </c>
      <c r="R44" s="26">
        <f>SUM(R41:R43)</f>
        <v>0</v>
      </c>
      <c r="S44" s="26">
        <f>SUM(S41:S43)</f>
        <v>0</v>
      </c>
      <c r="T44" s="26"/>
      <c r="U44" s="26">
        <f>SUM(U41:U43)</f>
        <v>0</v>
      </c>
      <c r="V44" s="26">
        <f>SUM(V41:V43)</f>
        <v>0</v>
      </c>
      <c r="W44" s="26"/>
      <c r="X44" s="26">
        <f>SUM(X41:X43)</f>
        <v>0</v>
      </c>
      <c r="Y44" s="26">
        <f>SUM(Y41:Y43)</f>
        <v>0</v>
      </c>
      <c r="Z44" s="26"/>
      <c r="AA44" s="26">
        <f>SUM(AA41:AA43)</f>
        <v>0</v>
      </c>
      <c r="AB44" s="26">
        <f>SUM(AB41:AB43)</f>
        <v>0</v>
      </c>
      <c r="AC44" s="26"/>
      <c r="AD44" s="26">
        <f>SUM(AD41:AD43)</f>
        <v>0</v>
      </c>
      <c r="AE44" s="26">
        <f>SUM(AE41:AE43)</f>
        <v>0</v>
      </c>
    </row>
    <row r="45" spans="1:31" s="14" customFormat="1" x14ac:dyDescent="0.25"/>
    <row r="46" spans="1:31" x14ac:dyDescent="0.25">
      <c r="C46" s="7"/>
      <c r="E46" s="7"/>
      <c r="G46" s="7"/>
      <c r="I46" s="7"/>
    </row>
    <row r="47" spans="1:31" ht="15" x14ac:dyDescent="0.25">
      <c r="A47" s="16" t="s">
        <v>15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</row>
    <row r="48" spans="1:31" ht="15" x14ac:dyDescent="0.25">
      <c r="A48" s="12" t="s">
        <v>16</v>
      </c>
      <c r="B48" s="17"/>
      <c r="C48" s="17"/>
      <c r="D48" s="17"/>
      <c r="E48" s="17"/>
      <c r="F48" s="17"/>
      <c r="G48" s="17"/>
      <c r="H48" s="17"/>
      <c r="I48" s="17"/>
      <c r="J48" s="17"/>
      <c r="K48" s="17"/>
    </row>
    <row r="49" spans="2:11" ht="15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</row>
    <row r="50" spans="2:11" ht="15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</row>
    <row r="51" spans="2:11" ht="15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5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5" x14ac:dyDescent="0.25">
      <c r="B53" s="17"/>
      <c r="C53" s="17"/>
      <c r="D53" s="17"/>
      <c r="E53" s="17"/>
      <c r="F53" s="17"/>
      <c r="G53" s="17"/>
      <c r="H53" s="17"/>
      <c r="I53" s="17"/>
      <c r="J53" s="17"/>
      <c r="K53" s="17"/>
    </row>
    <row r="54" spans="2:11" ht="15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</row>
    <row r="55" spans="2:11" ht="15" x14ac:dyDescent="0.25">
      <c r="B55" s="17"/>
      <c r="C55" s="17"/>
      <c r="D55" s="17"/>
      <c r="E55" s="17"/>
      <c r="F55" s="17"/>
      <c r="G55" s="17"/>
      <c r="H55" s="17"/>
      <c r="I55" s="17"/>
      <c r="J55" s="17"/>
      <c r="K55" s="17"/>
    </row>
    <row r="56" spans="2:11" ht="15" x14ac:dyDescent="0.25">
      <c r="B56" s="17"/>
      <c r="C56" s="17"/>
      <c r="D56" s="17"/>
      <c r="E56" s="17"/>
      <c r="F56" s="17"/>
      <c r="G56" s="17"/>
      <c r="H56" s="17"/>
      <c r="I56" s="17"/>
      <c r="J56" s="17"/>
      <c r="K56" s="17"/>
    </row>
    <row r="57" spans="2:11" ht="15" x14ac:dyDescent="0.25">
      <c r="B57" s="17"/>
      <c r="C57" s="17"/>
      <c r="D57" s="17"/>
      <c r="E57" s="17"/>
      <c r="F57" s="17"/>
      <c r="G57" s="17"/>
      <c r="H57" s="17"/>
      <c r="I57" s="17"/>
      <c r="J57" s="17"/>
      <c r="K57" s="17"/>
    </row>
    <row r="58" spans="2:11" ht="15" x14ac:dyDescent="0.25">
      <c r="B58" s="17"/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5" x14ac:dyDescent="0.25">
      <c r="B59" s="17"/>
      <c r="C59" s="17"/>
      <c r="D59" s="17"/>
      <c r="E59" s="17"/>
      <c r="F59" s="17"/>
      <c r="G59" s="17"/>
      <c r="H59" s="17"/>
      <c r="I59" s="17"/>
      <c r="J59" s="17"/>
      <c r="K59" s="17"/>
    </row>
    <row r="60" spans="2:11" ht="15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15" x14ac:dyDescent="0.25">
      <c r="B61" s="17"/>
      <c r="C61" s="17"/>
      <c r="D61" s="17"/>
      <c r="E61" s="17"/>
      <c r="F61" s="17"/>
      <c r="G61" s="17"/>
      <c r="H61" s="17"/>
      <c r="I61" s="17"/>
      <c r="J61" s="17"/>
      <c r="K61" s="17"/>
    </row>
    <row r="62" spans="2:11" ht="15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5" x14ac:dyDescent="0.25">
      <c r="B63" s="17"/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5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5" x14ac:dyDescent="0.25">
      <c r="B65" s="17"/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5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5" x14ac:dyDescent="0.25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1" ht="15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1" ht="15" x14ac:dyDescent="0.25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0" spans="2:11" ht="15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</row>
    <row r="71" spans="2:11" ht="15" x14ac:dyDescent="0.25">
      <c r="B71" s="17"/>
      <c r="C71" s="17"/>
      <c r="D71" s="17"/>
      <c r="E71" s="17"/>
      <c r="F71" s="17"/>
      <c r="G71" s="17"/>
      <c r="H71" s="17"/>
      <c r="I71" s="17"/>
      <c r="J71" s="17"/>
      <c r="K71" s="17"/>
    </row>
    <row r="72" spans="2:11" ht="15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</row>
    <row r="73" spans="2:11" ht="15" x14ac:dyDescent="0.25">
      <c r="B73" s="17"/>
      <c r="C73" s="17"/>
      <c r="D73" s="17"/>
      <c r="E73" s="17"/>
      <c r="F73" s="17"/>
      <c r="G73" s="17"/>
      <c r="H73" s="17"/>
      <c r="I73" s="17"/>
      <c r="J73" s="17"/>
      <c r="K73" s="17"/>
    </row>
    <row r="74" spans="2:11" ht="15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</row>
    <row r="75" spans="2:11" ht="15" x14ac:dyDescent="0.25">
      <c r="B75" s="17"/>
      <c r="C75" s="17"/>
      <c r="D75" s="17"/>
      <c r="E75" s="17"/>
      <c r="F75" s="17"/>
      <c r="G75" s="17"/>
      <c r="H75" s="17"/>
      <c r="I75" s="17"/>
      <c r="J75" s="17"/>
      <c r="K75" s="17"/>
    </row>
    <row r="76" spans="2:11" ht="15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</row>
    <row r="77" spans="2:11" ht="15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</row>
    <row r="78" spans="2:11" ht="15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</row>
    <row r="79" spans="2:11" ht="15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3C145-9B3E-41E2-B89E-5B9F175C36ED}">
  <sheetPr codeName="Sheet3"/>
  <dimension ref="A1:AE79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.140625" defaultRowHeight="14.25" x14ac:dyDescent="0.25"/>
  <cols>
    <col min="1" max="1" width="9.140625" style="12"/>
    <col min="2" max="2" width="12.42578125" style="12" bestFit="1" customWidth="1"/>
    <col min="3" max="3" width="10.140625" style="12" bestFit="1" customWidth="1"/>
    <col min="4" max="4" width="13.5703125" style="12" bestFit="1" customWidth="1"/>
    <col min="5" max="5" width="12.140625" style="12" bestFit="1" customWidth="1"/>
    <col min="6" max="6" width="14.5703125" style="12" bestFit="1" customWidth="1"/>
    <col min="7" max="7" width="12.140625" style="12" bestFit="1" customWidth="1"/>
    <col min="8" max="8" width="14.5703125" style="12" bestFit="1" customWidth="1"/>
    <col min="9" max="9" width="12.140625" style="12" bestFit="1" customWidth="1"/>
    <col min="10" max="10" width="14.5703125" style="12" bestFit="1" customWidth="1"/>
    <col min="11" max="11" width="12.85546875" style="12" bestFit="1" customWidth="1"/>
    <col min="12" max="16" width="15.7109375" style="12" customWidth="1"/>
    <col min="17" max="17" width="9.140625" style="12"/>
    <col min="18" max="18" width="10.140625" style="12" bestFit="1" customWidth="1"/>
    <col min="19" max="19" width="13.5703125" style="12" bestFit="1" customWidth="1"/>
    <col min="20" max="20" width="12.140625" style="12" bestFit="1" customWidth="1"/>
    <col min="21" max="21" width="14.5703125" style="12" bestFit="1" customWidth="1"/>
    <col min="22" max="22" width="12.140625" style="12" bestFit="1" customWidth="1"/>
    <col min="23" max="23" width="14.5703125" style="12" bestFit="1" customWidth="1"/>
    <col min="24" max="24" width="12.140625" style="12" bestFit="1" customWidth="1"/>
    <col min="25" max="25" width="14.5703125" style="12" bestFit="1" customWidth="1"/>
    <col min="26" max="26" width="12.85546875" style="12" bestFit="1" customWidth="1"/>
    <col min="27" max="31" width="15.7109375" style="12" customWidth="1"/>
    <col min="32" max="16384" width="9.140625" style="12"/>
  </cols>
  <sheetData>
    <row r="1" spans="1:31" x14ac:dyDescent="0.25">
      <c r="A1" s="12" t="s">
        <v>0</v>
      </c>
      <c r="P1" s="12" t="s">
        <v>0</v>
      </c>
    </row>
    <row r="2" spans="1:31" ht="15.95" customHeight="1" x14ac:dyDescent="0.25">
      <c r="B2" s="1" t="s">
        <v>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31" ht="15" x14ac:dyDescent="0.25">
      <c r="B3" s="2" t="s">
        <v>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31" ht="15" x14ac:dyDescent="0.25">
      <c r="B4" s="54">
        <f>'Sales Report_NP'!B4</f>
        <v>45839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5"/>
      <c r="P4" s="3"/>
    </row>
    <row r="5" spans="1:31" ht="15" x14ac:dyDescent="0.25">
      <c r="C5" s="13" t="s">
        <v>3</v>
      </c>
      <c r="R5" s="13" t="s">
        <v>4</v>
      </c>
    </row>
    <row r="6" spans="1:31" s="30" customFormat="1" x14ac:dyDescent="0.25">
      <c r="C6" s="31" t="s">
        <v>5</v>
      </c>
      <c r="D6" s="32"/>
      <c r="E6" s="32"/>
      <c r="F6" s="31" t="s">
        <v>6</v>
      </c>
      <c r="G6" s="32"/>
      <c r="H6" s="32"/>
      <c r="I6" s="31" t="s">
        <v>7</v>
      </c>
      <c r="J6" s="32"/>
      <c r="K6" s="32"/>
      <c r="L6" s="31" t="s">
        <v>8</v>
      </c>
      <c r="M6" s="32"/>
      <c r="N6" s="32"/>
      <c r="O6" s="31" t="s">
        <v>9</v>
      </c>
      <c r="P6" s="31"/>
      <c r="R6" s="31" t="s">
        <v>5</v>
      </c>
      <c r="S6" s="32"/>
      <c r="T6" s="32"/>
      <c r="U6" s="31" t="s">
        <v>6</v>
      </c>
      <c r="V6" s="32"/>
      <c r="W6" s="32"/>
      <c r="X6" s="31" t="s">
        <v>7</v>
      </c>
      <c r="Y6" s="32"/>
      <c r="Z6" s="32"/>
      <c r="AA6" s="31" t="s">
        <v>8</v>
      </c>
      <c r="AB6" s="32"/>
      <c r="AC6" s="32"/>
      <c r="AD6" s="31" t="s">
        <v>9</v>
      </c>
      <c r="AE6" s="31"/>
    </row>
    <row r="7" spans="1:31" x14ac:dyDescent="0.25">
      <c r="B7" s="4" t="s">
        <v>10</v>
      </c>
      <c r="C7" s="25" t="s">
        <v>11</v>
      </c>
      <c r="D7" s="25" t="s">
        <v>12</v>
      </c>
      <c r="E7" s="25" t="s">
        <v>13</v>
      </c>
      <c r="F7" s="25" t="s">
        <v>11</v>
      </c>
      <c r="G7" s="25" t="s">
        <v>12</v>
      </c>
      <c r="H7" s="25" t="s">
        <v>13</v>
      </c>
      <c r="I7" s="25" t="s">
        <v>11</v>
      </c>
      <c r="J7" s="25" t="s">
        <v>12</v>
      </c>
      <c r="K7" s="25" t="s">
        <v>13</v>
      </c>
      <c r="L7" s="25" t="s">
        <v>11</v>
      </c>
      <c r="M7" s="25" t="s">
        <v>12</v>
      </c>
      <c r="N7" s="25" t="s">
        <v>13</v>
      </c>
      <c r="O7" s="25" t="s">
        <v>11</v>
      </c>
      <c r="P7" s="25" t="s">
        <v>12</v>
      </c>
      <c r="R7" s="25" t="s">
        <v>11</v>
      </c>
      <c r="S7" s="25" t="s">
        <v>12</v>
      </c>
      <c r="T7" s="25" t="s">
        <v>13</v>
      </c>
      <c r="U7" s="25" t="s">
        <v>11</v>
      </c>
      <c r="V7" s="25" t="s">
        <v>12</v>
      </c>
      <c r="W7" s="25" t="s">
        <v>13</v>
      </c>
      <c r="X7" s="25" t="s">
        <v>11</v>
      </c>
      <c r="Y7" s="25" t="s">
        <v>12</v>
      </c>
      <c r="Z7" s="25" t="s">
        <v>13</v>
      </c>
      <c r="AA7" s="25" t="s">
        <v>11</v>
      </c>
      <c r="AB7" s="25" t="s">
        <v>12</v>
      </c>
      <c r="AC7" s="25" t="s">
        <v>13</v>
      </c>
      <c r="AD7" s="25" t="s">
        <v>11</v>
      </c>
      <c r="AE7" s="25" t="s">
        <v>12</v>
      </c>
    </row>
    <row r="8" spans="1:31" ht="15" x14ac:dyDescent="0.25">
      <c r="B8" s="21">
        <f>IF(DAY(DATE(YEAR($B$4),MONTH($B$4),ROW()-7))=ROW()-7,DATE(YEAR($B$4),MONTH($B$4),ROW()-7),"")</f>
        <v>45839</v>
      </c>
      <c r="C8" s="22">
        <f>'Sales Report_NP'!$C8</f>
        <v>0</v>
      </c>
      <c r="D8" s="22">
        <f>'Sales Report_NP'!$D8</f>
        <v>0</v>
      </c>
      <c r="E8" s="23" t="str">
        <f>IFERROR(D8/C8,"-")</f>
        <v>-</v>
      </c>
      <c r="F8" s="22">
        <f>'Sales Report_NP'!$E8</f>
        <v>0</v>
      </c>
      <c r="G8" s="22">
        <f>'Sales Report_NP'!$F8</f>
        <v>0</v>
      </c>
      <c r="H8" s="23" t="str">
        <f>IFERROR(G8/F8,"-")</f>
        <v>-</v>
      </c>
      <c r="I8" s="22">
        <f>'Sales Report_NP'!$G8</f>
        <v>0</v>
      </c>
      <c r="J8" s="22">
        <f>'Sales Report_NP'!$H8</f>
        <v>0</v>
      </c>
      <c r="K8" s="23" t="str">
        <f>IFERROR(J8/I8,"-")</f>
        <v>-</v>
      </c>
      <c r="L8" s="22">
        <f>'Sales Report_NP'!$I8</f>
        <v>0</v>
      </c>
      <c r="M8" s="22">
        <f>'Sales Report_NP'!$J8</f>
        <v>0</v>
      </c>
      <c r="N8" s="23" t="str">
        <f>IFERROR(M8/L8,"-")</f>
        <v>-</v>
      </c>
      <c r="O8" s="22">
        <f>C8+F8+I8+L8</f>
        <v>0</v>
      </c>
      <c r="P8" s="22">
        <f>D8+G8+J8+M8</f>
        <v>0</v>
      </c>
      <c r="R8" s="22">
        <f>'Sales Report_NP'!$M8</f>
        <v>0</v>
      </c>
      <c r="S8" s="22">
        <f>'Sales Report_NP'!$N8</f>
        <v>0</v>
      </c>
      <c r="T8" s="23" t="str">
        <f>IFERROR(S8/R8,"-")</f>
        <v>-</v>
      </c>
      <c r="U8" s="22">
        <f>'Sales Report_NP'!$O8</f>
        <v>0</v>
      </c>
      <c r="V8" s="22">
        <f>'Sales Report_NP'!$P8</f>
        <v>0</v>
      </c>
      <c r="W8" s="23" t="str">
        <f>IFERROR(V8/U8,"-")</f>
        <v>-</v>
      </c>
      <c r="X8" s="22">
        <f>'Sales Report_NP'!$Q8</f>
        <v>0</v>
      </c>
      <c r="Y8" s="22">
        <f>'Sales Report_NP'!$R8</f>
        <v>0</v>
      </c>
      <c r="Z8" s="23" t="str">
        <f>IFERROR(Y8/X8,"-")</f>
        <v>-</v>
      </c>
      <c r="AA8" s="22">
        <f>'Sales Report_NP'!$S8</f>
        <v>0</v>
      </c>
      <c r="AB8" s="22">
        <f>'Sales Report_NP'!$T8</f>
        <v>0</v>
      </c>
      <c r="AC8" s="23" t="str">
        <f>IFERROR(AB8/AA8,"-")</f>
        <v>-</v>
      </c>
      <c r="AD8" s="22">
        <f>R8+U8+X8+AA8</f>
        <v>0</v>
      </c>
      <c r="AE8" s="22">
        <f>S8+V8+Y8+AB8</f>
        <v>0</v>
      </c>
    </row>
    <row r="9" spans="1:31" ht="15" x14ac:dyDescent="0.25">
      <c r="B9" s="21">
        <f t="shared" ref="B9:B38" si="0">IF(DAY(DATE(YEAR($B$4),MONTH($B$4),ROW()-7))=ROW()-7,DATE(YEAR($B$4),MONTH($B$4),ROW()-7),"")</f>
        <v>45840</v>
      </c>
      <c r="C9" s="22">
        <f>'Sales Report_NP'!$C9</f>
        <v>0</v>
      </c>
      <c r="D9" s="22">
        <f>'Sales Report_NP'!$D9</f>
        <v>0</v>
      </c>
      <c r="E9" s="23" t="str">
        <f t="shared" ref="E9:E38" si="1">IFERROR(D9/C9,"-")</f>
        <v>-</v>
      </c>
      <c r="F9" s="22">
        <f>'Sales Report_NP'!$E9</f>
        <v>0</v>
      </c>
      <c r="G9" s="22">
        <f>'Sales Report_NP'!$F9</f>
        <v>0</v>
      </c>
      <c r="H9" s="23" t="str">
        <f t="shared" ref="H9:H38" si="2">IFERROR(G9/F9,"-")</f>
        <v>-</v>
      </c>
      <c r="I9" s="22">
        <f>'Sales Report_NP'!$G9</f>
        <v>0</v>
      </c>
      <c r="J9" s="22">
        <f>'Sales Report_NP'!$H9</f>
        <v>0</v>
      </c>
      <c r="K9" s="23" t="str">
        <f t="shared" ref="K9:K38" si="3">IFERROR(J9/I9,"-")</f>
        <v>-</v>
      </c>
      <c r="L9" s="22">
        <f>'Sales Report_NP'!$I9</f>
        <v>0</v>
      </c>
      <c r="M9" s="22">
        <f>'Sales Report_NP'!$J9</f>
        <v>0</v>
      </c>
      <c r="N9" s="23" t="str">
        <f t="shared" ref="N9:N38" si="4">IFERROR(M9/L9,"-")</f>
        <v>-</v>
      </c>
      <c r="O9" s="22">
        <f t="shared" ref="O9:P38" si="5">C9+F9+I9+L9</f>
        <v>0</v>
      </c>
      <c r="P9" s="22">
        <f t="shared" si="5"/>
        <v>0</v>
      </c>
      <c r="R9" s="22">
        <f>'Sales Report_NP'!$M9</f>
        <v>0</v>
      </c>
      <c r="S9" s="22">
        <f>'Sales Report_NP'!$N9</f>
        <v>0</v>
      </c>
      <c r="T9" s="23" t="str">
        <f t="shared" ref="T9:T38" si="6">IFERROR(S9/R9,"-")</f>
        <v>-</v>
      </c>
      <c r="U9" s="22">
        <f>'Sales Report_NP'!$O9</f>
        <v>0</v>
      </c>
      <c r="V9" s="22">
        <f>'Sales Report_NP'!$P9</f>
        <v>0</v>
      </c>
      <c r="W9" s="23" t="str">
        <f t="shared" ref="W9:W38" si="7">IFERROR(V9/U9,"-")</f>
        <v>-</v>
      </c>
      <c r="X9" s="22">
        <f>'Sales Report_NP'!$Q9</f>
        <v>0</v>
      </c>
      <c r="Y9" s="22">
        <f>'Sales Report_NP'!$R9</f>
        <v>0</v>
      </c>
      <c r="Z9" s="23" t="str">
        <f t="shared" ref="Z9:Z38" si="8">IFERROR(Y9/X9,"-")</f>
        <v>-</v>
      </c>
      <c r="AA9" s="22">
        <f>'Sales Report_NP'!$S9</f>
        <v>0</v>
      </c>
      <c r="AB9" s="22">
        <f>'Sales Report_NP'!$T9</f>
        <v>0</v>
      </c>
      <c r="AC9" s="23" t="str">
        <f t="shared" ref="AC9:AC38" si="9">IFERROR(AB9/AA9,"-")</f>
        <v>-</v>
      </c>
      <c r="AD9" s="22">
        <f t="shared" ref="AD9:AE38" si="10">R9+U9+X9+AA9</f>
        <v>0</v>
      </c>
      <c r="AE9" s="22">
        <f t="shared" si="10"/>
        <v>0</v>
      </c>
    </row>
    <row r="10" spans="1:31" ht="15" x14ac:dyDescent="0.25">
      <c r="B10" s="21">
        <f t="shared" si="0"/>
        <v>45841</v>
      </c>
      <c r="C10" s="22">
        <f>'Sales Report_NP'!$C10</f>
        <v>0</v>
      </c>
      <c r="D10" s="22">
        <f>'Sales Report_NP'!$D10</f>
        <v>0</v>
      </c>
      <c r="E10" s="23" t="str">
        <f t="shared" si="1"/>
        <v>-</v>
      </c>
      <c r="F10" s="22">
        <f>'Sales Report_NP'!$E10</f>
        <v>0</v>
      </c>
      <c r="G10" s="22">
        <f>'Sales Report_NP'!$F10</f>
        <v>0</v>
      </c>
      <c r="H10" s="23" t="str">
        <f t="shared" si="2"/>
        <v>-</v>
      </c>
      <c r="I10" s="22">
        <f>'Sales Report_NP'!$G10</f>
        <v>0</v>
      </c>
      <c r="J10" s="22">
        <f>'Sales Report_NP'!$H10</f>
        <v>0</v>
      </c>
      <c r="K10" s="23" t="str">
        <f t="shared" si="3"/>
        <v>-</v>
      </c>
      <c r="L10" s="22">
        <f>'Sales Report_NP'!$I10</f>
        <v>0</v>
      </c>
      <c r="M10" s="22">
        <f>'Sales Report_NP'!$J10</f>
        <v>0</v>
      </c>
      <c r="N10" s="23" t="str">
        <f t="shared" si="4"/>
        <v>-</v>
      </c>
      <c r="O10" s="22">
        <f t="shared" si="5"/>
        <v>0</v>
      </c>
      <c r="P10" s="22">
        <f t="shared" si="5"/>
        <v>0</v>
      </c>
      <c r="R10" s="22">
        <f>'Sales Report_NP'!$M10</f>
        <v>0</v>
      </c>
      <c r="S10" s="22">
        <f>'Sales Report_NP'!$N10</f>
        <v>0</v>
      </c>
      <c r="T10" s="23" t="str">
        <f t="shared" si="6"/>
        <v>-</v>
      </c>
      <c r="U10" s="22">
        <f>'Sales Report_NP'!$O10</f>
        <v>0</v>
      </c>
      <c r="V10" s="22">
        <f>'Sales Report_NP'!$P10</f>
        <v>0</v>
      </c>
      <c r="W10" s="23" t="str">
        <f t="shared" si="7"/>
        <v>-</v>
      </c>
      <c r="X10" s="22">
        <f>'Sales Report_NP'!$Q10</f>
        <v>0</v>
      </c>
      <c r="Y10" s="22">
        <f>'Sales Report_NP'!$R10</f>
        <v>0</v>
      </c>
      <c r="Z10" s="23" t="str">
        <f t="shared" si="8"/>
        <v>-</v>
      </c>
      <c r="AA10" s="22">
        <f>'Sales Report_NP'!$S10</f>
        <v>0</v>
      </c>
      <c r="AB10" s="22">
        <f>'Sales Report_NP'!$T10</f>
        <v>0</v>
      </c>
      <c r="AC10" s="23" t="str">
        <f t="shared" si="9"/>
        <v>-</v>
      </c>
      <c r="AD10" s="22">
        <f t="shared" si="10"/>
        <v>0</v>
      </c>
      <c r="AE10" s="22">
        <f t="shared" si="10"/>
        <v>0</v>
      </c>
    </row>
    <row r="11" spans="1:31" ht="15" x14ac:dyDescent="0.25">
      <c r="B11" s="21">
        <f t="shared" si="0"/>
        <v>45842</v>
      </c>
      <c r="C11" s="22">
        <f>'Sales Report_NP'!$C11</f>
        <v>0</v>
      </c>
      <c r="D11" s="22">
        <f>'Sales Report_NP'!$D11</f>
        <v>0</v>
      </c>
      <c r="E11" s="23" t="str">
        <f t="shared" si="1"/>
        <v>-</v>
      </c>
      <c r="F11" s="22">
        <f>'Sales Report_NP'!$E11</f>
        <v>0</v>
      </c>
      <c r="G11" s="22">
        <f>'Sales Report_NP'!$F11</f>
        <v>0</v>
      </c>
      <c r="H11" s="23" t="str">
        <f t="shared" si="2"/>
        <v>-</v>
      </c>
      <c r="I11" s="22">
        <f>'Sales Report_NP'!$G11</f>
        <v>0</v>
      </c>
      <c r="J11" s="22">
        <f>'Sales Report_NP'!$H11</f>
        <v>0</v>
      </c>
      <c r="K11" s="23" t="str">
        <f t="shared" si="3"/>
        <v>-</v>
      </c>
      <c r="L11" s="22">
        <f>'Sales Report_NP'!$I11</f>
        <v>0</v>
      </c>
      <c r="M11" s="22">
        <f>'Sales Report_NP'!$J11</f>
        <v>0</v>
      </c>
      <c r="N11" s="23" t="str">
        <f t="shared" si="4"/>
        <v>-</v>
      </c>
      <c r="O11" s="22">
        <f t="shared" si="5"/>
        <v>0</v>
      </c>
      <c r="P11" s="22">
        <f t="shared" si="5"/>
        <v>0</v>
      </c>
      <c r="R11" s="22">
        <f>'Sales Report_NP'!$M11</f>
        <v>0</v>
      </c>
      <c r="S11" s="22">
        <f>'Sales Report_NP'!$N11</f>
        <v>0</v>
      </c>
      <c r="T11" s="23" t="str">
        <f t="shared" si="6"/>
        <v>-</v>
      </c>
      <c r="U11" s="22">
        <f>'Sales Report_NP'!$O11</f>
        <v>0</v>
      </c>
      <c r="V11" s="22">
        <f>'Sales Report_NP'!$P11</f>
        <v>0</v>
      </c>
      <c r="W11" s="23" t="str">
        <f t="shared" si="7"/>
        <v>-</v>
      </c>
      <c r="X11" s="22">
        <f>'Sales Report_NP'!$Q11</f>
        <v>0</v>
      </c>
      <c r="Y11" s="22">
        <f>'Sales Report_NP'!$R11</f>
        <v>0</v>
      </c>
      <c r="Z11" s="23" t="str">
        <f t="shared" si="8"/>
        <v>-</v>
      </c>
      <c r="AA11" s="22">
        <f>'Sales Report_NP'!$S11</f>
        <v>0</v>
      </c>
      <c r="AB11" s="22">
        <f>'Sales Report_NP'!$T11</f>
        <v>0</v>
      </c>
      <c r="AC11" s="23" t="str">
        <f t="shared" si="9"/>
        <v>-</v>
      </c>
      <c r="AD11" s="22">
        <f t="shared" si="10"/>
        <v>0</v>
      </c>
      <c r="AE11" s="22">
        <f t="shared" si="10"/>
        <v>0</v>
      </c>
    </row>
    <row r="12" spans="1:31" ht="15" x14ac:dyDescent="0.25">
      <c r="B12" s="21">
        <f t="shared" si="0"/>
        <v>45843</v>
      </c>
      <c r="C12" s="22">
        <f>'Sales Report_NP'!$C12</f>
        <v>0</v>
      </c>
      <c r="D12" s="22">
        <f>'Sales Report_NP'!$D12</f>
        <v>0</v>
      </c>
      <c r="E12" s="23" t="str">
        <f t="shared" si="1"/>
        <v>-</v>
      </c>
      <c r="F12" s="22">
        <f>'Sales Report_NP'!$E12</f>
        <v>0</v>
      </c>
      <c r="G12" s="22">
        <f>'Sales Report_NP'!$F12</f>
        <v>0</v>
      </c>
      <c r="H12" s="23" t="str">
        <f t="shared" si="2"/>
        <v>-</v>
      </c>
      <c r="I12" s="22">
        <f>'Sales Report_NP'!$G12</f>
        <v>0</v>
      </c>
      <c r="J12" s="22">
        <f>'Sales Report_NP'!$H12</f>
        <v>0</v>
      </c>
      <c r="K12" s="23" t="str">
        <f t="shared" si="3"/>
        <v>-</v>
      </c>
      <c r="L12" s="22">
        <f>'Sales Report_NP'!$I12</f>
        <v>0</v>
      </c>
      <c r="M12" s="22">
        <f>'Sales Report_NP'!$J12</f>
        <v>0</v>
      </c>
      <c r="N12" s="23" t="str">
        <f t="shared" si="4"/>
        <v>-</v>
      </c>
      <c r="O12" s="22">
        <f t="shared" si="5"/>
        <v>0</v>
      </c>
      <c r="P12" s="22">
        <f t="shared" si="5"/>
        <v>0</v>
      </c>
      <c r="R12" s="22">
        <f>'Sales Report_NP'!$M12</f>
        <v>0</v>
      </c>
      <c r="S12" s="22">
        <f>'Sales Report_NP'!$N12</f>
        <v>0</v>
      </c>
      <c r="T12" s="23" t="str">
        <f t="shared" si="6"/>
        <v>-</v>
      </c>
      <c r="U12" s="22">
        <f>'Sales Report_NP'!$O12</f>
        <v>0</v>
      </c>
      <c r="V12" s="22">
        <f>'Sales Report_NP'!$P12</f>
        <v>0</v>
      </c>
      <c r="W12" s="23" t="str">
        <f t="shared" si="7"/>
        <v>-</v>
      </c>
      <c r="X12" s="22">
        <f>'Sales Report_NP'!$Q12</f>
        <v>0</v>
      </c>
      <c r="Y12" s="22">
        <f>'Sales Report_NP'!$R12</f>
        <v>0</v>
      </c>
      <c r="Z12" s="23" t="str">
        <f t="shared" si="8"/>
        <v>-</v>
      </c>
      <c r="AA12" s="22">
        <f>'Sales Report_NP'!$S12</f>
        <v>0</v>
      </c>
      <c r="AB12" s="22">
        <f>'Sales Report_NP'!$T12</f>
        <v>0</v>
      </c>
      <c r="AC12" s="23" t="str">
        <f t="shared" si="9"/>
        <v>-</v>
      </c>
      <c r="AD12" s="22">
        <f t="shared" si="10"/>
        <v>0</v>
      </c>
      <c r="AE12" s="22">
        <f t="shared" si="10"/>
        <v>0</v>
      </c>
    </row>
    <row r="13" spans="1:31" ht="15" x14ac:dyDescent="0.25">
      <c r="B13" s="21">
        <f t="shared" si="0"/>
        <v>45844</v>
      </c>
      <c r="C13" s="22">
        <f>'Sales Report_NP'!$C13</f>
        <v>0</v>
      </c>
      <c r="D13" s="22">
        <f>'Sales Report_NP'!$D13</f>
        <v>0</v>
      </c>
      <c r="E13" s="23" t="str">
        <f t="shared" si="1"/>
        <v>-</v>
      </c>
      <c r="F13" s="22">
        <f>'Sales Report_NP'!$E13</f>
        <v>0</v>
      </c>
      <c r="G13" s="22">
        <f>'Sales Report_NP'!$F13</f>
        <v>0</v>
      </c>
      <c r="H13" s="23" t="str">
        <f t="shared" si="2"/>
        <v>-</v>
      </c>
      <c r="I13" s="22">
        <f>'Sales Report_NP'!$G13</f>
        <v>0</v>
      </c>
      <c r="J13" s="22">
        <f>'Sales Report_NP'!$H13</f>
        <v>0</v>
      </c>
      <c r="K13" s="23" t="str">
        <f t="shared" si="3"/>
        <v>-</v>
      </c>
      <c r="L13" s="22">
        <f>'Sales Report_NP'!$I13</f>
        <v>0</v>
      </c>
      <c r="M13" s="22">
        <f>'Sales Report_NP'!$J13</f>
        <v>0</v>
      </c>
      <c r="N13" s="23" t="str">
        <f t="shared" si="4"/>
        <v>-</v>
      </c>
      <c r="O13" s="22">
        <f t="shared" si="5"/>
        <v>0</v>
      </c>
      <c r="P13" s="22">
        <f t="shared" si="5"/>
        <v>0</v>
      </c>
      <c r="R13" s="22">
        <f>'Sales Report_NP'!$M13</f>
        <v>0</v>
      </c>
      <c r="S13" s="22">
        <f>'Sales Report_NP'!$N13</f>
        <v>0</v>
      </c>
      <c r="T13" s="23" t="str">
        <f t="shared" si="6"/>
        <v>-</v>
      </c>
      <c r="U13" s="22">
        <f>'Sales Report_NP'!$O13</f>
        <v>0</v>
      </c>
      <c r="V13" s="22">
        <f>'Sales Report_NP'!$P13</f>
        <v>0</v>
      </c>
      <c r="W13" s="23" t="str">
        <f t="shared" si="7"/>
        <v>-</v>
      </c>
      <c r="X13" s="22">
        <f>'Sales Report_NP'!$Q13</f>
        <v>0</v>
      </c>
      <c r="Y13" s="22">
        <f>'Sales Report_NP'!$R13</f>
        <v>0</v>
      </c>
      <c r="Z13" s="23" t="str">
        <f t="shared" si="8"/>
        <v>-</v>
      </c>
      <c r="AA13" s="22">
        <f>'Sales Report_NP'!$S13</f>
        <v>0</v>
      </c>
      <c r="AB13" s="22">
        <f>'Sales Report_NP'!$T13</f>
        <v>0</v>
      </c>
      <c r="AC13" s="23" t="str">
        <f t="shared" si="9"/>
        <v>-</v>
      </c>
      <c r="AD13" s="22">
        <f t="shared" si="10"/>
        <v>0</v>
      </c>
      <c r="AE13" s="22">
        <f t="shared" si="10"/>
        <v>0</v>
      </c>
    </row>
    <row r="14" spans="1:31" ht="15" x14ac:dyDescent="0.25">
      <c r="B14" s="21">
        <f t="shared" si="0"/>
        <v>45845</v>
      </c>
      <c r="C14" s="22">
        <f>'Sales Report_NP'!$C14</f>
        <v>0</v>
      </c>
      <c r="D14" s="22">
        <f>'Sales Report_NP'!$D14</f>
        <v>0</v>
      </c>
      <c r="E14" s="23" t="str">
        <f t="shared" si="1"/>
        <v>-</v>
      </c>
      <c r="F14" s="22">
        <f>'Sales Report_NP'!$E14</f>
        <v>0</v>
      </c>
      <c r="G14" s="22">
        <f>'Sales Report_NP'!$F14</f>
        <v>0</v>
      </c>
      <c r="H14" s="23" t="str">
        <f t="shared" si="2"/>
        <v>-</v>
      </c>
      <c r="I14" s="22">
        <f>'Sales Report_NP'!$G14</f>
        <v>0</v>
      </c>
      <c r="J14" s="22">
        <f>'Sales Report_NP'!$H14</f>
        <v>0</v>
      </c>
      <c r="K14" s="23" t="str">
        <f t="shared" si="3"/>
        <v>-</v>
      </c>
      <c r="L14" s="22">
        <f>'Sales Report_NP'!$I14</f>
        <v>0</v>
      </c>
      <c r="M14" s="22">
        <f>'Sales Report_NP'!$J14</f>
        <v>0</v>
      </c>
      <c r="N14" s="23" t="str">
        <f t="shared" si="4"/>
        <v>-</v>
      </c>
      <c r="O14" s="22">
        <f t="shared" si="5"/>
        <v>0</v>
      </c>
      <c r="P14" s="22">
        <f t="shared" si="5"/>
        <v>0</v>
      </c>
      <c r="R14" s="22">
        <f>'Sales Report_NP'!$M14</f>
        <v>0</v>
      </c>
      <c r="S14" s="22">
        <f>'Sales Report_NP'!$N14</f>
        <v>0</v>
      </c>
      <c r="T14" s="23" t="str">
        <f t="shared" si="6"/>
        <v>-</v>
      </c>
      <c r="U14" s="22">
        <f>'Sales Report_NP'!$O14</f>
        <v>0</v>
      </c>
      <c r="V14" s="22">
        <f>'Sales Report_NP'!$P14</f>
        <v>0</v>
      </c>
      <c r="W14" s="23" t="str">
        <f t="shared" si="7"/>
        <v>-</v>
      </c>
      <c r="X14" s="22">
        <f>'Sales Report_NP'!$Q14</f>
        <v>0</v>
      </c>
      <c r="Y14" s="22">
        <f>'Sales Report_NP'!$R14</f>
        <v>0</v>
      </c>
      <c r="Z14" s="23" t="str">
        <f t="shared" si="8"/>
        <v>-</v>
      </c>
      <c r="AA14" s="22">
        <f>'Sales Report_NP'!$S14</f>
        <v>0</v>
      </c>
      <c r="AB14" s="22">
        <f>'Sales Report_NP'!$T14</f>
        <v>0</v>
      </c>
      <c r="AC14" s="23" t="str">
        <f t="shared" si="9"/>
        <v>-</v>
      </c>
      <c r="AD14" s="22">
        <f t="shared" si="10"/>
        <v>0</v>
      </c>
      <c r="AE14" s="22">
        <f t="shared" si="10"/>
        <v>0</v>
      </c>
    </row>
    <row r="15" spans="1:31" ht="15" x14ac:dyDescent="0.25">
      <c r="B15" s="21">
        <f t="shared" si="0"/>
        <v>45846</v>
      </c>
      <c r="C15" s="22">
        <f>'Sales Report_NP'!$C15</f>
        <v>0</v>
      </c>
      <c r="D15" s="22">
        <f>'Sales Report_NP'!$D15</f>
        <v>0</v>
      </c>
      <c r="E15" s="23" t="str">
        <f t="shared" si="1"/>
        <v>-</v>
      </c>
      <c r="F15" s="22">
        <f>'Sales Report_NP'!$E15</f>
        <v>0</v>
      </c>
      <c r="G15" s="22">
        <f>'Sales Report_NP'!$F15</f>
        <v>0</v>
      </c>
      <c r="H15" s="23" t="str">
        <f t="shared" si="2"/>
        <v>-</v>
      </c>
      <c r="I15" s="22">
        <f>'Sales Report_NP'!$G15</f>
        <v>0</v>
      </c>
      <c r="J15" s="22">
        <f>'Sales Report_NP'!$H15</f>
        <v>0</v>
      </c>
      <c r="K15" s="23" t="str">
        <f t="shared" si="3"/>
        <v>-</v>
      </c>
      <c r="L15" s="22">
        <f>'Sales Report_NP'!$I15</f>
        <v>0</v>
      </c>
      <c r="M15" s="22">
        <f>'Sales Report_NP'!$J15</f>
        <v>0</v>
      </c>
      <c r="N15" s="23" t="str">
        <f t="shared" si="4"/>
        <v>-</v>
      </c>
      <c r="O15" s="22">
        <f t="shared" si="5"/>
        <v>0</v>
      </c>
      <c r="P15" s="22">
        <f t="shared" si="5"/>
        <v>0</v>
      </c>
      <c r="R15" s="22">
        <f>'Sales Report_NP'!$M15</f>
        <v>0</v>
      </c>
      <c r="S15" s="22">
        <f>'Sales Report_NP'!$N15</f>
        <v>0</v>
      </c>
      <c r="T15" s="23" t="str">
        <f t="shared" si="6"/>
        <v>-</v>
      </c>
      <c r="U15" s="22">
        <f>'Sales Report_NP'!$O15</f>
        <v>0</v>
      </c>
      <c r="V15" s="22">
        <f>'Sales Report_NP'!$P15</f>
        <v>0</v>
      </c>
      <c r="W15" s="23" t="str">
        <f t="shared" si="7"/>
        <v>-</v>
      </c>
      <c r="X15" s="22">
        <f>'Sales Report_NP'!$Q15</f>
        <v>0</v>
      </c>
      <c r="Y15" s="22">
        <f>'Sales Report_NP'!$R15</f>
        <v>0</v>
      </c>
      <c r="Z15" s="23" t="str">
        <f t="shared" si="8"/>
        <v>-</v>
      </c>
      <c r="AA15" s="22">
        <f>'Sales Report_NP'!$S15</f>
        <v>0</v>
      </c>
      <c r="AB15" s="22">
        <f>'Sales Report_NP'!$T15</f>
        <v>0</v>
      </c>
      <c r="AC15" s="23" t="str">
        <f t="shared" si="9"/>
        <v>-</v>
      </c>
      <c r="AD15" s="22">
        <f t="shared" si="10"/>
        <v>0</v>
      </c>
      <c r="AE15" s="22">
        <f t="shared" si="10"/>
        <v>0</v>
      </c>
    </row>
    <row r="16" spans="1:31" ht="15" x14ac:dyDescent="0.25">
      <c r="B16" s="21">
        <f t="shared" si="0"/>
        <v>45847</v>
      </c>
      <c r="C16" s="22">
        <f>'Sales Report_NP'!$C16</f>
        <v>0</v>
      </c>
      <c r="D16" s="22">
        <f>'Sales Report_NP'!$D16</f>
        <v>0</v>
      </c>
      <c r="E16" s="23" t="str">
        <f t="shared" si="1"/>
        <v>-</v>
      </c>
      <c r="F16" s="22">
        <f>'Sales Report_NP'!$E16</f>
        <v>0</v>
      </c>
      <c r="G16" s="22">
        <f>'Sales Report_NP'!$F16</f>
        <v>0</v>
      </c>
      <c r="H16" s="23" t="str">
        <f t="shared" si="2"/>
        <v>-</v>
      </c>
      <c r="I16" s="22">
        <f>'Sales Report_NP'!$G16</f>
        <v>0</v>
      </c>
      <c r="J16" s="22">
        <f>'Sales Report_NP'!$H16</f>
        <v>0</v>
      </c>
      <c r="K16" s="23" t="str">
        <f t="shared" si="3"/>
        <v>-</v>
      </c>
      <c r="L16" s="22">
        <f>'Sales Report_NP'!$I16</f>
        <v>0</v>
      </c>
      <c r="M16" s="22">
        <f>'Sales Report_NP'!$J16</f>
        <v>0</v>
      </c>
      <c r="N16" s="23" t="str">
        <f t="shared" si="4"/>
        <v>-</v>
      </c>
      <c r="O16" s="22">
        <f t="shared" si="5"/>
        <v>0</v>
      </c>
      <c r="P16" s="22">
        <f t="shared" si="5"/>
        <v>0</v>
      </c>
      <c r="R16" s="22">
        <f>'Sales Report_NP'!$M16</f>
        <v>0</v>
      </c>
      <c r="S16" s="22">
        <f>'Sales Report_NP'!$N16</f>
        <v>0</v>
      </c>
      <c r="T16" s="23" t="str">
        <f t="shared" si="6"/>
        <v>-</v>
      </c>
      <c r="U16" s="22">
        <f>'Sales Report_NP'!$O16</f>
        <v>0</v>
      </c>
      <c r="V16" s="22">
        <f>'Sales Report_NP'!$P16</f>
        <v>0</v>
      </c>
      <c r="W16" s="23" t="str">
        <f t="shared" si="7"/>
        <v>-</v>
      </c>
      <c r="X16" s="22">
        <f>'Sales Report_NP'!$Q16</f>
        <v>0</v>
      </c>
      <c r="Y16" s="22">
        <f>'Sales Report_NP'!$R16</f>
        <v>0</v>
      </c>
      <c r="Z16" s="23" t="str">
        <f t="shared" si="8"/>
        <v>-</v>
      </c>
      <c r="AA16" s="22">
        <f>'Sales Report_NP'!$S16</f>
        <v>0</v>
      </c>
      <c r="AB16" s="22">
        <f>'Sales Report_NP'!$T16</f>
        <v>0</v>
      </c>
      <c r="AC16" s="23" t="str">
        <f t="shared" si="9"/>
        <v>-</v>
      </c>
      <c r="AD16" s="22">
        <f t="shared" si="10"/>
        <v>0</v>
      </c>
      <c r="AE16" s="22">
        <f t="shared" si="10"/>
        <v>0</v>
      </c>
    </row>
    <row r="17" spans="2:31" ht="15" x14ac:dyDescent="0.25">
      <c r="B17" s="21">
        <f t="shared" si="0"/>
        <v>45848</v>
      </c>
      <c r="C17" s="22">
        <f>'Sales Report_NP'!$C17</f>
        <v>0</v>
      </c>
      <c r="D17" s="22">
        <f>'Sales Report_NP'!$D17</f>
        <v>0</v>
      </c>
      <c r="E17" s="23" t="str">
        <f t="shared" si="1"/>
        <v>-</v>
      </c>
      <c r="F17" s="22">
        <f>'Sales Report_NP'!$E17</f>
        <v>0</v>
      </c>
      <c r="G17" s="22">
        <f>'Sales Report_NP'!$F17</f>
        <v>0</v>
      </c>
      <c r="H17" s="23" t="str">
        <f t="shared" si="2"/>
        <v>-</v>
      </c>
      <c r="I17" s="22">
        <f>'Sales Report_NP'!$G17</f>
        <v>0</v>
      </c>
      <c r="J17" s="22">
        <f>'Sales Report_NP'!$H17</f>
        <v>0</v>
      </c>
      <c r="K17" s="23" t="str">
        <f t="shared" si="3"/>
        <v>-</v>
      </c>
      <c r="L17" s="22">
        <f>'Sales Report_NP'!$I17</f>
        <v>0</v>
      </c>
      <c r="M17" s="22">
        <f>'Sales Report_NP'!$J17</f>
        <v>0</v>
      </c>
      <c r="N17" s="23" t="str">
        <f t="shared" si="4"/>
        <v>-</v>
      </c>
      <c r="O17" s="22">
        <f t="shared" si="5"/>
        <v>0</v>
      </c>
      <c r="P17" s="22">
        <f t="shared" si="5"/>
        <v>0</v>
      </c>
      <c r="R17" s="22">
        <f>'Sales Report_NP'!$M17</f>
        <v>0</v>
      </c>
      <c r="S17" s="22">
        <f>'Sales Report_NP'!$N17</f>
        <v>0</v>
      </c>
      <c r="T17" s="23" t="str">
        <f t="shared" si="6"/>
        <v>-</v>
      </c>
      <c r="U17" s="22">
        <f>'Sales Report_NP'!$O17</f>
        <v>0</v>
      </c>
      <c r="V17" s="22">
        <f>'Sales Report_NP'!$P17</f>
        <v>0</v>
      </c>
      <c r="W17" s="23" t="str">
        <f t="shared" si="7"/>
        <v>-</v>
      </c>
      <c r="X17" s="22">
        <f>'Sales Report_NP'!$Q17</f>
        <v>0</v>
      </c>
      <c r="Y17" s="22">
        <f>'Sales Report_NP'!$R17</f>
        <v>0</v>
      </c>
      <c r="Z17" s="23" t="str">
        <f t="shared" si="8"/>
        <v>-</v>
      </c>
      <c r="AA17" s="22">
        <f>'Sales Report_NP'!$S17</f>
        <v>0</v>
      </c>
      <c r="AB17" s="22">
        <f>'Sales Report_NP'!$T17</f>
        <v>0</v>
      </c>
      <c r="AC17" s="23" t="str">
        <f t="shared" si="9"/>
        <v>-</v>
      </c>
      <c r="AD17" s="22">
        <f t="shared" si="10"/>
        <v>0</v>
      </c>
      <c r="AE17" s="22">
        <f t="shared" si="10"/>
        <v>0</v>
      </c>
    </row>
    <row r="18" spans="2:31" ht="15" x14ac:dyDescent="0.25">
      <c r="B18" s="21">
        <f t="shared" si="0"/>
        <v>45849</v>
      </c>
      <c r="C18" s="22">
        <f>'Sales Report_NP'!$C18</f>
        <v>0</v>
      </c>
      <c r="D18" s="22">
        <f>'Sales Report_NP'!$D18</f>
        <v>0</v>
      </c>
      <c r="E18" s="23" t="str">
        <f t="shared" si="1"/>
        <v>-</v>
      </c>
      <c r="F18" s="22">
        <f>'Sales Report_NP'!$E18</f>
        <v>0</v>
      </c>
      <c r="G18" s="22">
        <f>'Sales Report_NP'!$F18</f>
        <v>0</v>
      </c>
      <c r="H18" s="23" t="str">
        <f t="shared" si="2"/>
        <v>-</v>
      </c>
      <c r="I18" s="22">
        <f>'Sales Report_NP'!$G18</f>
        <v>0</v>
      </c>
      <c r="J18" s="22">
        <f>'Sales Report_NP'!$H18</f>
        <v>0</v>
      </c>
      <c r="K18" s="23" t="str">
        <f t="shared" si="3"/>
        <v>-</v>
      </c>
      <c r="L18" s="22">
        <f>'Sales Report_NP'!$I18</f>
        <v>0</v>
      </c>
      <c r="M18" s="22">
        <f>'Sales Report_NP'!$J18</f>
        <v>0</v>
      </c>
      <c r="N18" s="23" t="str">
        <f t="shared" si="4"/>
        <v>-</v>
      </c>
      <c r="O18" s="22">
        <f t="shared" si="5"/>
        <v>0</v>
      </c>
      <c r="P18" s="22">
        <f t="shared" si="5"/>
        <v>0</v>
      </c>
      <c r="R18" s="22">
        <f>'Sales Report_NP'!$M18</f>
        <v>0</v>
      </c>
      <c r="S18" s="22">
        <f>'Sales Report_NP'!$N18</f>
        <v>0</v>
      </c>
      <c r="T18" s="23" t="str">
        <f t="shared" si="6"/>
        <v>-</v>
      </c>
      <c r="U18" s="22">
        <f>'Sales Report_NP'!$O18</f>
        <v>0</v>
      </c>
      <c r="V18" s="22">
        <f>'Sales Report_NP'!$P18</f>
        <v>0</v>
      </c>
      <c r="W18" s="23" t="str">
        <f t="shared" si="7"/>
        <v>-</v>
      </c>
      <c r="X18" s="22">
        <f>'Sales Report_NP'!$Q18</f>
        <v>0</v>
      </c>
      <c r="Y18" s="22">
        <f>'Sales Report_NP'!$R18</f>
        <v>0</v>
      </c>
      <c r="Z18" s="23" t="str">
        <f t="shared" si="8"/>
        <v>-</v>
      </c>
      <c r="AA18" s="22">
        <f>'Sales Report_NP'!$S18</f>
        <v>0</v>
      </c>
      <c r="AB18" s="22">
        <f>'Sales Report_NP'!$T18</f>
        <v>0</v>
      </c>
      <c r="AC18" s="23" t="str">
        <f t="shared" si="9"/>
        <v>-</v>
      </c>
      <c r="AD18" s="22">
        <f t="shared" si="10"/>
        <v>0</v>
      </c>
      <c r="AE18" s="22">
        <f t="shared" si="10"/>
        <v>0</v>
      </c>
    </row>
    <row r="19" spans="2:31" ht="15" x14ac:dyDescent="0.25">
      <c r="B19" s="21">
        <f t="shared" si="0"/>
        <v>45850</v>
      </c>
      <c r="C19" s="22">
        <f>'Sales Report_NP'!$C19</f>
        <v>0</v>
      </c>
      <c r="D19" s="22">
        <f>'Sales Report_NP'!$D19</f>
        <v>0</v>
      </c>
      <c r="E19" s="23" t="str">
        <f t="shared" si="1"/>
        <v>-</v>
      </c>
      <c r="F19" s="22">
        <f>'Sales Report_NP'!$E19</f>
        <v>0</v>
      </c>
      <c r="G19" s="22">
        <f>'Sales Report_NP'!$F19</f>
        <v>0</v>
      </c>
      <c r="H19" s="23" t="str">
        <f t="shared" si="2"/>
        <v>-</v>
      </c>
      <c r="I19" s="22">
        <f>'Sales Report_NP'!$G19</f>
        <v>0</v>
      </c>
      <c r="J19" s="22">
        <f>'Sales Report_NP'!$H19</f>
        <v>0</v>
      </c>
      <c r="K19" s="23" t="str">
        <f t="shared" si="3"/>
        <v>-</v>
      </c>
      <c r="L19" s="22">
        <f>'Sales Report_NP'!$I19</f>
        <v>0</v>
      </c>
      <c r="M19" s="22">
        <f>'Sales Report_NP'!$J19</f>
        <v>0</v>
      </c>
      <c r="N19" s="23" t="str">
        <f t="shared" si="4"/>
        <v>-</v>
      </c>
      <c r="O19" s="22">
        <f t="shared" si="5"/>
        <v>0</v>
      </c>
      <c r="P19" s="22">
        <f t="shared" si="5"/>
        <v>0</v>
      </c>
      <c r="R19" s="22">
        <f>'Sales Report_NP'!$M19</f>
        <v>0</v>
      </c>
      <c r="S19" s="22">
        <f>'Sales Report_NP'!$N19</f>
        <v>0</v>
      </c>
      <c r="T19" s="23" t="str">
        <f t="shared" si="6"/>
        <v>-</v>
      </c>
      <c r="U19" s="22">
        <f>'Sales Report_NP'!$O19</f>
        <v>0</v>
      </c>
      <c r="V19" s="22">
        <f>'Sales Report_NP'!$P19</f>
        <v>0</v>
      </c>
      <c r="W19" s="23" t="str">
        <f t="shared" si="7"/>
        <v>-</v>
      </c>
      <c r="X19" s="22">
        <f>'Sales Report_NP'!$Q19</f>
        <v>0</v>
      </c>
      <c r="Y19" s="22">
        <f>'Sales Report_NP'!$R19</f>
        <v>0</v>
      </c>
      <c r="Z19" s="23" t="str">
        <f t="shared" si="8"/>
        <v>-</v>
      </c>
      <c r="AA19" s="22">
        <f>'Sales Report_NP'!$S19</f>
        <v>0</v>
      </c>
      <c r="AB19" s="22">
        <f>'Sales Report_NP'!$T19</f>
        <v>0</v>
      </c>
      <c r="AC19" s="23" t="str">
        <f t="shared" si="9"/>
        <v>-</v>
      </c>
      <c r="AD19" s="22">
        <f t="shared" si="10"/>
        <v>0</v>
      </c>
      <c r="AE19" s="22">
        <f t="shared" si="10"/>
        <v>0</v>
      </c>
    </row>
    <row r="20" spans="2:31" ht="15" x14ac:dyDescent="0.25">
      <c r="B20" s="21">
        <f t="shared" si="0"/>
        <v>45851</v>
      </c>
      <c r="C20" s="22">
        <f>'Sales Report_NP'!$C20</f>
        <v>0</v>
      </c>
      <c r="D20" s="22">
        <f>'Sales Report_NP'!$D20</f>
        <v>0</v>
      </c>
      <c r="E20" s="23" t="str">
        <f t="shared" si="1"/>
        <v>-</v>
      </c>
      <c r="F20" s="22">
        <f>'Sales Report_NP'!$E20</f>
        <v>0</v>
      </c>
      <c r="G20" s="22">
        <f>'Sales Report_NP'!$F20</f>
        <v>0</v>
      </c>
      <c r="H20" s="23" t="str">
        <f t="shared" si="2"/>
        <v>-</v>
      </c>
      <c r="I20" s="22">
        <f>'Sales Report_NP'!$G20</f>
        <v>0</v>
      </c>
      <c r="J20" s="22">
        <f>'Sales Report_NP'!$H20</f>
        <v>0</v>
      </c>
      <c r="K20" s="23" t="str">
        <f t="shared" si="3"/>
        <v>-</v>
      </c>
      <c r="L20" s="22">
        <f>'Sales Report_NP'!$I20</f>
        <v>0</v>
      </c>
      <c r="M20" s="22">
        <f>'Sales Report_NP'!$J20</f>
        <v>0</v>
      </c>
      <c r="N20" s="23" t="str">
        <f t="shared" si="4"/>
        <v>-</v>
      </c>
      <c r="O20" s="22">
        <f t="shared" si="5"/>
        <v>0</v>
      </c>
      <c r="P20" s="22">
        <f t="shared" si="5"/>
        <v>0</v>
      </c>
      <c r="R20" s="22">
        <f>'Sales Report_NP'!$M20</f>
        <v>0</v>
      </c>
      <c r="S20" s="22">
        <f>'Sales Report_NP'!$N20</f>
        <v>0</v>
      </c>
      <c r="T20" s="23" t="str">
        <f t="shared" si="6"/>
        <v>-</v>
      </c>
      <c r="U20" s="22">
        <f>'Sales Report_NP'!$O20</f>
        <v>0</v>
      </c>
      <c r="V20" s="22">
        <f>'Sales Report_NP'!$P20</f>
        <v>0</v>
      </c>
      <c r="W20" s="23" t="str">
        <f t="shared" si="7"/>
        <v>-</v>
      </c>
      <c r="X20" s="22">
        <f>'Sales Report_NP'!$Q20</f>
        <v>0</v>
      </c>
      <c r="Y20" s="22">
        <f>'Sales Report_NP'!$R20</f>
        <v>0</v>
      </c>
      <c r="Z20" s="23" t="str">
        <f t="shared" si="8"/>
        <v>-</v>
      </c>
      <c r="AA20" s="22">
        <f>'Sales Report_NP'!$S20</f>
        <v>0</v>
      </c>
      <c r="AB20" s="22">
        <f>'Sales Report_NP'!$T20</f>
        <v>0</v>
      </c>
      <c r="AC20" s="23" t="str">
        <f t="shared" si="9"/>
        <v>-</v>
      </c>
      <c r="AD20" s="22">
        <f t="shared" si="10"/>
        <v>0</v>
      </c>
      <c r="AE20" s="22">
        <f t="shared" si="10"/>
        <v>0</v>
      </c>
    </row>
    <row r="21" spans="2:31" ht="15" x14ac:dyDescent="0.25">
      <c r="B21" s="21">
        <f t="shared" si="0"/>
        <v>45852</v>
      </c>
      <c r="C21" s="22">
        <f>'Sales Report_NP'!$C21</f>
        <v>0</v>
      </c>
      <c r="D21" s="22">
        <f>'Sales Report_NP'!$D21</f>
        <v>0</v>
      </c>
      <c r="E21" s="23" t="str">
        <f t="shared" si="1"/>
        <v>-</v>
      </c>
      <c r="F21" s="22">
        <f>'Sales Report_NP'!$E21</f>
        <v>0</v>
      </c>
      <c r="G21" s="22">
        <f>'Sales Report_NP'!$F21</f>
        <v>0</v>
      </c>
      <c r="H21" s="23" t="str">
        <f t="shared" si="2"/>
        <v>-</v>
      </c>
      <c r="I21" s="22">
        <f>'Sales Report_NP'!$G21</f>
        <v>0</v>
      </c>
      <c r="J21" s="22">
        <f>'Sales Report_NP'!$H21</f>
        <v>0</v>
      </c>
      <c r="K21" s="23" t="str">
        <f t="shared" si="3"/>
        <v>-</v>
      </c>
      <c r="L21" s="22">
        <f>'Sales Report_NP'!$I21</f>
        <v>0</v>
      </c>
      <c r="M21" s="22">
        <f>'Sales Report_NP'!$J21</f>
        <v>0</v>
      </c>
      <c r="N21" s="23" t="str">
        <f t="shared" si="4"/>
        <v>-</v>
      </c>
      <c r="O21" s="22">
        <f t="shared" si="5"/>
        <v>0</v>
      </c>
      <c r="P21" s="22">
        <f t="shared" si="5"/>
        <v>0</v>
      </c>
      <c r="R21" s="22">
        <f>'Sales Report_NP'!$M21</f>
        <v>0</v>
      </c>
      <c r="S21" s="22">
        <f>'Sales Report_NP'!$N21</f>
        <v>0</v>
      </c>
      <c r="T21" s="23" t="str">
        <f t="shared" si="6"/>
        <v>-</v>
      </c>
      <c r="U21" s="22">
        <f>'Sales Report_NP'!$O21</f>
        <v>0</v>
      </c>
      <c r="V21" s="22">
        <f>'Sales Report_NP'!$P21</f>
        <v>0</v>
      </c>
      <c r="W21" s="23" t="str">
        <f t="shared" si="7"/>
        <v>-</v>
      </c>
      <c r="X21" s="22">
        <f>'Sales Report_NP'!$Q21</f>
        <v>0</v>
      </c>
      <c r="Y21" s="22">
        <f>'Sales Report_NP'!$R21</f>
        <v>0</v>
      </c>
      <c r="Z21" s="23" t="str">
        <f t="shared" si="8"/>
        <v>-</v>
      </c>
      <c r="AA21" s="22">
        <f>'Sales Report_NP'!$S21</f>
        <v>0</v>
      </c>
      <c r="AB21" s="22">
        <f>'Sales Report_NP'!$T21</f>
        <v>0</v>
      </c>
      <c r="AC21" s="23" t="str">
        <f t="shared" si="9"/>
        <v>-</v>
      </c>
      <c r="AD21" s="22">
        <f t="shared" si="10"/>
        <v>0</v>
      </c>
      <c r="AE21" s="22">
        <f t="shared" si="10"/>
        <v>0</v>
      </c>
    </row>
    <row r="22" spans="2:31" ht="15" x14ac:dyDescent="0.25">
      <c r="B22" s="21">
        <f t="shared" si="0"/>
        <v>45853</v>
      </c>
      <c r="C22" s="22">
        <f>'Sales Report_NP'!$C22</f>
        <v>0</v>
      </c>
      <c r="D22" s="22">
        <f>'Sales Report_NP'!$D22</f>
        <v>0</v>
      </c>
      <c r="E22" s="23" t="str">
        <f t="shared" si="1"/>
        <v>-</v>
      </c>
      <c r="F22" s="23">
        <f>'Sales Report_NP'!$E22</f>
        <v>0</v>
      </c>
      <c r="G22" s="22">
        <f>'Sales Report_NP'!$F22</f>
        <v>0</v>
      </c>
      <c r="H22" s="23" t="str">
        <f t="shared" si="2"/>
        <v>-</v>
      </c>
      <c r="I22" s="22">
        <f>'Sales Report_NP'!$G22</f>
        <v>0</v>
      </c>
      <c r="J22" s="22">
        <f>'Sales Report_NP'!$H22</f>
        <v>0</v>
      </c>
      <c r="K22" s="23" t="str">
        <f t="shared" si="3"/>
        <v>-</v>
      </c>
      <c r="L22" s="22">
        <f>'Sales Report_NP'!$I22</f>
        <v>0</v>
      </c>
      <c r="M22" s="22">
        <f>'Sales Report_NP'!$J22</f>
        <v>0</v>
      </c>
      <c r="N22" s="23" t="str">
        <f t="shared" si="4"/>
        <v>-</v>
      </c>
      <c r="O22" s="22">
        <f t="shared" si="5"/>
        <v>0</v>
      </c>
      <c r="P22" s="22">
        <f t="shared" si="5"/>
        <v>0</v>
      </c>
      <c r="R22" s="22">
        <f>'Sales Report_NP'!$M22</f>
        <v>0</v>
      </c>
      <c r="S22" s="22">
        <f>'Sales Report_NP'!$N22</f>
        <v>0</v>
      </c>
      <c r="T22" s="23" t="str">
        <f t="shared" si="6"/>
        <v>-</v>
      </c>
      <c r="U22" s="22">
        <f>'Sales Report_NP'!$O22</f>
        <v>0</v>
      </c>
      <c r="V22" s="22">
        <f>'Sales Report_NP'!$P22</f>
        <v>0</v>
      </c>
      <c r="W22" s="23" t="str">
        <f t="shared" si="7"/>
        <v>-</v>
      </c>
      <c r="X22" s="22">
        <f>'Sales Report_NP'!$Q22</f>
        <v>0</v>
      </c>
      <c r="Y22" s="22">
        <f>'Sales Report_NP'!$R22</f>
        <v>0</v>
      </c>
      <c r="Z22" s="23" t="str">
        <f t="shared" si="8"/>
        <v>-</v>
      </c>
      <c r="AA22" s="22">
        <f>'Sales Report_NP'!$S22</f>
        <v>0</v>
      </c>
      <c r="AB22" s="22">
        <f>'Sales Report_NP'!$T22</f>
        <v>0</v>
      </c>
      <c r="AC22" s="23" t="str">
        <f t="shared" si="9"/>
        <v>-</v>
      </c>
      <c r="AD22" s="22">
        <f t="shared" si="10"/>
        <v>0</v>
      </c>
      <c r="AE22" s="22">
        <f t="shared" si="10"/>
        <v>0</v>
      </c>
    </row>
    <row r="23" spans="2:31" ht="15" x14ac:dyDescent="0.25">
      <c r="B23" s="21">
        <f t="shared" si="0"/>
        <v>45854</v>
      </c>
      <c r="C23" s="22">
        <f>'Sales Report_NP'!$C23</f>
        <v>0</v>
      </c>
      <c r="D23" s="22">
        <f>'Sales Report_NP'!$D23</f>
        <v>0</v>
      </c>
      <c r="E23" s="23" t="str">
        <f t="shared" si="1"/>
        <v>-</v>
      </c>
      <c r="F23" s="22">
        <f>'Sales Report_NP'!$E23</f>
        <v>0</v>
      </c>
      <c r="G23" s="22">
        <f>'Sales Report_NP'!$F23</f>
        <v>0</v>
      </c>
      <c r="H23" s="23" t="str">
        <f t="shared" si="2"/>
        <v>-</v>
      </c>
      <c r="I23" s="22">
        <f>'Sales Report_NP'!$G23</f>
        <v>0</v>
      </c>
      <c r="J23" s="22">
        <f>'Sales Report_NP'!$H23</f>
        <v>0</v>
      </c>
      <c r="K23" s="23" t="str">
        <f t="shared" si="3"/>
        <v>-</v>
      </c>
      <c r="L23" s="22">
        <f>'Sales Report_NP'!$I23</f>
        <v>0</v>
      </c>
      <c r="M23" s="22">
        <f>'Sales Report_NP'!$J23</f>
        <v>0</v>
      </c>
      <c r="N23" s="23" t="str">
        <f t="shared" si="4"/>
        <v>-</v>
      </c>
      <c r="O23" s="22">
        <f t="shared" si="5"/>
        <v>0</v>
      </c>
      <c r="P23" s="22">
        <f t="shared" si="5"/>
        <v>0</v>
      </c>
      <c r="R23" s="22">
        <f>'Sales Report_NP'!$M23</f>
        <v>0</v>
      </c>
      <c r="S23" s="22">
        <f>'Sales Report_NP'!$N23</f>
        <v>0</v>
      </c>
      <c r="T23" s="23" t="str">
        <f t="shared" si="6"/>
        <v>-</v>
      </c>
      <c r="U23" s="22">
        <f>'Sales Report_NP'!$O23</f>
        <v>0</v>
      </c>
      <c r="V23" s="22">
        <f>'Sales Report_NP'!$P23</f>
        <v>0</v>
      </c>
      <c r="W23" s="23" t="str">
        <f t="shared" si="7"/>
        <v>-</v>
      </c>
      <c r="X23" s="22">
        <f>'Sales Report_NP'!$Q23</f>
        <v>0</v>
      </c>
      <c r="Y23" s="22">
        <f>'Sales Report_NP'!$R23</f>
        <v>0</v>
      </c>
      <c r="Z23" s="23" t="str">
        <f t="shared" si="8"/>
        <v>-</v>
      </c>
      <c r="AA23" s="22">
        <f>'Sales Report_NP'!$S23</f>
        <v>0</v>
      </c>
      <c r="AB23" s="22">
        <f>'Sales Report_NP'!$T23</f>
        <v>0</v>
      </c>
      <c r="AC23" s="23" t="str">
        <f t="shared" si="9"/>
        <v>-</v>
      </c>
      <c r="AD23" s="22">
        <f t="shared" si="10"/>
        <v>0</v>
      </c>
      <c r="AE23" s="22">
        <f t="shared" si="10"/>
        <v>0</v>
      </c>
    </row>
    <row r="24" spans="2:31" ht="15" x14ac:dyDescent="0.25">
      <c r="B24" s="21">
        <f t="shared" si="0"/>
        <v>45855</v>
      </c>
      <c r="C24" s="22">
        <f>'Sales Report_NP'!$C24</f>
        <v>0</v>
      </c>
      <c r="D24" s="22">
        <f>'Sales Report_NP'!$D24</f>
        <v>0</v>
      </c>
      <c r="E24" s="23" t="str">
        <f t="shared" si="1"/>
        <v>-</v>
      </c>
      <c r="F24" s="22">
        <f>'Sales Report_NP'!$E24</f>
        <v>0</v>
      </c>
      <c r="G24" s="22">
        <f>'Sales Report_NP'!$F24</f>
        <v>0</v>
      </c>
      <c r="H24" s="23" t="str">
        <f t="shared" si="2"/>
        <v>-</v>
      </c>
      <c r="I24" s="22">
        <f>'Sales Report_NP'!$G24</f>
        <v>0</v>
      </c>
      <c r="J24" s="22">
        <f>'Sales Report_NP'!$H24</f>
        <v>0</v>
      </c>
      <c r="K24" s="23" t="str">
        <f t="shared" si="3"/>
        <v>-</v>
      </c>
      <c r="L24" s="22">
        <f>'Sales Report_NP'!$I24</f>
        <v>0</v>
      </c>
      <c r="M24" s="22">
        <f>'Sales Report_NP'!$J24</f>
        <v>0</v>
      </c>
      <c r="N24" s="23" t="str">
        <f t="shared" si="4"/>
        <v>-</v>
      </c>
      <c r="O24" s="22">
        <f t="shared" si="5"/>
        <v>0</v>
      </c>
      <c r="P24" s="22">
        <f t="shared" si="5"/>
        <v>0</v>
      </c>
      <c r="R24" s="22">
        <f>'Sales Report_NP'!$M24</f>
        <v>0</v>
      </c>
      <c r="S24" s="22">
        <f>'Sales Report_NP'!$N24</f>
        <v>0</v>
      </c>
      <c r="T24" s="23" t="str">
        <f t="shared" si="6"/>
        <v>-</v>
      </c>
      <c r="U24" s="22">
        <f>'Sales Report_NP'!$O24</f>
        <v>0</v>
      </c>
      <c r="V24" s="22">
        <f>'Sales Report_NP'!$P24</f>
        <v>0</v>
      </c>
      <c r="W24" s="23" t="str">
        <f t="shared" si="7"/>
        <v>-</v>
      </c>
      <c r="X24" s="22">
        <f>'Sales Report_NP'!$Q24</f>
        <v>0</v>
      </c>
      <c r="Y24" s="22">
        <f>'Sales Report_NP'!$R24</f>
        <v>0</v>
      </c>
      <c r="Z24" s="23" t="str">
        <f t="shared" si="8"/>
        <v>-</v>
      </c>
      <c r="AA24" s="22">
        <f>'Sales Report_NP'!$S24</f>
        <v>0</v>
      </c>
      <c r="AB24" s="22">
        <f>'Sales Report_NP'!$T24</f>
        <v>0</v>
      </c>
      <c r="AC24" s="23" t="str">
        <f t="shared" si="9"/>
        <v>-</v>
      </c>
      <c r="AD24" s="22">
        <f t="shared" si="10"/>
        <v>0</v>
      </c>
      <c r="AE24" s="22">
        <f t="shared" si="10"/>
        <v>0</v>
      </c>
    </row>
    <row r="25" spans="2:31" ht="15" x14ac:dyDescent="0.25">
      <c r="B25" s="21">
        <f t="shared" si="0"/>
        <v>45856</v>
      </c>
      <c r="C25" s="22">
        <f>'Sales Report_NP'!$C25</f>
        <v>0</v>
      </c>
      <c r="D25" s="22">
        <f>'Sales Report_NP'!$D25</f>
        <v>0</v>
      </c>
      <c r="E25" s="23" t="str">
        <f t="shared" si="1"/>
        <v>-</v>
      </c>
      <c r="F25" s="22">
        <f>'Sales Report_NP'!$E25</f>
        <v>0</v>
      </c>
      <c r="G25" s="22">
        <f>'Sales Report_NP'!$F25</f>
        <v>0</v>
      </c>
      <c r="H25" s="23" t="str">
        <f t="shared" si="2"/>
        <v>-</v>
      </c>
      <c r="I25" s="22">
        <f>'Sales Report_NP'!$G25</f>
        <v>0</v>
      </c>
      <c r="J25" s="22">
        <f>'Sales Report_NP'!$H25</f>
        <v>0</v>
      </c>
      <c r="K25" s="23" t="str">
        <f t="shared" si="3"/>
        <v>-</v>
      </c>
      <c r="L25" s="22">
        <f>'Sales Report_NP'!$I25</f>
        <v>0</v>
      </c>
      <c r="M25" s="22">
        <f>'Sales Report_NP'!$J25</f>
        <v>0</v>
      </c>
      <c r="N25" s="23" t="str">
        <f t="shared" si="4"/>
        <v>-</v>
      </c>
      <c r="O25" s="22">
        <f t="shared" si="5"/>
        <v>0</v>
      </c>
      <c r="P25" s="22">
        <f t="shared" si="5"/>
        <v>0</v>
      </c>
      <c r="R25" s="22">
        <f>'Sales Report_NP'!$M25</f>
        <v>0</v>
      </c>
      <c r="S25" s="22">
        <f>'Sales Report_NP'!$N25</f>
        <v>0</v>
      </c>
      <c r="T25" s="23" t="str">
        <f t="shared" si="6"/>
        <v>-</v>
      </c>
      <c r="U25" s="22">
        <f>'Sales Report_NP'!$O25</f>
        <v>0</v>
      </c>
      <c r="V25" s="22">
        <f>'Sales Report_NP'!$P25</f>
        <v>0</v>
      </c>
      <c r="W25" s="23" t="str">
        <f t="shared" si="7"/>
        <v>-</v>
      </c>
      <c r="X25" s="22">
        <f>'Sales Report_NP'!$Q25</f>
        <v>0</v>
      </c>
      <c r="Y25" s="22">
        <f>'Sales Report_NP'!$R25</f>
        <v>0</v>
      </c>
      <c r="Z25" s="23" t="str">
        <f t="shared" si="8"/>
        <v>-</v>
      </c>
      <c r="AA25" s="22">
        <f>'Sales Report_NP'!$S25</f>
        <v>0</v>
      </c>
      <c r="AB25" s="22">
        <f>'Sales Report_NP'!$T25</f>
        <v>0</v>
      </c>
      <c r="AC25" s="23" t="str">
        <f t="shared" si="9"/>
        <v>-</v>
      </c>
      <c r="AD25" s="22">
        <f t="shared" si="10"/>
        <v>0</v>
      </c>
      <c r="AE25" s="22">
        <f t="shared" si="10"/>
        <v>0</v>
      </c>
    </row>
    <row r="26" spans="2:31" ht="15" x14ac:dyDescent="0.25">
      <c r="B26" s="21">
        <f t="shared" si="0"/>
        <v>45857</v>
      </c>
      <c r="C26" s="22">
        <f>'Sales Report_NP'!$C26</f>
        <v>0</v>
      </c>
      <c r="D26" s="22">
        <f>'Sales Report_NP'!$D26</f>
        <v>0</v>
      </c>
      <c r="E26" s="23" t="str">
        <f t="shared" si="1"/>
        <v>-</v>
      </c>
      <c r="F26" s="22">
        <f>'Sales Report_NP'!$E26</f>
        <v>0</v>
      </c>
      <c r="G26" s="22">
        <f>'Sales Report_NP'!$F26</f>
        <v>0</v>
      </c>
      <c r="H26" s="23" t="str">
        <f t="shared" si="2"/>
        <v>-</v>
      </c>
      <c r="I26" s="22">
        <f>'Sales Report_NP'!$G26</f>
        <v>0</v>
      </c>
      <c r="J26" s="22">
        <f>'Sales Report_NP'!$H26</f>
        <v>0</v>
      </c>
      <c r="K26" s="23" t="str">
        <f t="shared" si="3"/>
        <v>-</v>
      </c>
      <c r="L26" s="22">
        <f>'Sales Report_NP'!$I26</f>
        <v>0</v>
      </c>
      <c r="M26" s="22">
        <f>'Sales Report_NP'!$J26</f>
        <v>0</v>
      </c>
      <c r="N26" s="23" t="str">
        <f t="shared" si="4"/>
        <v>-</v>
      </c>
      <c r="O26" s="22">
        <f t="shared" si="5"/>
        <v>0</v>
      </c>
      <c r="P26" s="22">
        <f t="shared" si="5"/>
        <v>0</v>
      </c>
      <c r="R26" s="22">
        <f>'Sales Report_NP'!$M26</f>
        <v>0</v>
      </c>
      <c r="S26" s="22">
        <f>'Sales Report_NP'!$N26</f>
        <v>0</v>
      </c>
      <c r="T26" s="23" t="str">
        <f t="shared" si="6"/>
        <v>-</v>
      </c>
      <c r="U26" s="22">
        <f>'Sales Report_NP'!$O26</f>
        <v>0</v>
      </c>
      <c r="V26" s="22">
        <f>'Sales Report_NP'!$P26</f>
        <v>0</v>
      </c>
      <c r="W26" s="23" t="str">
        <f t="shared" si="7"/>
        <v>-</v>
      </c>
      <c r="X26" s="22">
        <f>'Sales Report_NP'!$Q26</f>
        <v>0</v>
      </c>
      <c r="Y26" s="22">
        <f>'Sales Report_NP'!$R26</f>
        <v>0</v>
      </c>
      <c r="Z26" s="23" t="str">
        <f t="shared" si="8"/>
        <v>-</v>
      </c>
      <c r="AA26" s="22">
        <f>'Sales Report_NP'!$S26</f>
        <v>0</v>
      </c>
      <c r="AB26" s="22">
        <f>'Sales Report_NP'!$T26</f>
        <v>0</v>
      </c>
      <c r="AC26" s="23" t="str">
        <f t="shared" si="9"/>
        <v>-</v>
      </c>
      <c r="AD26" s="22">
        <f t="shared" si="10"/>
        <v>0</v>
      </c>
      <c r="AE26" s="22">
        <f t="shared" si="10"/>
        <v>0</v>
      </c>
    </row>
    <row r="27" spans="2:31" ht="15" x14ac:dyDescent="0.25">
      <c r="B27" s="21">
        <f t="shared" si="0"/>
        <v>45858</v>
      </c>
      <c r="C27" s="22">
        <f>'Sales Report_NP'!$C27</f>
        <v>0</v>
      </c>
      <c r="D27" s="22">
        <f>'Sales Report_NP'!$D27</f>
        <v>0</v>
      </c>
      <c r="E27" s="23" t="str">
        <f t="shared" si="1"/>
        <v>-</v>
      </c>
      <c r="F27" s="22">
        <f>'Sales Report_NP'!$E27</f>
        <v>0</v>
      </c>
      <c r="G27" s="22">
        <f>'Sales Report_NP'!$F27</f>
        <v>0</v>
      </c>
      <c r="H27" s="23" t="str">
        <f t="shared" si="2"/>
        <v>-</v>
      </c>
      <c r="I27" s="22">
        <f>'Sales Report_NP'!$G27</f>
        <v>0</v>
      </c>
      <c r="J27" s="22">
        <f>'Sales Report_NP'!$H27</f>
        <v>0</v>
      </c>
      <c r="K27" s="23" t="str">
        <f t="shared" si="3"/>
        <v>-</v>
      </c>
      <c r="L27" s="22">
        <f>'Sales Report_NP'!$I27</f>
        <v>0</v>
      </c>
      <c r="M27" s="22">
        <f>'Sales Report_NP'!$J27</f>
        <v>0</v>
      </c>
      <c r="N27" s="23" t="str">
        <f t="shared" si="4"/>
        <v>-</v>
      </c>
      <c r="O27" s="22">
        <f t="shared" si="5"/>
        <v>0</v>
      </c>
      <c r="P27" s="22">
        <f t="shared" si="5"/>
        <v>0</v>
      </c>
      <c r="R27" s="22">
        <f>'Sales Report_NP'!$M27</f>
        <v>0</v>
      </c>
      <c r="S27" s="22">
        <f>'Sales Report_NP'!$N27</f>
        <v>0</v>
      </c>
      <c r="T27" s="23" t="str">
        <f t="shared" si="6"/>
        <v>-</v>
      </c>
      <c r="U27" s="22">
        <f>'Sales Report_NP'!$O27</f>
        <v>0</v>
      </c>
      <c r="V27" s="22">
        <f>'Sales Report_NP'!$P27</f>
        <v>0</v>
      </c>
      <c r="W27" s="23" t="str">
        <f t="shared" si="7"/>
        <v>-</v>
      </c>
      <c r="X27" s="22">
        <f>'Sales Report_NP'!$Q27</f>
        <v>0</v>
      </c>
      <c r="Y27" s="22">
        <f>'Sales Report_NP'!$R27</f>
        <v>0</v>
      </c>
      <c r="Z27" s="23" t="str">
        <f t="shared" si="8"/>
        <v>-</v>
      </c>
      <c r="AA27" s="22">
        <f>'Sales Report_NP'!$S27</f>
        <v>0</v>
      </c>
      <c r="AB27" s="22">
        <f>'Sales Report_NP'!$T27</f>
        <v>0</v>
      </c>
      <c r="AC27" s="23" t="str">
        <f t="shared" si="9"/>
        <v>-</v>
      </c>
      <c r="AD27" s="22">
        <f t="shared" si="10"/>
        <v>0</v>
      </c>
      <c r="AE27" s="22">
        <f t="shared" si="10"/>
        <v>0</v>
      </c>
    </row>
    <row r="28" spans="2:31" ht="15" x14ac:dyDescent="0.25">
      <c r="B28" s="21">
        <f t="shared" si="0"/>
        <v>45859</v>
      </c>
      <c r="C28" s="22">
        <f>'Sales Report_NP'!$C28</f>
        <v>0</v>
      </c>
      <c r="D28" s="22">
        <f>'Sales Report_NP'!$D28</f>
        <v>0</v>
      </c>
      <c r="E28" s="23" t="str">
        <f t="shared" si="1"/>
        <v>-</v>
      </c>
      <c r="F28" s="22">
        <f>'Sales Report_NP'!$E28</f>
        <v>0</v>
      </c>
      <c r="G28" s="22">
        <f>'Sales Report_NP'!$F28</f>
        <v>0</v>
      </c>
      <c r="H28" s="23" t="str">
        <f t="shared" si="2"/>
        <v>-</v>
      </c>
      <c r="I28" s="22">
        <f>'Sales Report_NP'!$G28</f>
        <v>0</v>
      </c>
      <c r="J28" s="22">
        <f>'Sales Report_NP'!$H28</f>
        <v>0</v>
      </c>
      <c r="K28" s="23" t="str">
        <f t="shared" si="3"/>
        <v>-</v>
      </c>
      <c r="L28" s="22">
        <f>'Sales Report_NP'!$I28</f>
        <v>0</v>
      </c>
      <c r="M28" s="22">
        <f>'Sales Report_NP'!$J28</f>
        <v>0</v>
      </c>
      <c r="N28" s="23" t="str">
        <f t="shared" si="4"/>
        <v>-</v>
      </c>
      <c r="O28" s="22">
        <f t="shared" si="5"/>
        <v>0</v>
      </c>
      <c r="P28" s="22">
        <f t="shared" si="5"/>
        <v>0</v>
      </c>
      <c r="R28" s="22">
        <f>'Sales Report_NP'!$M28</f>
        <v>0</v>
      </c>
      <c r="S28" s="22">
        <f>'Sales Report_NP'!$N28</f>
        <v>0</v>
      </c>
      <c r="T28" s="23" t="str">
        <f t="shared" si="6"/>
        <v>-</v>
      </c>
      <c r="U28" s="22">
        <f>'Sales Report_NP'!$O28</f>
        <v>0</v>
      </c>
      <c r="V28" s="22">
        <f>'Sales Report_NP'!$P28</f>
        <v>0</v>
      </c>
      <c r="W28" s="23" t="str">
        <f t="shared" si="7"/>
        <v>-</v>
      </c>
      <c r="X28" s="22">
        <f>'Sales Report_NP'!$Q28</f>
        <v>0</v>
      </c>
      <c r="Y28" s="22">
        <f>'Sales Report_NP'!$R28</f>
        <v>0</v>
      </c>
      <c r="Z28" s="23" t="str">
        <f t="shared" si="8"/>
        <v>-</v>
      </c>
      <c r="AA28" s="22">
        <f>'Sales Report_NP'!$S28</f>
        <v>0</v>
      </c>
      <c r="AB28" s="22">
        <f>'Sales Report_NP'!$T28</f>
        <v>0</v>
      </c>
      <c r="AC28" s="23" t="str">
        <f t="shared" si="9"/>
        <v>-</v>
      </c>
      <c r="AD28" s="22">
        <f t="shared" si="10"/>
        <v>0</v>
      </c>
      <c r="AE28" s="22">
        <f t="shared" si="10"/>
        <v>0</v>
      </c>
    </row>
    <row r="29" spans="2:31" ht="15" x14ac:dyDescent="0.25">
      <c r="B29" s="21">
        <f t="shared" si="0"/>
        <v>45860</v>
      </c>
      <c r="C29" s="22">
        <f>'Sales Report_NP'!$C29</f>
        <v>0</v>
      </c>
      <c r="D29" s="22">
        <f>'Sales Report_NP'!$D29</f>
        <v>0</v>
      </c>
      <c r="E29" s="23" t="str">
        <f t="shared" si="1"/>
        <v>-</v>
      </c>
      <c r="F29" s="22">
        <f>'Sales Report_NP'!$E29</f>
        <v>0</v>
      </c>
      <c r="G29" s="22">
        <f>'Sales Report_NP'!$F29</f>
        <v>0</v>
      </c>
      <c r="H29" s="23" t="str">
        <f t="shared" si="2"/>
        <v>-</v>
      </c>
      <c r="I29" s="22">
        <f>'Sales Report_NP'!$G29</f>
        <v>0</v>
      </c>
      <c r="J29" s="22">
        <f>'Sales Report_NP'!$H29</f>
        <v>0</v>
      </c>
      <c r="K29" s="23" t="str">
        <f t="shared" si="3"/>
        <v>-</v>
      </c>
      <c r="L29" s="22">
        <f>'Sales Report_NP'!$I29</f>
        <v>0</v>
      </c>
      <c r="M29" s="22">
        <f>'Sales Report_NP'!$J29</f>
        <v>0</v>
      </c>
      <c r="N29" s="23" t="str">
        <f t="shared" si="4"/>
        <v>-</v>
      </c>
      <c r="O29" s="22">
        <f t="shared" si="5"/>
        <v>0</v>
      </c>
      <c r="P29" s="22">
        <f t="shared" si="5"/>
        <v>0</v>
      </c>
      <c r="R29" s="22">
        <f>'Sales Report_NP'!$M29</f>
        <v>0</v>
      </c>
      <c r="S29" s="22">
        <f>'Sales Report_NP'!$N29</f>
        <v>0</v>
      </c>
      <c r="T29" s="23" t="str">
        <f t="shared" si="6"/>
        <v>-</v>
      </c>
      <c r="U29" s="22">
        <f>'Sales Report_NP'!$O29</f>
        <v>0</v>
      </c>
      <c r="V29" s="22">
        <f>'Sales Report_NP'!$P29</f>
        <v>0</v>
      </c>
      <c r="W29" s="23" t="str">
        <f t="shared" si="7"/>
        <v>-</v>
      </c>
      <c r="X29" s="22">
        <f>'Sales Report_NP'!$Q29</f>
        <v>0</v>
      </c>
      <c r="Y29" s="22">
        <f>'Sales Report_NP'!$R29</f>
        <v>0</v>
      </c>
      <c r="Z29" s="23" t="str">
        <f t="shared" si="8"/>
        <v>-</v>
      </c>
      <c r="AA29" s="22">
        <f>'Sales Report_NP'!$S29</f>
        <v>0</v>
      </c>
      <c r="AB29" s="22">
        <f>'Sales Report_NP'!$T29</f>
        <v>0</v>
      </c>
      <c r="AC29" s="23" t="str">
        <f t="shared" si="9"/>
        <v>-</v>
      </c>
      <c r="AD29" s="22">
        <f t="shared" si="10"/>
        <v>0</v>
      </c>
      <c r="AE29" s="22">
        <f t="shared" si="10"/>
        <v>0</v>
      </c>
    </row>
    <row r="30" spans="2:31" ht="15" x14ac:dyDescent="0.25">
      <c r="B30" s="21">
        <f t="shared" si="0"/>
        <v>45861</v>
      </c>
      <c r="C30" s="22">
        <f>'Sales Report_NP'!$C30</f>
        <v>0</v>
      </c>
      <c r="D30" s="22">
        <f>'Sales Report_NP'!$D30</f>
        <v>0</v>
      </c>
      <c r="E30" s="23" t="str">
        <f t="shared" si="1"/>
        <v>-</v>
      </c>
      <c r="F30" s="22">
        <f>'Sales Report_NP'!$E30</f>
        <v>0</v>
      </c>
      <c r="G30" s="22">
        <f>'Sales Report_NP'!$F30</f>
        <v>0</v>
      </c>
      <c r="H30" s="23" t="str">
        <f t="shared" si="2"/>
        <v>-</v>
      </c>
      <c r="I30" s="22">
        <f>'Sales Report_NP'!$G30</f>
        <v>0</v>
      </c>
      <c r="J30" s="22">
        <f>'Sales Report_NP'!$H30</f>
        <v>0</v>
      </c>
      <c r="K30" s="23" t="str">
        <f t="shared" si="3"/>
        <v>-</v>
      </c>
      <c r="L30" s="22">
        <f>'Sales Report_NP'!$I30</f>
        <v>0</v>
      </c>
      <c r="M30" s="22">
        <f>'Sales Report_NP'!$J30</f>
        <v>0</v>
      </c>
      <c r="N30" s="23" t="str">
        <f t="shared" si="4"/>
        <v>-</v>
      </c>
      <c r="O30" s="22">
        <f t="shared" si="5"/>
        <v>0</v>
      </c>
      <c r="P30" s="22">
        <f t="shared" si="5"/>
        <v>0</v>
      </c>
      <c r="R30" s="22">
        <f>'Sales Report_NP'!$M30</f>
        <v>0</v>
      </c>
      <c r="S30" s="22">
        <f>'Sales Report_NP'!$N30</f>
        <v>0</v>
      </c>
      <c r="T30" s="23" t="str">
        <f t="shared" si="6"/>
        <v>-</v>
      </c>
      <c r="U30" s="22">
        <f>'Sales Report_NP'!$O30</f>
        <v>0</v>
      </c>
      <c r="V30" s="22">
        <f>'Sales Report_NP'!$P30</f>
        <v>0</v>
      </c>
      <c r="W30" s="23" t="str">
        <f t="shared" si="7"/>
        <v>-</v>
      </c>
      <c r="X30" s="22">
        <f>'Sales Report_NP'!$Q30</f>
        <v>0</v>
      </c>
      <c r="Y30" s="22">
        <f>'Sales Report_NP'!$R30</f>
        <v>0</v>
      </c>
      <c r="Z30" s="23" t="str">
        <f t="shared" si="8"/>
        <v>-</v>
      </c>
      <c r="AA30" s="22">
        <f>'Sales Report_NP'!$S30</f>
        <v>0</v>
      </c>
      <c r="AB30" s="22">
        <f>'Sales Report_NP'!$T30</f>
        <v>0</v>
      </c>
      <c r="AC30" s="23" t="str">
        <f t="shared" si="9"/>
        <v>-</v>
      </c>
      <c r="AD30" s="22">
        <f t="shared" si="10"/>
        <v>0</v>
      </c>
      <c r="AE30" s="22">
        <f t="shared" si="10"/>
        <v>0</v>
      </c>
    </row>
    <row r="31" spans="2:31" ht="15" x14ac:dyDescent="0.25">
      <c r="B31" s="21">
        <f t="shared" si="0"/>
        <v>45862</v>
      </c>
      <c r="C31" s="22">
        <f>'Sales Report_NP'!$C31</f>
        <v>0</v>
      </c>
      <c r="D31" s="22">
        <f>'Sales Report_NP'!$D31</f>
        <v>0</v>
      </c>
      <c r="E31" s="23" t="str">
        <f t="shared" si="1"/>
        <v>-</v>
      </c>
      <c r="F31" s="22">
        <f>'Sales Report_NP'!$E31</f>
        <v>0</v>
      </c>
      <c r="G31" s="22">
        <f>'Sales Report_NP'!$F31</f>
        <v>0</v>
      </c>
      <c r="H31" s="23" t="str">
        <f t="shared" si="2"/>
        <v>-</v>
      </c>
      <c r="I31" s="22">
        <f>'Sales Report_NP'!$G31</f>
        <v>0</v>
      </c>
      <c r="J31" s="22">
        <f>'Sales Report_NP'!$H31</f>
        <v>0</v>
      </c>
      <c r="K31" s="23" t="str">
        <f t="shared" si="3"/>
        <v>-</v>
      </c>
      <c r="L31" s="22">
        <f>'Sales Report_NP'!$I31</f>
        <v>0</v>
      </c>
      <c r="M31" s="22">
        <f>'Sales Report_NP'!$J31</f>
        <v>0</v>
      </c>
      <c r="N31" s="23" t="str">
        <f t="shared" si="4"/>
        <v>-</v>
      </c>
      <c r="O31" s="22">
        <f t="shared" si="5"/>
        <v>0</v>
      </c>
      <c r="P31" s="22">
        <f t="shared" si="5"/>
        <v>0</v>
      </c>
      <c r="R31" s="22">
        <f>'Sales Report_NP'!$M31</f>
        <v>0</v>
      </c>
      <c r="S31" s="22">
        <f>'Sales Report_NP'!$N31</f>
        <v>0</v>
      </c>
      <c r="T31" s="23" t="str">
        <f t="shared" si="6"/>
        <v>-</v>
      </c>
      <c r="U31" s="22">
        <f>'Sales Report_NP'!$O31</f>
        <v>0</v>
      </c>
      <c r="V31" s="22">
        <f>'Sales Report_NP'!$P31</f>
        <v>0</v>
      </c>
      <c r="W31" s="23" t="str">
        <f t="shared" si="7"/>
        <v>-</v>
      </c>
      <c r="X31" s="22">
        <f>'Sales Report_NP'!$Q31</f>
        <v>0</v>
      </c>
      <c r="Y31" s="22">
        <f>'Sales Report_NP'!$R31</f>
        <v>0</v>
      </c>
      <c r="Z31" s="23" t="str">
        <f t="shared" si="8"/>
        <v>-</v>
      </c>
      <c r="AA31" s="22">
        <f>'Sales Report_NP'!$S31</f>
        <v>0</v>
      </c>
      <c r="AB31" s="22">
        <f>'Sales Report_NP'!$T31</f>
        <v>0</v>
      </c>
      <c r="AC31" s="23" t="str">
        <f t="shared" si="9"/>
        <v>-</v>
      </c>
      <c r="AD31" s="22">
        <f t="shared" si="10"/>
        <v>0</v>
      </c>
      <c r="AE31" s="22">
        <f t="shared" si="10"/>
        <v>0</v>
      </c>
    </row>
    <row r="32" spans="2:31" ht="15" x14ac:dyDescent="0.25">
      <c r="B32" s="21">
        <f t="shared" si="0"/>
        <v>45863</v>
      </c>
      <c r="C32" s="22">
        <f>'Sales Report_NP'!$C32</f>
        <v>0</v>
      </c>
      <c r="D32" s="22">
        <f>'Sales Report_NP'!$D32</f>
        <v>0</v>
      </c>
      <c r="E32" s="23" t="str">
        <f t="shared" si="1"/>
        <v>-</v>
      </c>
      <c r="F32" s="22">
        <f>'Sales Report_NP'!$E32</f>
        <v>0</v>
      </c>
      <c r="G32" s="22">
        <f>'Sales Report_NP'!$F32</f>
        <v>0</v>
      </c>
      <c r="H32" s="23" t="str">
        <f t="shared" si="2"/>
        <v>-</v>
      </c>
      <c r="I32" s="22">
        <f>'Sales Report_NP'!$G32</f>
        <v>0</v>
      </c>
      <c r="J32" s="22">
        <f>'Sales Report_NP'!$H32</f>
        <v>0</v>
      </c>
      <c r="K32" s="23" t="str">
        <f t="shared" si="3"/>
        <v>-</v>
      </c>
      <c r="L32" s="22">
        <f>'Sales Report_NP'!$I32</f>
        <v>0</v>
      </c>
      <c r="M32" s="22">
        <f>'Sales Report_NP'!$J32</f>
        <v>0</v>
      </c>
      <c r="N32" s="23" t="str">
        <f t="shared" si="4"/>
        <v>-</v>
      </c>
      <c r="O32" s="22">
        <f t="shared" si="5"/>
        <v>0</v>
      </c>
      <c r="P32" s="22">
        <f t="shared" si="5"/>
        <v>0</v>
      </c>
      <c r="R32" s="22">
        <f>'Sales Report_NP'!$M32</f>
        <v>0</v>
      </c>
      <c r="S32" s="22">
        <f>'Sales Report_NP'!$N32</f>
        <v>0</v>
      </c>
      <c r="T32" s="23" t="str">
        <f t="shared" si="6"/>
        <v>-</v>
      </c>
      <c r="U32" s="22">
        <f>'Sales Report_NP'!$O32</f>
        <v>0</v>
      </c>
      <c r="V32" s="22">
        <f>'Sales Report_NP'!$P32</f>
        <v>0</v>
      </c>
      <c r="W32" s="23" t="str">
        <f t="shared" si="7"/>
        <v>-</v>
      </c>
      <c r="X32" s="22">
        <f>'Sales Report_NP'!$Q32</f>
        <v>0</v>
      </c>
      <c r="Y32" s="22">
        <f>'Sales Report_NP'!$R32</f>
        <v>0</v>
      </c>
      <c r="Z32" s="23" t="str">
        <f t="shared" si="8"/>
        <v>-</v>
      </c>
      <c r="AA32" s="22">
        <f>'Sales Report_NP'!$S32</f>
        <v>0</v>
      </c>
      <c r="AB32" s="22">
        <f>'Sales Report_NP'!$T32</f>
        <v>0</v>
      </c>
      <c r="AC32" s="23" t="str">
        <f t="shared" si="9"/>
        <v>-</v>
      </c>
      <c r="AD32" s="22">
        <f t="shared" si="10"/>
        <v>0</v>
      </c>
      <c r="AE32" s="22">
        <f t="shared" si="10"/>
        <v>0</v>
      </c>
    </row>
    <row r="33" spans="1:31" ht="15" x14ac:dyDescent="0.25">
      <c r="B33" s="21">
        <f t="shared" si="0"/>
        <v>45864</v>
      </c>
      <c r="C33" s="22">
        <f>'Sales Report_NP'!$C33</f>
        <v>0</v>
      </c>
      <c r="D33" s="22">
        <f>'Sales Report_NP'!$D33</f>
        <v>0</v>
      </c>
      <c r="E33" s="23" t="str">
        <f t="shared" si="1"/>
        <v>-</v>
      </c>
      <c r="F33" s="22">
        <f>'Sales Report_NP'!$E33</f>
        <v>0</v>
      </c>
      <c r="G33" s="22">
        <f>'Sales Report_NP'!$F33</f>
        <v>0</v>
      </c>
      <c r="H33" s="23" t="str">
        <f t="shared" si="2"/>
        <v>-</v>
      </c>
      <c r="I33" s="22">
        <f>'Sales Report_NP'!$G33</f>
        <v>0</v>
      </c>
      <c r="J33" s="22">
        <f>'Sales Report_NP'!$H33</f>
        <v>0</v>
      </c>
      <c r="K33" s="23" t="str">
        <f t="shared" si="3"/>
        <v>-</v>
      </c>
      <c r="L33" s="22">
        <f>'Sales Report_NP'!$I33</f>
        <v>0</v>
      </c>
      <c r="M33" s="22">
        <f>'Sales Report_NP'!$J33</f>
        <v>0</v>
      </c>
      <c r="N33" s="23" t="str">
        <f t="shared" si="4"/>
        <v>-</v>
      </c>
      <c r="O33" s="22">
        <f t="shared" si="5"/>
        <v>0</v>
      </c>
      <c r="P33" s="22">
        <f t="shared" si="5"/>
        <v>0</v>
      </c>
      <c r="R33" s="22">
        <f>'Sales Report_NP'!$M33</f>
        <v>0</v>
      </c>
      <c r="S33" s="22">
        <f>'Sales Report_NP'!$N33</f>
        <v>0</v>
      </c>
      <c r="T33" s="23" t="str">
        <f t="shared" si="6"/>
        <v>-</v>
      </c>
      <c r="U33" s="22">
        <f>'Sales Report_NP'!$O33</f>
        <v>0</v>
      </c>
      <c r="V33" s="22">
        <f>'Sales Report_NP'!$P33</f>
        <v>0</v>
      </c>
      <c r="W33" s="23" t="str">
        <f t="shared" si="7"/>
        <v>-</v>
      </c>
      <c r="X33" s="22">
        <f>'Sales Report_NP'!$Q33</f>
        <v>0</v>
      </c>
      <c r="Y33" s="22">
        <f>'Sales Report_NP'!$R33</f>
        <v>0</v>
      </c>
      <c r="Z33" s="23" t="str">
        <f t="shared" si="8"/>
        <v>-</v>
      </c>
      <c r="AA33" s="22">
        <f>'Sales Report_NP'!$S33</f>
        <v>0</v>
      </c>
      <c r="AB33" s="22">
        <f>'Sales Report_NP'!$T33</f>
        <v>0</v>
      </c>
      <c r="AC33" s="23" t="str">
        <f t="shared" si="9"/>
        <v>-</v>
      </c>
      <c r="AD33" s="22">
        <f t="shared" si="10"/>
        <v>0</v>
      </c>
      <c r="AE33" s="22">
        <f t="shared" si="10"/>
        <v>0</v>
      </c>
    </row>
    <row r="34" spans="1:31" ht="15" x14ac:dyDescent="0.25">
      <c r="B34" s="21">
        <f t="shared" si="0"/>
        <v>45865</v>
      </c>
      <c r="C34" s="22">
        <f>'Sales Report_NP'!$C34</f>
        <v>0</v>
      </c>
      <c r="D34" s="22">
        <f>'Sales Report_NP'!$D34</f>
        <v>0</v>
      </c>
      <c r="E34" s="23" t="str">
        <f t="shared" si="1"/>
        <v>-</v>
      </c>
      <c r="F34" s="22">
        <f>'Sales Report_NP'!$E34</f>
        <v>0</v>
      </c>
      <c r="G34" s="22">
        <f>'Sales Report_NP'!$F34</f>
        <v>0</v>
      </c>
      <c r="H34" s="23" t="str">
        <f t="shared" si="2"/>
        <v>-</v>
      </c>
      <c r="I34" s="22">
        <f>'Sales Report_NP'!$G34</f>
        <v>0</v>
      </c>
      <c r="J34" s="22">
        <f>'Sales Report_NP'!$H34</f>
        <v>0</v>
      </c>
      <c r="K34" s="23" t="str">
        <f t="shared" si="3"/>
        <v>-</v>
      </c>
      <c r="L34" s="22">
        <f>'Sales Report_NP'!$I34</f>
        <v>0</v>
      </c>
      <c r="M34" s="22">
        <f>'Sales Report_NP'!$J34</f>
        <v>0</v>
      </c>
      <c r="N34" s="23" t="str">
        <f t="shared" si="4"/>
        <v>-</v>
      </c>
      <c r="O34" s="22">
        <f t="shared" si="5"/>
        <v>0</v>
      </c>
      <c r="P34" s="22">
        <f t="shared" si="5"/>
        <v>0</v>
      </c>
      <c r="R34" s="22">
        <f>'Sales Report_NP'!$M34</f>
        <v>0</v>
      </c>
      <c r="S34" s="22">
        <f>'Sales Report_NP'!$N34</f>
        <v>0</v>
      </c>
      <c r="T34" s="23" t="str">
        <f t="shared" si="6"/>
        <v>-</v>
      </c>
      <c r="U34" s="22">
        <f>'Sales Report_NP'!$O34</f>
        <v>0</v>
      </c>
      <c r="V34" s="22">
        <f>'Sales Report_NP'!$P34</f>
        <v>0</v>
      </c>
      <c r="W34" s="23" t="str">
        <f t="shared" si="7"/>
        <v>-</v>
      </c>
      <c r="X34" s="22">
        <f>'Sales Report_NP'!$Q34</f>
        <v>0</v>
      </c>
      <c r="Y34" s="22">
        <f>'Sales Report_NP'!$R34</f>
        <v>0</v>
      </c>
      <c r="Z34" s="23" t="str">
        <f t="shared" si="8"/>
        <v>-</v>
      </c>
      <c r="AA34" s="22">
        <f>'Sales Report_NP'!$S34</f>
        <v>0</v>
      </c>
      <c r="AB34" s="22">
        <f>'Sales Report_NP'!$T34</f>
        <v>0</v>
      </c>
      <c r="AC34" s="23" t="str">
        <f t="shared" si="9"/>
        <v>-</v>
      </c>
      <c r="AD34" s="22">
        <f t="shared" si="10"/>
        <v>0</v>
      </c>
      <c r="AE34" s="22">
        <f t="shared" si="10"/>
        <v>0</v>
      </c>
    </row>
    <row r="35" spans="1:31" ht="15" x14ac:dyDescent="0.25">
      <c r="B35" s="21">
        <f t="shared" si="0"/>
        <v>45866</v>
      </c>
      <c r="C35" s="22">
        <f>'Sales Report_NP'!$C35</f>
        <v>0</v>
      </c>
      <c r="D35" s="22">
        <f>'Sales Report_NP'!$D35</f>
        <v>0</v>
      </c>
      <c r="E35" s="23" t="str">
        <f t="shared" si="1"/>
        <v>-</v>
      </c>
      <c r="F35" s="22">
        <f>'Sales Report_NP'!$E35</f>
        <v>0</v>
      </c>
      <c r="G35" s="22">
        <f>'Sales Report_NP'!$F35</f>
        <v>0</v>
      </c>
      <c r="H35" s="23" t="str">
        <f t="shared" si="2"/>
        <v>-</v>
      </c>
      <c r="I35" s="22">
        <f>'Sales Report_NP'!$G35</f>
        <v>0</v>
      </c>
      <c r="J35" s="22">
        <f>'Sales Report_NP'!$H35</f>
        <v>0</v>
      </c>
      <c r="K35" s="23" t="str">
        <f t="shared" si="3"/>
        <v>-</v>
      </c>
      <c r="L35" s="22">
        <f>'Sales Report_NP'!$I35</f>
        <v>0</v>
      </c>
      <c r="M35" s="22">
        <f>'Sales Report_NP'!$J35</f>
        <v>0</v>
      </c>
      <c r="N35" s="23" t="str">
        <f t="shared" si="4"/>
        <v>-</v>
      </c>
      <c r="O35" s="22">
        <f t="shared" si="5"/>
        <v>0</v>
      </c>
      <c r="P35" s="22">
        <f t="shared" si="5"/>
        <v>0</v>
      </c>
      <c r="R35" s="22">
        <f>'Sales Report_NP'!$M35</f>
        <v>0</v>
      </c>
      <c r="S35" s="22">
        <f>'Sales Report_NP'!$N35</f>
        <v>0</v>
      </c>
      <c r="T35" s="23" t="str">
        <f t="shared" si="6"/>
        <v>-</v>
      </c>
      <c r="U35" s="22">
        <f>'Sales Report_NP'!$O35</f>
        <v>0</v>
      </c>
      <c r="V35" s="22">
        <f>'Sales Report_NP'!$P35</f>
        <v>0</v>
      </c>
      <c r="W35" s="23" t="str">
        <f t="shared" si="7"/>
        <v>-</v>
      </c>
      <c r="X35" s="22">
        <f>'Sales Report_NP'!$Q35</f>
        <v>0</v>
      </c>
      <c r="Y35" s="22">
        <f>'Sales Report_NP'!$R35</f>
        <v>0</v>
      </c>
      <c r="Z35" s="23" t="str">
        <f t="shared" si="8"/>
        <v>-</v>
      </c>
      <c r="AA35" s="22">
        <f>'Sales Report_NP'!$S35</f>
        <v>0</v>
      </c>
      <c r="AB35" s="22">
        <f>'Sales Report_NP'!$T35</f>
        <v>0</v>
      </c>
      <c r="AC35" s="23" t="str">
        <f t="shared" si="9"/>
        <v>-</v>
      </c>
      <c r="AD35" s="22">
        <f t="shared" si="10"/>
        <v>0</v>
      </c>
      <c r="AE35" s="22">
        <f t="shared" si="10"/>
        <v>0</v>
      </c>
    </row>
    <row r="36" spans="1:31" ht="15" x14ac:dyDescent="0.25">
      <c r="B36" s="21">
        <f t="shared" si="0"/>
        <v>45867</v>
      </c>
      <c r="C36" s="22">
        <f>'Sales Report_NP'!$C36</f>
        <v>0</v>
      </c>
      <c r="D36" s="22">
        <f>'Sales Report_NP'!$D36</f>
        <v>0</v>
      </c>
      <c r="E36" s="23" t="str">
        <f t="shared" si="1"/>
        <v>-</v>
      </c>
      <c r="F36" s="22">
        <f>'Sales Report_NP'!$E36</f>
        <v>0</v>
      </c>
      <c r="G36" s="22">
        <f>'Sales Report_NP'!$F36</f>
        <v>0</v>
      </c>
      <c r="H36" s="23" t="str">
        <f t="shared" si="2"/>
        <v>-</v>
      </c>
      <c r="I36" s="22">
        <f>'Sales Report_NP'!$G36</f>
        <v>0</v>
      </c>
      <c r="J36" s="22">
        <f>'Sales Report_NP'!$H36</f>
        <v>0</v>
      </c>
      <c r="K36" s="23" t="str">
        <f t="shared" si="3"/>
        <v>-</v>
      </c>
      <c r="L36" s="22">
        <f>'Sales Report_NP'!$I36</f>
        <v>0</v>
      </c>
      <c r="M36" s="22">
        <f>'Sales Report_NP'!$J36</f>
        <v>0</v>
      </c>
      <c r="N36" s="23" t="str">
        <f t="shared" si="4"/>
        <v>-</v>
      </c>
      <c r="O36" s="22">
        <f t="shared" si="5"/>
        <v>0</v>
      </c>
      <c r="P36" s="22">
        <f t="shared" si="5"/>
        <v>0</v>
      </c>
      <c r="R36" s="22">
        <f>'Sales Report_NP'!$M36</f>
        <v>0</v>
      </c>
      <c r="S36" s="22">
        <f>'Sales Report_NP'!$N36</f>
        <v>0</v>
      </c>
      <c r="T36" s="23" t="str">
        <f t="shared" si="6"/>
        <v>-</v>
      </c>
      <c r="U36" s="22">
        <f>'Sales Report_NP'!$O36</f>
        <v>0</v>
      </c>
      <c r="V36" s="22">
        <f>'Sales Report_NP'!$P36</f>
        <v>0</v>
      </c>
      <c r="W36" s="23" t="str">
        <f t="shared" si="7"/>
        <v>-</v>
      </c>
      <c r="X36" s="22">
        <f>'Sales Report_NP'!$Q36</f>
        <v>0</v>
      </c>
      <c r="Y36" s="22">
        <f>'Sales Report_NP'!$R36</f>
        <v>0</v>
      </c>
      <c r="Z36" s="23" t="str">
        <f t="shared" si="8"/>
        <v>-</v>
      </c>
      <c r="AA36" s="22">
        <f>'Sales Report_NP'!$S36</f>
        <v>0</v>
      </c>
      <c r="AB36" s="22">
        <f>'Sales Report_NP'!$T36</f>
        <v>0</v>
      </c>
      <c r="AC36" s="23" t="str">
        <f t="shared" si="9"/>
        <v>-</v>
      </c>
      <c r="AD36" s="22">
        <f t="shared" si="10"/>
        <v>0</v>
      </c>
      <c r="AE36" s="22">
        <f t="shared" si="10"/>
        <v>0</v>
      </c>
    </row>
    <row r="37" spans="1:31" ht="15" x14ac:dyDescent="0.25">
      <c r="B37" s="21">
        <f t="shared" si="0"/>
        <v>45868</v>
      </c>
      <c r="C37" s="22">
        <f>'Sales Report_NP'!$C37</f>
        <v>0</v>
      </c>
      <c r="D37" s="22">
        <f>'Sales Report_NP'!$D37</f>
        <v>0</v>
      </c>
      <c r="E37" s="23" t="str">
        <f t="shared" si="1"/>
        <v>-</v>
      </c>
      <c r="F37" s="22">
        <f>'Sales Report_NP'!$E37</f>
        <v>0</v>
      </c>
      <c r="G37" s="22">
        <f>'Sales Report_NP'!$F37</f>
        <v>0</v>
      </c>
      <c r="H37" s="23" t="str">
        <f t="shared" si="2"/>
        <v>-</v>
      </c>
      <c r="I37" s="22">
        <f>'Sales Report_NP'!$G37</f>
        <v>0</v>
      </c>
      <c r="J37" s="22">
        <f>'Sales Report_NP'!$H37</f>
        <v>0</v>
      </c>
      <c r="K37" s="23" t="str">
        <f t="shared" si="3"/>
        <v>-</v>
      </c>
      <c r="L37" s="22">
        <f>'Sales Report_NP'!$I37</f>
        <v>0</v>
      </c>
      <c r="M37" s="22">
        <f>'Sales Report_NP'!$J37</f>
        <v>0</v>
      </c>
      <c r="N37" s="23" t="str">
        <f t="shared" si="4"/>
        <v>-</v>
      </c>
      <c r="O37" s="22">
        <f t="shared" si="5"/>
        <v>0</v>
      </c>
      <c r="P37" s="22">
        <f t="shared" si="5"/>
        <v>0</v>
      </c>
      <c r="R37" s="22">
        <f>'Sales Report_NP'!$M37</f>
        <v>0</v>
      </c>
      <c r="S37" s="22">
        <f>'Sales Report_NP'!$N37</f>
        <v>0</v>
      </c>
      <c r="T37" s="23" t="str">
        <f t="shared" si="6"/>
        <v>-</v>
      </c>
      <c r="U37" s="22">
        <f>'Sales Report_NP'!$O37</f>
        <v>0</v>
      </c>
      <c r="V37" s="22">
        <f>'Sales Report_NP'!$P37</f>
        <v>0</v>
      </c>
      <c r="W37" s="23" t="str">
        <f t="shared" si="7"/>
        <v>-</v>
      </c>
      <c r="X37" s="22">
        <f>'Sales Report_NP'!$Q37</f>
        <v>0</v>
      </c>
      <c r="Y37" s="22">
        <f>'Sales Report_NP'!$R37</f>
        <v>0</v>
      </c>
      <c r="Z37" s="23" t="str">
        <f t="shared" si="8"/>
        <v>-</v>
      </c>
      <c r="AA37" s="22">
        <f>'Sales Report_NP'!$S37</f>
        <v>0</v>
      </c>
      <c r="AB37" s="22">
        <f>'Sales Report_NP'!$T37</f>
        <v>0</v>
      </c>
      <c r="AC37" s="23" t="str">
        <f t="shared" si="9"/>
        <v>-</v>
      </c>
      <c r="AD37" s="22">
        <f t="shared" si="10"/>
        <v>0</v>
      </c>
      <c r="AE37" s="22">
        <f t="shared" si="10"/>
        <v>0</v>
      </c>
    </row>
    <row r="38" spans="1:31" ht="15" x14ac:dyDescent="0.25">
      <c r="B38" s="21">
        <f t="shared" si="0"/>
        <v>45869</v>
      </c>
      <c r="C38" s="22">
        <f>'Sales Report_NP'!$C38</f>
        <v>0</v>
      </c>
      <c r="D38" s="22">
        <f>'Sales Report_NP'!$D38</f>
        <v>0</v>
      </c>
      <c r="E38" s="23" t="str">
        <f t="shared" si="1"/>
        <v>-</v>
      </c>
      <c r="F38" s="22">
        <f>'Sales Report_NP'!$E38</f>
        <v>0</v>
      </c>
      <c r="G38" s="22">
        <f>'Sales Report_NP'!$F38</f>
        <v>0</v>
      </c>
      <c r="H38" s="23" t="str">
        <f t="shared" si="2"/>
        <v>-</v>
      </c>
      <c r="I38" s="22">
        <f>'Sales Report_NP'!$G38</f>
        <v>0</v>
      </c>
      <c r="J38" s="22">
        <f>'Sales Report_NP'!$H38</f>
        <v>0</v>
      </c>
      <c r="K38" s="23" t="str">
        <f t="shared" si="3"/>
        <v>-</v>
      </c>
      <c r="L38" s="22">
        <f>'Sales Report_NP'!$I38</f>
        <v>0</v>
      </c>
      <c r="M38" s="22">
        <f>'Sales Report_NP'!$J38</f>
        <v>0</v>
      </c>
      <c r="N38" s="23" t="str">
        <f t="shared" si="4"/>
        <v>-</v>
      </c>
      <c r="O38" s="22">
        <f t="shared" si="5"/>
        <v>0</v>
      </c>
      <c r="P38" s="22">
        <f t="shared" si="5"/>
        <v>0</v>
      </c>
      <c r="R38" s="22">
        <f>'Sales Report_NP'!$M38</f>
        <v>0</v>
      </c>
      <c r="S38" s="22">
        <f>'Sales Report_NP'!$N38</f>
        <v>0</v>
      </c>
      <c r="T38" s="23" t="str">
        <f t="shared" si="6"/>
        <v>-</v>
      </c>
      <c r="U38" s="22">
        <f>'Sales Report_NP'!$O38</f>
        <v>0</v>
      </c>
      <c r="V38" s="22">
        <f>'Sales Report_NP'!$P38</f>
        <v>0</v>
      </c>
      <c r="W38" s="23" t="str">
        <f t="shared" si="7"/>
        <v>-</v>
      </c>
      <c r="X38" s="22">
        <f>'Sales Report_NP'!$Q38</f>
        <v>0</v>
      </c>
      <c r="Y38" s="22">
        <f>'Sales Report_NP'!$R38</f>
        <v>0</v>
      </c>
      <c r="Z38" s="23" t="str">
        <f t="shared" si="8"/>
        <v>-</v>
      </c>
      <c r="AA38" s="22">
        <f>'Sales Report_NP'!$S38</f>
        <v>0</v>
      </c>
      <c r="AB38" s="22">
        <f>'Sales Report_NP'!$T38</f>
        <v>0</v>
      </c>
      <c r="AC38" s="23" t="str">
        <f t="shared" si="9"/>
        <v>-</v>
      </c>
      <c r="AD38" s="22">
        <f t="shared" si="10"/>
        <v>0</v>
      </c>
      <c r="AE38" s="22">
        <f t="shared" si="10"/>
        <v>0</v>
      </c>
    </row>
    <row r="39" spans="1:31" s="14" customFormat="1" x14ac:dyDescent="0.25">
      <c r="B39" s="24" t="s">
        <v>14</v>
      </c>
      <c r="C39" s="26">
        <f>SUM(C8:C38)</f>
        <v>0</v>
      </c>
      <c r="D39" s="26">
        <f>SUM(D8:D38)</f>
        <v>0</v>
      </c>
      <c r="E39" s="26" t="e">
        <f>D39/C39</f>
        <v>#DIV/0!</v>
      </c>
      <c r="F39" s="26">
        <f>SUM(F8:F38)</f>
        <v>0</v>
      </c>
      <c r="G39" s="26">
        <f>SUM(G8:G38)</f>
        <v>0</v>
      </c>
      <c r="H39" s="26" t="e">
        <f>G39/F39</f>
        <v>#DIV/0!</v>
      </c>
      <c r="I39" s="26">
        <f>SUM(I8:I38)</f>
        <v>0</v>
      </c>
      <c r="J39" s="26">
        <f>SUM(J8:J38)</f>
        <v>0</v>
      </c>
      <c r="K39" s="26" t="e">
        <f>J39/I39</f>
        <v>#DIV/0!</v>
      </c>
      <c r="L39" s="26">
        <f>SUM(L8:L38)</f>
        <v>0</v>
      </c>
      <c r="M39" s="26">
        <f>SUM(M8:M38)</f>
        <v>0</v>
      </c>
      <c r="N39" s="26" t="e">
        <f>M39/L39</f>
        <v>#DIV/0!</v>
      </c>
      <c r="O39" s="26">
        <f>SUM(O8:O38)</f>
        <v>0</v>
      </c>
      <c r="P39" s="26">
        <f>SUM(P8:P38)</f>
        <v>0</v>
      </c>
      <c r="Q39" s="6"/>
      <c r="R39" s="26">
        <f>SUM(R8:R38)</f>
        <v>0</v>
      </c>
      <c r="S39" s="26">
        <f>SUM(S8:S38)</f>
        <v>0</v>
      </c>
      <c r="T39" s="26" t="e">
        <f>S39/R39</f>
        <v>#DIV/0!</v>
      </c>
      <c r="U39" s="26">
        <f>SUM(U8:U38)</f>
        <v>0</v>
      </c>
      <c r="V39" s="26">
        <f>SUM(V8:V38)</f>
        <v>0</v>
      </c>
      <c r="W39" s="26" t="e">
        <f>V39/U39</f>
        <v>#DIV/0!</v>
      </c>
      <c r="X39" s="26">
        <f>SUM(X8:X38)</f>
        <v>0</v>
      </c>
      <c r="Y39" s="26">
        <f>SUM(Y8:Y38)</f>
        <v>0</v>
      </c>
      <c r="Z39" s="28" t="e">
        <f>Y39/X39</f>
        <v>#DIV/0!</v>
      </c>
      <c r="AA39" s="26">
        <f>SUM(AA8:AA38)</f>
        <v>0</v>
      </c>
      <c r="AB39" s="26">
        <f>SUM(AB8:AB38)</f>
        <v>0</v>
      </c>
      <c r="AC39" s="28" t="e">
        <f>AB39/AA39</f>
        <v>#DIV/0!</v>
      </c>
      <c r="AD39" s="26">
        <f>SUM(AD8:AD38)</f>
        <v>0</v>
      </c>
      <c r="AE39" s="26">
        <f>SUM(AE8:AE38)</f>
        <v>0</v>
      </c>
    </row>
    <row r="40" spans="1:31" s="14" customFormat="1" x14ac:dyDescent="0.25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</row>
    <row r="41" spans="1:31" s="14" customFormat="1" x14ac:dyDescent="0.25">
      <c r="B41" s="27">
        <f>DATE(YEAR(B4),MONTH(B4),10)</f>
        <v>45848</v>
      </c>
      <c r="C41" s="10">
        <f>SUM(C$8:C$17)</f>
        <v>0</v>
      </c>
      <c r="D41" s="10">
        <f>SUM(D$8:D$17)</f>
        <v>0</v>
      </c>
      <c r="E41" s="10" t="e">
        <f>D41/C41</f>
        <v>#DIV/0!</v>
      </c>
      <c r="F41" s="10">
        <f>SUM(F$8:F$17)</f>
        <v>0</v>
      </c>
      <c r="G41" s="10">
        <f>SUM(G$8:G$17)</f>
        <v>0</v>
      </c>
      <c r="H41" s="10" t="e">
        <f>G41/F41</f>
        <v>#DIV/0!</v>
      </c>
      <c r="I41" s="10">
        <f>SUM(I$8:I$17)</f>
        <v>0</v>
      </c>
      <c r="J41" s="10">
        <f>SUM(J$8:J$17)</f>
        <v>0</v>
      </c>
      <c r="K41" s="10" t="e">
        <f>J41/I41</f>
        <v>#DIV/0!</v>
      </c>
      <c r="L41" s="10">
        <f>SUM(L$8:L$17)</f>
        <v>0</v>
      </c>
      <c r="M41" s="10">
        <f>SUM(M$8:M$17)</f>
        <v>0</v>
      </c>
      <c r="N41" s="10" t="e">
        <f>M41/L41</f>
        <v>#DIV/0!</v>
      </c>
      <c r="O41" s="10">
        <f>SUM(O$8:O$17)</f>
        <v>0</v>
      </c>
      <c r="P41" s="10">
        <f>SUM(P$8:P$17)</f>
        <v>0</v>
      </c>
      <c r="R41" s="10">
        <f>SUM(R$8:R$17)</f>
        <v>0</v>
      </c>
      <c r="S41" s="10">
        <f>SUM(S$8:S$17)</f>
        <v>0</v>
      </c>
      <c r="T41" s="10" t="e">
        <f>S41/R41</f>
        <v>#DIV/0!</v>
      </c>
      <c r="U41" s="10">
        <f>SUM(U$8:U$17)</f>
        <v>0</v>
      </c>
      <c r="V41" s="10">
        <f>SUM(V$8:V$17)</f>
        <v>0</v>
      </c>
      <c r="W41" s="10" t="e">
        <f>V41/U41</f>
        <v>#DIV/0!</v>
      </c>
      <c r="X41" s="10">
        <f>SUM(X$8:X$17)</f>
        <v>0</v>
      </c>
      <c r="Y41" s="10">
        <f>SUM(Y$8:Y$17)</f>
        <v>0</v>
      </c>
      <c r="Z41" s="10" t="e">
        <f>Y41/X41</f>
        <v>#DIV/0!</v>
      </c>
      <c r="AA41" s="10">
        <f>SUM(AA$8:AA$17)</f>
        <v>0</v>
      </c>
      <c r="AB41" s="10">
        <f>SUM(AB$8:AB$17)</f>
        <v>0</v>
      </c>
      <c r="AC41" s="10" t="e">
        <f>AB41/AA41</f>
        <v>#DIV/0!</v>
      </c>
      <c r="AD41" s="10">
        <f>SUM(AD$8:AD$17)</f>
        <v>0</v>
      </c>
      <c r="AE41" s="10">
        <f>SUM(AE$8:AE$17)</f>
        <v>0</v>
      </c>
    </row>
    <row r="42" spans="1:31" s="14" customFormat="1" x14ac:dyDescent="0.25">
      <c r="B42" s="27">
        <f>DATE(YEAR(B4),MONTH(B4),20)</f>
        <v>45858</v>
      </c>
      <c r="C42" s="10">
        <f>SUM(C$18:C$27)</f>
        <v>0</v>
      </c>
      <c r="D42" s="10">
        <f>SUM(D$18:D$27)</f>
        <v>0</v>
      </c>
      <c r="E42" s="10" t="e">
        <f t="shared" ref="E42:E43" si="11">D42/C42</f>
        <v>#DIV/0!</v>
      </c>
      <c r="F42" s="10">
        <f>SUM(F$18:F$27)</f>
        <v>0</v>
      </c>
      <c r="G42" s="10">
        <f>SUM(G$18:G$27)</f>
        <v>0</v>
      </c>
      <c r="H42" s="10" t="e">
        <f t="shared" ref="H42:H43" si="12">G42/F42</f>
        <v>#DIV/0!</v>
      </c>
      <c r="I42" s="10">
        <f>SUM(I$18:I$27)</f>
        <v>0</v>
      </c>
      <c r="J42" s="10">
        <f>SUM(J$18:J$27)</f>
        <v>0</v>
      </c>
      <c r="K42" s="10" t="e">
        <f t="shared" ref="K42:K43" si="13">J42/I42</f>
        <v>#DIV/0!</v>
      </c>
      <c r="L42" s="10">
        <f>SUM(L$18:L$27)</f>
        <v>0</v>
      </c>
      <c r="M42" s="10">
        <f>SUM(M$18:M$27)</f>
        <v>0</v>
      </c>
      <c r="N42" s="10" t="e">
        <f t="shared" ref="N42:N43" si="14">M42/L42</f>
        <v>#DIV/0!</v>
      </c>
      <c r="O42" s="10">
        <f>SUM(O$18:O$27)</f>
        <v>0</v>
      </c>
      <c r="P42" s="10">
        <f>SUM(P$18:P$27)</f>
        <v>0</v>
      </c>
      <c r="R42" s="10">
        <f>SUM(R$18:R$27)</f>
        <v>0</v>
      </c>
      <c r="S42" s="10">
        <f>SUM(S$18:S$27)</f>
        <v>0</v>
      </c>
      <c r="T42" s="10" t="e">
        <f t="shared" ref="T42:T43" si="15">S42/R42</f>
        <v>#DIV/0!</v>
      </c>
      <c r="U42" s="10">
        <f>SUM(U$18:U$27)</f>
        <v>0</v>
      </c>
      <c r="V42" s="10">
        <f>SUM(V$18:V$27)</f>
        <v>0</v>
      </c>
      <c r="W42" s="10" t="e">
        <f t="shared" ref="W42:W43" si="16">V42/U42</f>
        <v>#DIV/0!</v>
      </c>
      <c r="X42" s="10">
        <f>SUM(X$18:X$27)</f>
        <v>0</v>
      </c>
      <c r="Y42" s="10">
        <f>SUM(Y$18:Y$27)</f>
        <v>0</v>
      </c>
      <c r="Z42" s="10" t="e">
        <f t="shared" ref="Z42:Z43" si="17">Y42/X42</f>
        <v>#DIV/0!</v>
      </c>
      <c r="AA42" s="10">
        <f>SUM(AA$18:AA$27)</f>
        <v>0</v>
      </c>
      <c r="AB42" s="10">
        <f>SUM(AB$18:AB$27)</f>
        <v>0</v>
      </c>
      <c r="AC42" s="10" t="e">
        <f t="shared" ref="AC42:AC43" si="18">AB42/AA42</f>
        <v>#DIV/0!</v>
      </c>
      <c r="AD42" s="10">
        <f>SUM(AD$18:AD$27)</f>
        <v>0</v>
      </c>
      <c r="AE42" s="10">
        <f>SUM(AE$18:AE$27)</f>
        <v>0</v>
      </c>
    </row>
    <row r="43" spans="1:31" s="14" customFormat="1" x14ac:dyDescent="0.25">
      <c r="B43" s="27">
        <f>EOMONTH(B4,0)</f>
        <v>45869</v>
      </c>
      <c r="C43" s="10">
        <f>SUM(C$28:C$38)</f>
        <v>0</v>
      </c>
      <c r="D43" s="10">
        <f>SUM(D$28:D$38)</f>
        <v>0</v>
      </c>
      <c r="E43" s="10" t="e">
        <f t="shared" si="11"/>
        <v>#DIV/0!</v>
      </c>
      <c r="F43" s="10">
        <f>SUM(F$28:F$38)</f>
        <v>0</v>
      </c>
      <c r="G43" s="10">
        <f>SUM(G$28:G$38)</f>
        <v>0</v>
      </c>
      <c r="H43" s="10" t="e">
        <f t="shared" si="12"/>
        <v>#DIV/0!</v>
      </c>
      <c r="I43" s="10">
        <f>SUM(I$28:I$38)</f>
        <v>0</v>
      </c>
      <c r="J43" s="10">
        <f>SUM(J$28:J$38)</f>
        <v>0</v>
      </c>
      <c r="K43" s="10" t="e">
        <f t="shared" si="13"/>
        <v>#DIV/0!</v>
      </c>
      <c r="L43" s="10">
        <f>SUM(L$28:L$38)</f>
        <v>0</v>
      </c>
      <c r="M43" s="10">
        <f>SUM(M$28:M$38)</f>
        <v>0</v>
      </c>
      <c r="N43" s="10" t="e">
        <f t="shared" si="14"/>
        <v>#DIV/0!</v>
      </c>
      <c r="O43" s="10">
        <f>SUM(O$28:O$38)</f>
        <v>0</v>
      </c>
      <c r="P43" s="10">
        <f>SUM(P$28:P$38)</f>
        <v>0</v>
      </c>
      <c r="R43" s="10">
        <f>SUM(R$28:R$38)</f>
        <v>0</v>
      </c>
      <c r="S43" s="10">
        <f>SUM(S$28:S$38)</f>
        <v>0</v>
      </c>
      <c r="T43" s="10" t="e">
        <f t="shared" si="15"/>
        <v>#DIV/0!</v>
      </c>
      <c r="U43" s="10">
        <f>SUM(U$28:U$38)</f>
        <v>0</v>
      </c>
      <c r="V43" s="10">
        <f>SUM(V$28:V$38)</f>
        <v>0</v>
      </c>
      <c r="W43" s="10" t="e">
        <f t="shared" si="16"/>
        <v>#DIV/0!</v>
      </c>
      <c r="X43" s="10">
        <f>SUM(X$28:X$38)</f>
        <v>0</v>
      </c>
      <c r="Y43" s="10">
        <f>SUM(Y$28:Y$38)</f>
        <v>0</v>
      </c>
      <c r="Z43" s="10" t="e">
        <f t="shared" si="17"/>
        <v>#DIV/0!</v>
      </c>
      <c r="AA43" s="10">
        <f>SUM(AA$28:AA$38)</f>
        <v>0</v>
      </c>
      <c r="AB43" s="10">
        <f>SUM(AB$28:AB$38)</f>
        <v>0</v>
      </c>
      <c r="AC43" s="10" t="e">
        <f t="shared" si="18"/>
        <v>#DIV/0!</v>
      </c>
      <c r="AD43" s="10">
        <f>SUM(AD$28:AD$38)</f>
        <v>0</v>
      </c>
      <c r="AE43" s="10">
        <f>SUM(AE$28:AE$38)</f>
        <v>0</v>
      </c>
    </row>
    <row r="44" spans="1:31" s="14" customFormat="1" x14ac:dyDescent="0.25">
      <c r="A44" s="14" t="s">
        <v>0</v>
      </c>
      <c r="B44" s="24" t="s">
        <v>14</v>
      </c>
      <c r="C44" s="26">
        <f>SUM(C41:C43)</f>
        <v>0</v>
      </c>
      <c r="D44" s="26">
        <f>SUM(D41:D43)</f>
        <v>0</v>
      </c>
      <c r="E44" s="26"/>
      <c r="F44" s="26">
        <f>SUM(F41:F43)</f>
        <v>0</v>
      </c>
      <c r="G44" s="26">
        <f>SUM(G41:G43)</f>
        <v>0</v>
      </c>
      <c r="H44" s="26"/>
      <c r="I44" s="26">
        <f>SUM(I41:I43)</f>
        <v>0</v>
      </c>
      <c r="J44" s="26">
        <f>SUM(J41:J43)</f>
        <v>0</v>
      </c>
      <c r="K44" s="26"/>
      <c r="L44" s="26">
        <f>SUM(L41:L43)</f>
        <v>0</v>
      </c>
      <c r="M44" s="26">
        <f>SUM(M41:M43)</f>
        <v>0</v>
      </c>
      <c r="N44" s="26"/>
      <c r="O44" s="26">
        <f>SUM(O41:O43)</f>
        <v>0</v>
      </c>
      <c r="P44" s="26">
        <f>SUM(P41:P43)</f>
        <v>0</v>
      </c>
      <c r="R44" s="26">
        <f>SUM(R41:R43)</f>
        <v>0</v>
      </c>
      <c r="S44" s="26">
        <f>SUM(S41:S43)</f>
        <v>0</v>
      </c>
      <c r="T44" s="26"/>
      <c r="U44" s="26">
        <f>SUM(U41:U43)</f>
        <v>0</v>
      </c>
      <c r="V44" s="26">
        <f>SUM(V41:V43)</f>
        <v>0</v>
      </c>
      <c r="W44" s="26"/>
      <c r="X44" s="26">
        <f>SUM(X41:X43)</f>
        <v>0</v>
      </c>
      <c r="Y44" s="26">
        <f>SUM(Y41:Y43)</f>
        <v>0</v>
      </c>
      <c r="Z44" s="26"/>
      <c r="AA44" s="26">
        <f>SUM(AA41:AA43)</f>
        <v>0</v>
      </c>
      <c r="AB44" s="26">
        <f>SUM(AB41:AB43)</f>
        <v>0</v>
      </c>
      <c r="AC44" s="26"/>
      <c r="AD44" s="26">
        <f>SUM(AD41:AD43)</f>
        <v>0</v>
      </c>
      <c r="AE44" s="26">
        <f>SUM(AE41:AE43)</f>
        <v>0</v>
      </c>
    </row>
    <row r="45" spans="1:31" s="14" customFormat="1" x14ac:dyDescent="0.25"/>
    <row r="46" spans="1:31" x14ac:dyDescent="0.25">
      <c r="C46" s="7"/>
      <c r="E46" s="7"/>
      <c r="G46" s="7"/>
      <c r="I46" s="7"/>
    </row>
    <row r="47" spans="1:31" ht="15" x14ac:dyDescent="0.25">
      <c r="A47" s="16" t="s">
        <v>15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</row>
    <row r="48" spans="1:31" ht="15" x14ac:dyDescent="0.25">
      <c r="A48" s="12" t="s">
        <v>16</v>
      </c>
      <c r="B48" s="17"/>
      <c r="C48" s="17"/>
      <c r="D48" s="17"/>
      <c r="E48" s="17"/>
      <c r="F48" s="17"/>
      <c r="G48" s="17"/>
      <c r="H48" s="17"/>
      <c r="I48" s="17"/>
      <c r="J48" s="17"/>
      <c r="K48" s="17"/>
    </row>
    <row r="49" spans="2:11" ht="15" x14ac:dyDescent="0.25">
      <c r="B49" s="17"/>
      <c r="C49" s="17"/>
      <c r="D49" s="17"/>
      <c r="E49" s="17"/>
      <c r="F49" s="17"/>
      <c r="G49" s="17"/>
      <c r="H49" s="17"/>
      <c r="I49" s="17"/>
      <c r="J49" s="17"/>
      <c r="K49" s="17"/>
    </row>
    <row r="50" spans="2:11" ht="15" x14ac:dyDescent="0.25">
      <c r="B50" s="17"/>
      <c r="C50" s="17"/>
      <c r="D50" s="17"/>
      <c r="E50" s="17"/>
      <c r="F50" s="17"/>
      <c r="G50" s="17"/>
      <c r="H50" s="17"/>
      <c r="I50" s="17"/>
      <c r="J50" s="17"/>
      <c r="K50" s="17"/>
    </row>
    <row r="51" spans="2:11" ht="15" x14ac:dyDescent="0.25">
      <c r="B51" s="17"/>
      <c r="C51" s="17"/>
      <c r="D51" s="17"/>
      <c r="E51" s="17"/>
      <c r="F51" s="17"/>
      <c r="G51" s="17"/>
      <c r="H51" s="17"/>
      <c r="I51" s="17"/>
      <c r="J51" s="17"/>
      <c r="K51" s="17"/>
    </row>
    <row r="52" spans="2:11" ht="15" x14ac:dyDescent="0.25">
      <c r="B52" s="17"/>
      <c r="C52" s="17"/>
      <c r="D52" s="17"/>
      <c r="E52" s="17"/>
      <c r="F52" s="17"/>
      <c r="G52" s="17"/>
      <c r="H52" s="17"/>
      <c r="I52" s="17"/>
      <c r="J52" s="17"/>
      <c r="K52" s="17"/>
    </row>
    <row r="53" spans="2:11" ht="15" x14ac:dyDescent="0.25">
      <c r="B53" s="17"/>
      <c r="C53" s="17"/>
      <c r="D53" s="17"/>
      <c r="E53" s="17"/>
      <c r="F53" s="17"/>
      <c r="G53" s="17"/>
      <c r="H53" s="17"/>
      <c r="I53" s="17"/>
      <c r="J53" s="17"/>
      <c r="K53" s="17"/>
    </row>
    <row r="54" spans="2:11" ht="15" x14ac:dyDescent="0.25">
      <c r="B54" s="17"/>
      <c r="C54" s="17"/>
      <c r="D54" s="17"/>
      <c r="E54" s="17"/>
      <c r="F54" s="17"/>
      <c r="G54" s="17"/>
      <c r="H54" s="17"/>
      <c r="I54" s="17"/>
      <c r="J54" s="17"/>
      <c r="K54" s="17"/>
    </row>
    <row r="55" spans="2:11" ht="15" x14ac:dyDescent="0.25">
      <c r="B55" s="17"/>
      <c r="C55" s="17"/>
      <c r="D55" s="17"/>
      <c r="E55" s="17"/>
      <c r="F55" s="17"/>
      <c r="G55" s="17"/>
      <c r="H55" s="17"/>
      <c r="I55" s="17"/>
      <c r="J55" s="17"/>
      <c r="K55" s="17"/>
    </row>
    <row r="56" spans="2:11" ht="15" x14ac:dyDescent="0.25">
      <c r="B56" s="17"/>
      <c r="C56" s="17"/>
      <c r="D56" s="17"/>
      <c r="E56" s="17"/>
      <c r="F56" s="17"/>
      <c r="G56" s="17"/>
      <c r="H56" s="17"/>
      <c r="I56" s="17"/>
      <c r="J56" s="17"/>
      <c r="K56" s="17"/>
    </row>
    <row r="57" spans="2:11" ht="15" x14ac:dyDescent="0.25">
      <c r="B57" s="17"/>
      <c r="C57" s="17"/>
      <c r="D57" s="17"/>
      <c r="E57" s="17"/>
      <c r="F57" s="17"/>
      <c r="G57" s="17"/>
      <c r="H57" s="17"/>
      <c r="I57" s="17"/>
      <c r="J57" s="17"/>
      <c r="K57" s="17"/>
    </row>
    <row r="58" spans="2:11" ht="15" x14ac:dyDescent="0.25">
      <c r="B58" s="17"/>
      <c r="C58" s="17"/>
      <c r="D58" s="17"/>
      <c r="E58" s="17"/>
      <c r="F58" s="17"/>
      <c r="G58" s="17"/>
      <c r="H58" s="17"/>
      <c r="I58" s="17"/>
      <c r="J58" s="17"/>
      <c r="K58" s="17"/>
    </row>
    <row r="59" spans="2:11" ht="15" x14ac:dyDescent="0.25">
      <c r="B59" s="17"/>
      <c r="C59" s="17"/>
      <c r="D59" s="17"/>
      <c r="E59" s="17"/>
      <c r="F59" s="17"/>
      <c r="G59" s="17"/>
      <c r="H59" s="17"/>
      <c r="I59" s="17"/>
      <c r="J59" s="17"/>
      <c r="K59" s="17"/>
    </row>
    <row r="60" spans="2:11" ht="15" x14ac:dyDescent="0.25">
      <c r="B60" s="17"/>
      <c r="C60" s="17"/>
      <c r="D60" s="17"/>
      <c r="E60" s="17"/>
      <c r="F60" s="17"/>
      <c r="G60" s="17"/>
      <c r="H60" s="17"/>
      <c r="I60" s="17"/>
      <c r="J60" s="17"/>
      <c r="K60" s="17"/>
    </row>
    <row r="61" spans="2:11" ht="15" x14ac:dyDescent="0.25">
      <c r="B61" s="17"/>
      <c r="C61" s="17"/>
      <c r="D61" s="17"/>
      <c r="E61" s="17"/>
      <c r="F61" s="17"/>
      <c r="G61" s="17"/>
      <c r="H61" s="17"/>
      <c r="I61" s="17"/>
      <c r="J61" s="17"/>
      <c r="K61" s="17"/>
    </row>
    <row r="62" spans="2:11" ht="15" x14ac:dyDescent="0.25">
      <c r="B62" s="17"/>
      <c r="C62" s="17"/>
      <c r="D62" s="17"/>
      <c r="E62" s="17"/>
      <c r="F62" s="17"/>
      <c r="G62" s="17"/>
      <c r="H62" s="17"/>
      <c r="I62" s="17"/>
      <c r="J62" s="17"/>
      <c r="K62" s="17"/>
    </row>
    <row r="63" spans="2:11" ht="15" x14ac:dyDescent="0.25">
      <c r="B63" s="17"/>
      <c r="C63" s="17"/>
      <c r="D63" s="17"/>
      <c r="E63" s="17"/>
      <c r="F63" s="17"/>
      <c r="G63" s="17"/>
      <c r="H63" s="17"/>
      <c r="I63" s="17"/>
      <c r="J63" s="17"/>
      <c r="K63" s="17"/>
    </row>
    <row r="64" spans="2:11" ht="15" x14ac:dyDescent="0.25">
      <c r="B64" s="17"/>
      <c r="C64" s="17"/>
      <c r="D64" s="17"/>
      <c r="E64" s="17"/>
      <c r="F64" s="17"/>
      <c r="G64" s="17"/>
      <c r="H64" s="17"/>
      <c r="I64" s="17"/>
      <c r="J64" s="17"/>
      <c r="K64" s="17"/>
    </row>
    <row r="65" spans="2:11" ht="15" x14ac:dyDescent="0.25">
      <c r="B65" s="17"/>
      <c r="C65" s="17"/>
      <c r="D65" s="17"/>
      <c r="E65" s="17"/>
      <c r="F65" s="17"/>
      <c r="G65" s="17"/>
      <c r="H65" s="17"/>
      <c r="I65" s="17"/>
      <c r="J65" s="17"/>
      <c r="K65" s="17"/>
    </row>
    <row r="66" spans="2:11" ht="15" x14ac:dyDescent="0.25">
      <c r="B66" s="17"/>
      <c r="C66" s="17"/>
      <c r="D66" s="17"/>
      <c r="E66" s="17"/>
      <c r="F66" s="17"/>
      <c r="G66" s="17"/>
      <c r="H66" s="17"/>
      <c r="I66" s="17"/>
      <c r="J66" s="17"/>
      <c r="K66" s="17"/>
    </row>
    <row r="67" spans="2:11" ht="15" x14ac:dyDescent="0.25">
      <c r="B67" s="17"/>
      <c r="C67" s="17"/>
      <c r="D67" s="17"/>
      <c r="E67" s="17"/>
      <c r="F67" s="17"/>
      <c r="G67" s="17"/>
      <c r="H67" s="17"/>
      <c r="I67" s="17"/>
      <c r="J67" s="17"/>
      <c r="K67" s="17"/>
    </row>
    <row r="68" spans="2:11" ht="15" x14ac:dyDescent="0.25">
      <c r="B68" s="17"/>
      <c r="C68" s="17"/>
      <c r="D68" s="17"/>
      <c r="E68" s="17"/>
      <c r="F68" s="17"/>
      <c r="G68" s="17"/>
      <c r="H68" s="17"/>
      <c r="I68" s="17"/>
      <c r="J68" s="17"/>
      <c r="K68" s="17"/>
    </row>
    <row r="69" spans="2:11" ht="15" x14ac:dyDescent="0.25">
      <c r="B69" s="17"/>
      <c r="C69" s="17"/>
      <c r="D69" s="17"/>
      <c r="E69" s="17"/>
      <c r="F69" s="17"/>
      <c r="G69" s="17"/>
      <c r="H69" s="17"/>
      <c r="I69" s="17"/>
      <c r="J69" s="17"/>
      <c r="K69" s="17"/>
    </row>
    <row r="70" spans="2:11" ht="15" x14ac:dyDescent="0.25">
      <c r="B70" s="17"/>
      <c r="C70" s="17"/>
      <c r="D70" s="17"/>
      <c r="E70" s="17"/>
      <c r="F70" s="17"/>
      <c r="G70" s="17"/>
      <c r="H70" s="17"/>
      <c r="I70" s="17"/>
      <c r="J70" s="17"/>
      <c r="K70" s="17"/>
    </row>
    <row r="71" spans="2:11" ht="15" x14ac:dyDescent="0.25">
      <c r="B71" s="17"/>
      <c r="C71" s="17"/>
      <c r="D71" s="17"/>
      <c r="E71" s="17"/>
      <c r="F71" s="17"/>
      <c r="G71" s="17"/>
      <c r="H71" s="17"/>
      <c r="I71" s="17"/>
      <c r="J71" s="17"/>
      <c r="K71" s="17"/>
    </row>
    <row r="72" spans="2:11" ht="15" x14ac:dyDescent="0.25">
      <c r="B72" s="17"/>
      <c r="C72" s="17"/>
      <c r="D72" s="17"/>
      <c r="E72" s="17"/>
      <c r="F72" s="17"/>
      <c r="G72" s="17"/>
      <c r="H72" s="17"/>
      <c r="I72" s="17"/>
      <c r="J72" s="17"/>
      <c r="K72" s="17"/>
    </row>
    <row r="73" spans="2:11" ht="15" x14ac:dyDescent="0.25">
      <c r="B73" s="17"/>
      <c r="C73" s="17"/>
      <c r="D73" s="17"/>
      <c r="E73" s="17"/>
      <c r="F73" s="17"/>
      <c r="G73" s="17"/>
      <c r="H73" s="17"/>
      <c r="I73" s="17"/>
      <c r="J73" s="17"/>
      <c r="K73" s="17"/>
    </row>
    <row r="74" spans="2:11" ht="15" x14ac:dyDescent="0.25">
      <c r="B74" s="17"/>
      <c r="C74" s="17"/>
      <c r="D74" s="17"/>
      <c r="E74" s="17"/>
      <c r="F74" s="17"/>
      <c r="G74" s="17"/>
      <c r="H74" s="17"/>
      <c r="I74" s="17"/>
      <c r="J74" s="17"/>
      <c r="K74" s="17"/>
    </row>
    <row r="75" spans="2:11" ht="15" x14ac:dyDescent="0.25">
      <c r="B75" s="17"/>
      <c r="C75" s="17"/>
      <c r="D75" s="17"/>
      <c r="E75" s="17"/>
      <c r="F75" s="17"/>
      <c r="G75" s="17"/>
      <c r="H75" s="17"/>
      <c r="I75" s="17"/>
      <c r="J75" s="17"/>
      <c r="K75" s="17"/>
    </row>
    <row r="76" spans="2:11" ht="15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</row>
    <row r="77" spans="2:11" ht="15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</row>
    <row r="78" spans="2:11" ht="15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</row>
    <row r="79" spans="2:11" ht="15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B114-D83F-4143-BCB7-F2CD56B25832}">
  <sheetPr codeName="Sheet5">
    <tabColor theme="0" tint="-0.34998626667073579"/>
  </sheetPr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862BF-3E64-4D52-931F-B4BF27CC9BF9}">
  <sheetPr codeName="Sheet6"/>
  <dimension ref="B2:T38"/>
  <sheetViews>
    <sheetView showGridLines="0" workbookViewId="0"/>
  </sheetViews>
  <sheetFormatPr defaultRowHeight="12.75" x14ac:dyDescent="0.25"/>
  <cols>
    <col min="1" max="1" width="9.140625" style="15"/>
    <col min="2" max="2" width="9.28515625" style="15" bestFit="1" customWidth="1"/>
    <col min="3" max="3" width="11.42578125" style="15" bestFit="1" customWidth="1"/>
    <col min="4" max="4" width="12.7109375" style="15" bestFit="1" customWidth="1"/>
    <col min="5" max="5" width="11.42578125" style="15" bestFit="1" customWidth="1"/>
    <col min="6" max="7" width="12.7109375" style="15" bestFit="1" customWidth="1"/>
    <col min="8" max="8" width="14.7109375" style="15" bestFit="1" customWidth="1"/>
    <col min="9" max="9" width="10.140625" style="15" bestFit="1" customWidth="1"/>
    <col min="10" max="10" width="11.42578125" style="15" bestFit="1" customWidth="1"/>
    <col min="11" max="11" width="11.42578125" style="15" customWidth="1"/>
    <col min="12" max="12" width="9.28515625" style="15" bestFit="1" customWidth="1"/>
    <col min="13" max="13" width="11.42578125" style="15" bestFit="1" customWidth="1"/>
    <col min="14" max="14" width="12.7109375" style="15" bestFit="1" customWidth="1"/>
    <col min="15" max="15" width="11.42578125" style="15" bestFit="1" customWidth="1"/>
    <col min="16" max="17" width="12.7109375" style="15" bestFit="1" customWidth="1"/>
    <col min="18" max="18" width="14.7109375" style="15" bestFit="1" customWidth="1"/>
    <col min="19" max="19" width="10.140625" style="15" bestFit="1" customWidth="1"/>
    <col min="20" max="20" width="11.42578125" style="15" bestFit="1" customWidth="1"/>
    <col min="21" max="16384" width="9.140625" style="15"/>
  </cols>
  <sheetData>
    <row r="2" spans="2:20" s="14" customFormat="1" ht="15" x14ac:dyDescent="0.25">
      <c r="B2" s="50" t="s">
        <v>20</v>
      </c>
      <c r="C2" s="51"/>
      <c r="D2" s="51"/>
      <c r="E2" s="51"/>
      <c r="F2" s="51"/>
      <c r="G2" s="51"/>
      <c r="H2" s="51"/>
      <c r="I2" s="51"/>
      <c r="J2" s="51"/>
      <c r="K2" s="52"/>
      <c r="L2" s="50" t="s">
        <v>17</v>
      </c>
      <c r="M2" s="51"/>
      <c r="N2" s="51"/>
      <c r="O2" s="51"/>
      <c r="P2" s="51"/>
      <c r="Q2" s="51"/>
      <c r="R2" s="51"/>
      <c r="S2" s="51"/>
      <c r="T2" s="51"/>
    </row>
    <row r="3" spans="2:20" x14ac:dyDescent="0.25">
      <c r="B3" s="49" t="s">
        <v>19</v>
      </c>
      <c r="C3" s="48"/>
      <c r="D3" s="48"/>
      <c r="E3" s="48"/>
      <c r="F3" s="48"/>
      <c r="G3" s="48"/>
      <c r="H3" s="48"/>
      <c r="I3" s="48"/>
      <c r="J3" s="48"/>
      <c r="K3" s="8"/>
      <c r="L3" s="49" t="s">
        <v>19</v>
      </c>
      <c r="M3" s="48"/>
      <c r="N3" s="48"/>
      <c r="O3" s="48"/>
      <c r="P3" s="48"/>
      <c r="Q3" s="48"/>
      <c r="R3" s="48"/>
      <c r="S3" s="48"/>
      <c r="T3" s="48"/>
    </row>
    <row r="4" spans="2:20" x14ac:dyDescent="0.25">
      <c r="B4" s="53">
        <v>45839</v>
      </c>
      <c r="C4" s="11"/>
      <c r="D4" s="11"/>
      <c r="E4" s="11"/>
      <c r="G4" s="11"/>
      <c r="H4" s="11"/>
      <c r="I4" s="11"/>
      <c r="J4" s="11"/>
      <c r="K4" s="11"/>
      <c r="L4" s="53">
        <v>45839</v>
      </c>
      <c r="M4" s="11"/>
      <c r="N4" s="11"/>
      <c r="O4" s="11"/>
      <c r="P4" s="11"/>
      <c r="Q4" s="11"/>
      <c r="R4" s="11"/>
      <c r="S4" s="11"/>
      <c r="T4" s="11"/>
    </row>
    <row r="6" spans="2:20" x14ac:dyDescent="0.25">
      <c r="B6" s="46" t="s">
        <v>10</v>
      </c>
      <c r="C6" s="46" t="s">
        <v>5</v>
      </c>
      <c r="D6" s="46"/>
      <c r="E6" s="46" t="s">
        <v>6</v>
      </c>
      <c r="F6" s="46"/>
      <c r="G6" s="46" t="s">
        <v>7</v>
      </c>
      <c r="H6" s="46"/>
      <c r="I6" s="46" t="s">
        <v>8</v>
      </c>
      <c r="J6" s="46"/>
      <c r="K6" s="47"/>
      <c r="L6" s="46" t="s">
        <v>10</v>
      </c>
      <c r="M6" s="46" t="s">
        <v>5</v>
      </c>
      <c r="N6" s="46"/>
      <c r="O6" s="46" t="s">
        <v>6</v>
      </c>
      <c r="P6" s="46"/>
      <c r="Q6" s="46" t="s">
        <v>7</v>
      </c>
      <c r="R6" s="46"/>
      <c r="S6" s="46" t="s">
        <v>8</v>
      </c>
      <c r="T6" s="46"/>
    </row>
    <row r="7" spans="2:20" s="29" customFormat="1" x14ac:dyDescent="0.25">
      <c r="B7" s="45"/>
      <c r="C7" s="45" t="s">
        <v>11</v>
      </c>
      <c r="D7" s="45" t="s">
        <v>18</v>
      </c>
      <c r="E7" s="45" t="s">
        <v>11</v>
      </c>
      <c r="F7" s="45" t="s">
        <v>18</v>
      </c>
      <c r="G7" s="45" t="s">
        <v>11</v>
      </c>
      <c r="H7" s="45" t="s">
        <v>18</v>
      </c>
      <c r="I7" s="45" t="s">
        <v>11</v>
      </c>
      <c r="J7" s="45" t="s">
        <v>18</v>
      </c>
      <c r="K7" s="45"/>
      <c r="L7" s="45"/>
      <c r="M7" s="45" t="s">
        <v>11</v>
      </c>
      <c r="N7" s="45" t="s">
        <v>18</v>
      </c>
      <c r="O7" s="45" t="s">
        <v>11</v>
      </c>
      <c r="P7" s="45" t="s">
        <v>18</v>
      </c>
      <c r="Q7" s="45" t="s">
        <v>11</v>
      </c>
      <c r="R7" s="45" t="s">
        <v>18</v>
      </c>
      <c r="S7" s="45" t="s">
        <v>11</v>
      </c>
      <c r="T7" s="45" t="s">
        <v>18</v>
      </c>
    </row>
    <row r="8" spans="2:20" x14ac:dyDescent="0.25">
      <c r="B8" s="9">
        <v>1</v>
      </c>
      <c r="C8" s="34"/>
      <c r="D8" s="35"/>
      <c r="E8" s="36"/>
      <c r="F8" s="35"/>
      <c r="G8" s="36"/>
      <c r="H8" s="36"/>
      <c r="I8" s="36"/>
      <c r="J8" s="37"/>
      <c r="K8" s="9"/>
      <c r="L8" s="9">
        <v>1</v>
      </c>
      <c r="M8" s="34"/>
      <c r="N8" s="35"/>
      <c r="O8" s="36"/>
      <c r="P8" s="35"/>
      <c r="Q8" s="36"/>
      <c r="R8" s="36"/>
      <c r="S8" s="36"/>
      <c r="T8" s="37"/>
    </row>
    <row r="9" spans="2:20" x14ac:dyDescent="0.25">
      <c r="B9" s="9">
        <v>2</v>
      </c>
      <c r="C9" s="38"/>
      <c r="D9" s="10"/>
      <c r="E9" s="9"/>
      <c r="F9" s="10"/>
      <c r="G9" s="9"/>
      <c r="H9" s="9"/>
      <c r="I9" s="9"/>
      <c r="J9" s="39"/>
      <c r="K9" s="9"/>
      <c r="L9" s="9">
        <v>2</v>
      </c>
      <c r="M9" s="38"/>
      <c r="N9" s="10"/>
      <c r="O9" s="9"/>
      <c r="P9" s="10"/>
      <c r="Q9" s="9"/>
      <c r="R9" s="9"/>
      <c r="S9" s="9"/>
      <c r="T9" s="39"/>
    </row>
    <row r="10" spans="2:20" x14ac:dyDescent="0.25">
      <c r="B10" s="9">
        <v>3</v>
      </c>
      <c r="C10" s="40"/>
      <c r="D10" s="10"/>
      <c r="E10" s="10"/>
      <c r="F10" s="10"/>
      <c r="G10" s="9"/>
      <c r="H10" s="9"/>
      <c r="I10" s="9"/>
      <c r="J10" s="39"/>
      <c r="K10" s="9"/>
      <c r="L10" s="9">
        <v>3</v>
      </c>
      <c r="M10" s="40"/>
      <c r="N10" s="10"/>
      <c r="O10" s="10"/>
      <c r="P10" s="10"/>
      <c r="Q10" s="9"/>
      <c r="R10" s="9"/>
      <c r="S10" s="9"/>
      <c r="T10" s="39"/>
    </row>
    <row r="11" spans="2:20" x14ac:dyDescent="0.25">
      <c r="B11" s="9">
        <v>4</v>
      </c>
      <c r="C11" s="38"/>
      <c r="D11" s="10"/>
      <c r="E11" s="9"/>
      <c r="F11" s="10"/>
      <c r="G11" s="9"/>
      <c r="H11" s="9"/>
      <c r="I11" s="9"/>
      <c r="J11" s="39"/>
      <c r="K11" s="9"/>
      <c r="L11" s="9">
        <v>4</v>
      </c>
      <c r="M11" s="38"/>
      <c r="N11" s="10"/>
      <c r="O11" s="9"/>
      <c r="P11" s="10"/>
      <c r="Q11" s="9"/>
      <c r="R11" s="9"/>
      <c r="S11" s="9"/>
      <c r="T11" s="39"/>
    </row>
    <row r="12" spans="2:20" x14ac:dyDescent="0.25">
      <c r="B12" s="9">
        <v>5</v>
      </c>
      <c r="C12" s="38"/>
      <c r="D12" s="10"/>
      <c r="E12" s="9"/>
      <c r="F12" s="10"/>
      <c r="G12" s="9"/>
      <c r="H12" s="9"/>
      <c r="I12" s="9"/>
      <c r="J12" s="39"/>
      <c r="K12" s="9"/>
      <c r="L12" s="9">
        <v>5</v>
      </c>
      <c r="M12" s="38"/>
      <c r="N12" s="10"/>
      <c r="O12" s="9"/>
      <c r="P12" s="10"/>
      <c r="Q12" s="9"/>
      <c r="R12" s="9"/>
      <c r="S12" s="9"/>
      <c r="T12" s="39"/>
    </row>
    <row r="13" spans="2:20" x14ac:dyDescent="0.25">
      <c r="B13" s="9">
        <v>6</v>
      </c>
      <c r="C13" s="40"/>
      <c r="D13" s="10"/>
      <c r="E13" s="9"/>
      <c r="F13" s="10"/>
      <c r="G13" s="9"/>
      <c r="H13" s="9"/>
      <c r="I13" s="9"/>
      <c r="J13" s="39"/>
      <c r="K13" s="9"/>
      <c r="L13" s="9">
        <v>6</v>
      </c>
      <c r="M13" s="40"/>
      <c r="N13" s="10"/>
      <c r="O13" s="9"/>
      <c r="P13" s="10"/>
      <c r="Q13" s="9"/>
      <c r="R13" s="9"/>
      <c r="S13" s="9"/>
      <c r="T13" s="39"/>
    </row>
    <row r="14" spans="2:20" x14ac:dyDescent="0.25">
      <c r="B14" s="9">
        <v>7</v>
      </c>
      <c r="C14" s="38"/>
      <c r="D14" s="10"/>
      <c r="E14" s="9"/>
      <c r="F14" s="10"/>
      <c r="G14" s="9"/>
      <c r="H14" s="9"/>
      <c r="I14" s="9"/>
      <c r="J14" s="39"/>
      <c r="K14" s="9"/>
      <c r="L14" s="9">
        <v>7</v>
      </c>
      <c r="M14" s="38"/>
      <c r="N14" s="10"/>
      <c r="O14" s="9"/>
      <c r="P14" s="10"/>
      <c r="Q14" s="9"/>
      <c r="R14" s="9"/>
      <c r="S14" s="9"/>
      <c r="T14" s="39"/>
    </row>
    <row r="15" spans="2:20" x14ac:dyDescent="0.25">
      <c r="B15" s="9">
        <v>8</v>
      </c>
      <c r="C15" s="40"/>
      <c r="D15" s="10"/>
      <c r="E15" s="9"/>
      <c r="F15" s="10"/>
      <c r="G15" s="9"/>
      <c r="H15" s="9"/>
      <c r="I15" s="9"/>
      <c r="J15" s="39"/>
      <c r="K15" s="9"/>
      <c r="L15" s="9">
        <v>8</v>
      </c>
      <c r="M15" s="40"/>
      <c r="N15" s="10"/>
      <c r="O15" s="9"/>
      <c r="P15" s="10"/>
      <c r="Q15" s="9"/>
      <c r="R15" s="9"/>
      <c r="S15" s="9"/>
      <c r="T15" s="39"/>
    </row>
    <row r="16" spans="2:20" x14ac:dyDescent="0.25">
      <c r="B16" s="9">
        <v>9</v>
      </c>
      <c r="C16" s="40"/>
      <c r="D16" s="10"/>
      <c r="E16" s="9"/>
      <c r="F16" s="10"/>
      <c r="G16" s="9"/>
      <c r="H16" s="9"/>
      <c r="I16" s="9"/>
      <c r="J16" s="39"/>
      <c r="K16" s="9"/>
      <c r="L16" s="9">
        <v>9</v>
      </c>
      <c r="M16" s="40"/>
      <c r="N16" s="10"/>
      <c r="O16" s="9"/>
      <c r="P16" s="10"/>
      <c r="Q16" s="9"/>
      <c r="R16" s="9"/>
      <c r="S16" s="9"/>
      <c r="T16" s="39"/>
    </row>
    <row r="17" spans="2:20" x14ac:dyDescent="0.25">
      <c r="B17" s="9">
        <v>10</v>
      </c>
      <c r="C17" s="40"/>
      <c r="D17" s="10"/>
      <c r="E17" s="10"/>
      <c r="F17" s="10"/>
      <c r="G17" s="9"/>
      <c r="H17" s="9"/>
      <c r="I17" s="9"/>
      <c r="J17" s="39"/>
      <c r="K17" s="9"/>
      <c r="L17" s="9">
        <v>10</v>
      </c>
      <c r="M17" s="40"/>
      <c r="N17" s="10"/>
      <c r="O17" s="10"/>
      <c r="P17" s="10"/>
      <c r="Q17" s="9"/>
      <c r="R17" s="9"/>
      <c r="S17" s="9"/>
      <c r="T17" s="39"/>
    </row>
    <row r="18" spans="2:20" x14ac:dyDescent="0.25">
      <c r="B18" s="9">
        <v>11</v>
      </c>
      <c r="C18" s="38"/>
      <c r="D18" s="10"/>
      <c r="E18" s="9"/>
      <c r="F18" s="10"/>
      <c r="G18" s="9"/>
      <c r="H18" s="9"/>
      <c r="I18" s="9"/>
      <c r="J18" s="39"/>
      <c r="K18" s="9"/>
      <c r="L18" s="9">
        <v>11</v>
      </c>
      <c r="M18" s="38"/>
      <c r="N18" s="10"/>
      <c r="O18" s="9"/>
      <c r="P18" s="10"/>
      <c r="Q18" s="9"/>
      <c r="R18" s="9"/>
      <c r="S18" s="9"/>
      <c r="T18" s="39"/>
    </row>
    <row r="19" spans="2:20" x14ac:dyDescent="0.25">
      <c r="B19" s="9">
        <v>12</v>
      </c>
      <c r="C19" s="38"/>
      <c r="D19" s="10"/>
      <c r="E19" s="9"/>
      <c r="F19" s="10"/>
      <c r="G19" s="9"/>
      <c r="H19" s="9"/>
      <c r="I19" s="9"/>
      <c r="J19" s="39"/>
      <c r="K19" s="9"/>
      <c r="L19" s="9">
        <v>12</v>
      </c>
      <c r="M19" s="38"/>
      <c r="N19" s="10"/>
      <c r="O19" s="9"/>
      <c r="P19" s="10"/>
      <c r="Q19" s="9"/>
      <c r="R19" s="9"/>
      <c r="S19" s="9"/>
      <c r="T19" s="39"/>
    </row>
    <row r="20" spans="2:20" x14ac:dyDescent="0.25">
      <c r="B20" s="9">
        <v>13</v>
      </c>
      <c r="C20" s="40"/>
      <c r="D20" s="10"/>
      <c r="E20" s="9"/>
      <c r="F20" s="10"/>
      <c r="G20" s="9"/>
      <c r="H20" s="9"/>
      <c r="I20" s="9"/>
      <c r="J20" s="39"/>
      <c r="K20" s="9"/>
      <c r="L20" s="9">
        <v>13</v>
      </c>
      <c r="M20" s="40"/>
      <c r="N20" s="10"/>
      <c r="O20" s="9"/>
      <c r="P20" s="10"/>
      <c r="Q20" s="9"/>
      <c r="R20" s="9"/>
      <c r="S20" s="9"/>
      <c r="T20" s="39"/>
    </row>
    <row r="21" spans="2:20" x14ac:dyDescent="0.25">
      <c r="B21" s="9">
        <v>14</v>
      </c>
      <c r="C21" s="38"/>
      <c r="D21" s="10"/>
      <c r="E21" s="9"/>
      <c r="F21" s="10"/>
      <c r="G21" s="9"/>
      <c r="H21" s="9"/>
      <c r="I21" s="9"/>
      <c r="J21" s="39"/>
      <c r="K21" s="9"/>
      <c r="L21" s="9">
        <v>14</v>
      </c>
      <c r="M21" s="38"/>
      <c r="N21" s="10"/>
      <c r="O21" s="9"/>
      <c r="P21" s="10"/>
      <c r="Q21" s="9"/>
      <c r="R21" s="9"/>
      <c r="S21" s="9"/>
      <c r="T21" s="39"/>
    </row>
    <row r="22" spans="2:20" x14ac:dyDescent="0.25">
      <c r="B22" s="9">
        <v>15</v>
      </c>
      <c r="C22" s="38"/>
      <c r="D22" s="10"/>
      <c r="E22" s="9"/>
      <c r="F22" s="10"/>
      <c r="G22" s="9"/>
      <c r="H22" s="9"/>
      <c r="I22" s="9"/>
      <c r="J22" s="39"/>
      <c r="K22" s="9"/>
      <c r="L22" s="9">
        <v>15</v>
      </c>
      <c r="M22" s="38"/>
      <c r="N22" s="10"/>
      <c r="O22" s="9"/>
      <c r="P22" s="10"/>
      <c r="Q22" s="9"/>
      <c r="R22" s="9"/>
      <c r="S22" s="9"/>
      <c r="T22" s="39"/>
    </row>
    <row r="23" spans="2:20" x14ac:dyDescent="0.25">
      <c r="B23" s="9">
        <v>16</v>
      </c>
      <c r="C23" s="38"/>
      <c r="D23" s="10"/>
      <c r="E23" s="9"/>
      <c r="F23" s="10"/>
      <c r="G23" s="9"/>
      <c r="H23" s="9"/>
      <c r="I23" s="9"/>
      <c r="J23" s="39"/>
      <c r="K23" s="9"/>
      <c r="L23" s="9">
        <v>16</v>
      </c>
      <c r="M23" s="38"/>
      <c r="N23" s="10"/>
      <c r="O23" s="9"/>
      <c r="P23" s="10"/>
      <c r="Q23" s="9"/>
      <c r="R23" s="9"/>
      <c r="S23" s="9"/>
      <c r="T23" s="39"/>
    </row>
    <row r="24" spans="2:20" x14ac:dyDescent="0.25">
      <c r="B24" s="9">
        <v>17</v>
      </c>
      <c r="C24" s="40"/>
      <c r="D24" s="10"/>
      <c r="E24" s="10"/>
      <c r="F24" s="10"/>
      <c r="G24" s="9"/>
      <c r="H24" s="9"/>
      <c r="I24" s="9"/>
      <c r="J24" s="39"/>
      <c r="K24" s="9"/>
      <c r="L24" s="9">
        <v>17</v>
      </c>
      <c r="M24" s="40"/>
      <c r="N24" s="10"/>
      <c r="O24" s="10"/>
      <c r="P24" s="10"/>
      <c r="Q24" s="9"/>
      <c r="R24" s="9"/>
      <c r="S24" s="9"/>
      <c r="T24" s="39"/>
    </row>
    <row r="25" spans="2:20" x14ac:dyDescent="0.25">
      <c r="B25" s="9">
        <v>18</v>
      </c>
      <c r="C25" s="40"/>
      <c r="D25" s="10"/>
      <c r="E25" s="9"/>
      <c r="F25" s="10"/>
      <c r="G25" s="9"/>
      <c r="H25" s="9"/>
      <c r="I25" s="9"/>
      <c r="J25" s="39"/>
      <c r="K25" s="9"/>
      <c r="L25" s="9">
        <v>18</v>
      </c>
      <c r="M25" s="40"/>
      <c r="N25" s="10"/>
      <c r="O25" s="9"/>
      <c r="P25" s="10"/>
      <c r="Q25" s="9"/>
      <c r="R25" s="9"/>
      <c r="S25" s="9"/>
      <c r="T25" s="39"/>
    </row>
    <row r="26" spans="2:20" x14ac:dyDescent="0.25">
      <c r="B26" s="9">
        <v>19</v>
      </c>
      <c r="C26" s="40"/>
      <c r="D26" s="10"/>
      <c r="E26" s="9"/>
      <c r="F26" s="10"/>
      <c r="G26" s="9"/>
      <c r="H26" s="9"/>
      <c r="I26" s="9"/>
      <c r="J26" s="39"/>
      <c r="K26" s="9"/>
      <c r="L26" s="9">
        <v>19</v>
      </c>
      <c r="M26" s="40"/>
      <c r="N26" s="10"/>
      <c r="O26" s="9"/>
      <c r="P26" s="10"/>
      <c r="Q26" s="9"/>
      <c r="R26" s="9"/>
      <c r="S26" s="9"/>
      <c r="T26" s="39"/>
    </row>
    <row r="27" spans="2:20" x14ac:dyDescent="0.25">
      <c r="B27" s="9">
        <v>20</v>
      </c>
      <c r="C27" s="40"/>
      <c r="D27" s="10"/>
      <c r="E27" s="9"/>
      <c r="F27" s="9"/>
      <c r="G27" s="9"/>
      <c r="H27" s="9"/>
      <c r="I27" s="9"/>
      <c r="J27" s="39"/>
      <c r="K27" s="9"/>
      <c r="L27" s="9">
        <v>20</v>
      </c>
      <c r="M27" s="40"/>
      <c r="N27" s="10"/>
      <c r="O27" s="9"/>
      <c r="P27" s="9"/>
      <c r="Q27" s="9"/>
      <c r="R27" s="9"/>
      <c r="S27" s="9"/>
      <c r="T27" s="39"/>
    </row>
    <row r="28" spans="2:20" x14ac:dyDescent="0.25">
      <c r="B28" s="9">
        <v>21</v>
      </c>
      <c r="C28" s="40"/>
      <c r="D28" s="10"/>
      <c r="E28" s="9"/>
      <c r="F28" s="10"/>
      <c r="G28" s="9"/>
      <c r="H28" s="9"/>
      <c r="I28" s="9"/>
      <c r="J28" s="39"/>
      <c r="K28" s="9"/>
      <c r="L28" s="9">
        <v>21</v>
      </c>
      <c r="M28" s="40"/>
      <c r="N28" s="10"/>
      <c r="O28" s="9"/>
      <c r="P28" s="10"/>
      <c r="Q28" s="9"/>
      <c r="R28" s="9"/>
      <c r="S28" s="9"/>
      <c r="T28" s="39"/>
    </row>
    <row r="29" spans="2:20" x14ac:dyDescent="0.25">
      <c r="B29" s="9">
        <v>22</v>
      </c>
      <c r="C29" s="38"/>
      <c r="D29" s="10"/>
      <c r="E29" s="9"/>
      <c r="F29" s="10"/>
      <c r="G29" s="9"/>
      <c r="H29" s="9"/>
      <c r="I29" s="9"/>
      <c r="J29" s="39"/>
      <c r="K29" s="9"/>
      <c r="L29" s="9">
        <v>22</v>
      </c>
      <c r="M29" s="38"/>
      <c r="N29" s="10"/>
      <c r="O29" s="9"/>
      <c r="P29" s="10"/>
      <c r="Q29" s="9"/>
      <c r="R29" s="9"/>
      <c r="S29" s="9"/>
      <c r="T29" s="39"/>
    </row>
    <row r="30" spans="2:20" x14ac:dyDescent="0.25">
      <c r="B30" s="9">
        <v>23</v>
      </c>
      <c r="C30" s="38"/>
      <c r="D30" s="10"/>
      <c r="E30" s="9"/>
      <c r="F30" s="10"/>
      <c r="G30" s="9"/>
      <c r="H30" s="9"/>
      <c r="I30" s="9"/>
      <c r="J30" s="39"/>
      <c r="K30" s="9"/>
      <c r="L30" s="9">
        <v>23</v>
      </c>
      <c r="M30" s="38"/>
      <c r="N30" s="10"/>
      <c r="O30" s="9"/>
      <c r="P30" s="10"/>
      <c r="Q30" s="9"/>
      <c r="R30" s="9"/>
      <c r="S30" s="9"/>
      <c r="T30" s="39"/>
    </row>
    <row r="31" spans="2:20" x14ac:dyDescent="0.25">
      <c r="B31" s="9">
        <v>24</v>
      </c>
      <c r="C31" s="40"/>
      <c r="D31" s="10"/>
      <c r="E31" s="10"/>
      <c r="F31" s="10"/>
      <c r="G31" s="9"/>
      <c r="H31" s="9"/>
      <c r="I31" s="9"/>
      <c r="J31" s="39"/>
      <c r="K31" s="9"/>
      <c r="L31" s="9">
        <v>24</v>
      </c>
      <c r="M31" s="40"/>
      <c r="N31" s="10"/>
      <c r="O31" s="10"/>
      <c r="P31" s="10"/>
      <c r="Q31" s="9"/>
      <c r="R31" s="9"/>
      <c r="S31" s="9"/>
      <c r="T31" s="39"/>
    </row>
    <row r="32" spans="2:20" x14ac:dyDescent="0.25">
      <c r="B32" s="9">
        <v>25</v>
      </c>
      <c r="C32" s="40"/>
      <c r="D32" s="10"/>
      <c r="E32" s="9"/>
      <c r="F32" s="10"/>
      <c r="G32" s="9"/>
      <c r="H32" s="9"/>
      <c r="I32" s="9"/>
      <c r="J32" s="39"/>
      <c r="K32" s="9"/>
      <c r="L32" s="9">
        <v>25</v>
      </c>
      <c r="M32" s="40"/>
      <c r="N32" s="10"/>
      <c r="O32" s="9"/>
      <c r="P32" s="10"/>
      <c r="Q32" s="9"/>
      <c r="R32" s="9"/>
      <c r="S32" s="9"/>
      <c r="T32" s="39"/>
    </row>
    <row r="33" spans="2:20" x14ac:dyDescent="0.25">
      <c r="B33" s="9">
        <v>26</v>
      </c>
      <c r="C33" s="40"/>
      <c r="D33" s="10"/>
      <c r="E33" s="9"/>
      <c r="F33" s="10"/>
      <c r="G33" s="9"/>
      <c r="H33" s="9"/>
      <c r="I33" s="9"/>
      <c r="J33" s="39"/>
      <c r="K33" s="9"/>
      <c r="L33" s="9">
        <v>26</v>
      </c>
      <c r="M33" s="40"/>
      <c r="N33" s="10"/>
      <c r="O33" s="9"/>
      <c r="P33" s="10"/>
      <c r="Q33" s="9"/>
      <c r="R33" s="9"/>
      <c r="S33" s="9"/>
      <c r="T33" s="39"/>
    </row>
    <row r="34" spans="2:20" x14ac:dyDescent="0.25">
      <c r="B34" s="9">
        <v>27</v>
      </c>
      <c r="C34" s="40"/>
      <c r="D34" s="10"/>
      <c r="E34" s="9"/>
      <c r="F34" s="10"/>
      <c r="G34" s="9"/>
      <c r="H34" s="9"/>
      <c r="I34" s="9"/>
      <c r="J34" s="39"/>
      <c r="K34" s="9"/>
      <c r="L34" s="9">
        <v>27</v>
      </c>
      <c r="M34" s="40"/>
      <c r="N34" s="10"/>
      <c r="O34" s="9"/>
      <c r="P34" s="10"/>
      <c r="Q34" s="9"/>
      <c r="R34" s="9"/>
      <c r="S34" s="9"/>
      <c r="T34" s="39"/>
    </row>
    <row r="35" spans="2:20" x14ac:dyDescent="0.25">
      <c r="B35" s="9">
        <v>28</v>
      </c>
      <c r="C35" s="38"/>
      <c r="D35" s="10"/>
      <c r="E35" s="9"/>
      <c r="F35" s="10"/>
      <c r="G35" s="9"/>
      <c r="H35" s="9"/>
      <c r="I35" s="9"/>
      <c r="J35" s="39"/>
      <c r="K35" s="9"/>
      <c r="L35" s="9">
        <v>28</v>
      </c>
      <c r="M35" s="38"/>
      <c r="N35" s="10"/>
      <c r="O35" s="9"/>
      <c r="P35" s="10"/>
      <c r="Q35" s="9"/>
      <c r="R35" s="9"/>
      <c r="S35" s="9"/>
      <c r="T35" s="39"/>
    </row>
    <row r="36" spans="2:20" x14ac:dyDescent="0.25">
      <c r="B36" s="9">
        <v>29</v>
      </c>
      <c r="C36" s="40"/>
      <c r="D36" s="10"/>
      <c r="E36" s="9"/>
      <c r="F36" s="10"/>
      <c r="G36" s="9"/>
      <c r="H36" s="9"/>
      <c r="I36" s="9"/>
      <c r="J36" s="39"/>
      <c r="K36" s="9"/>
      <c r="L36" s="9">
        <v>29</v>
      </c>
      <c r="M36" s="40"/>
      <c r="N36" s="10"/>
      <c r="O36" s="9"/>
      <c r="P36" s="10"/>
      <c r="Q36" s="9"/>
      <c r="R36" s="9"/>
      <c r="S36" s="9"/>
      <c r="T36" s="39"/>
    </row>
    <row r="37" spans="2:20" x14ac:dyDescent="0.25">
      <c r="B37" s="9">
        <v>30</v>
      </c>
      <c r="C37" s="38"/>
      <c r="D37" s="10"/>
      <c r="E37" s="9"/>
      <c r="F37" s="10"/>
      <c r="G37" s="9"/>
      <c r="H37" s="9"/>
      <c r="I37" s="9"/>
      <c r="J37" s="39"/>
      <c r="K37" s="9"/>
      <c r="L37" s="9">
        <v>30</v>
      </c>
      <c r="M37" s="38"/>
      <c r="N37" s="10"/>
      <c r="O37" s="9"/>
      <c r="P37" s="10"/>
      <c r="Q37" s="9"/>
      <c r="R37" s="9"/>
      <c r="S37" s="9"/>
      <c r="T37" s="39"/>
    </row>
    <row r="38" spans="2:20" x14ac:dyDescent="0.25">
      <c r="B38" s="9">
        <v>31</v>
      </c>
      <c r="C38" s="41"/>
      <c r="D38" s="42"/>
      <c r="E38" s="42"/>
      <c r="F38" s="42"/>
      <c r="G38" s="43"/>
      <c r="H38" s="43"/>
      <c r="I38" s="43"/>
      <c r="J38" s="44"/>
      <c r="K38" s="9"/>
      <c r="L38" s="9">
        <v>31</v>
      </c>
      <c r="M38" s="41"/>
      <c r="N38" s="42"/>
      <c r="O38" s="42"/>
      <c r="P38" s="42"/>
      <c r="Q38" s="43"/>
      <c r="R38" s="43"/>
      <c r="S38" s="43"/>
      <c r="T38" s="4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77D4C-F201-4260-A210-A7F7E343CA5D}">
  <sheetPr codeName="Sheet7"/>
  <dimension ref="B2:T38"/>
  <sheetViews>
    <sheetView showGridLines="0" workbookViewId="0"/>
  </sheetViews>
  <sheetFormatPr defaultRowHeight="12.75" x14ac:dyDescent="0.25"/>
  <cols>
    <col min="1" max="1" width="9.140625" style="15"/>
    <col min="2" max="2" width="9.28515625" style="15" bestFit="1" customWidth="1"/>
    <col min="3" max="3" width="11.42578125" style="15" bestFit="1" customWidth="1"/>
    <col min="4" max="4" width="12.7109375" style="15" bestFit="1" customWidth="1"/>
    <col min="5" max="5" width="11.42578125" style="15" bestFit="1" customWidth="1"/>
    <col min="6" max="7" width="12.7109375" style="15" bestFit="1" customWidth="1"/>
    <col min="8" max="8" width="14.7109375" style="15" bestFit="1" customWidth="1"/>
    <col min="9" max="9" width="10.140625" style="15" bestFit="1" customWidth="1"/>
    <col min="10" max="10" width="11.42578125" style="15" bestFit="1" customWidth="1"/>
    <col min="11" max="11" width="11.42578125" style="15" customWidth="1"/>
    <col min="12" max="12" width="9.28515625" style="15" bestFit="1" customWidth="1"/>
    <col min="13" max="13" width="11.42578125" style="15" bestFit="1" customWidth="1"/>
    <col min="14" max="14" width="12.7109375" style="15" bestFit="1" customWidth="1"/>
    <col min="15" max="15" width="11.42578125" style="15" bestFit="1" customWidth="1"/>
    <col min="16" max="17" width="12.7109375" style="15" bestFit="1" customWidth="1"/>
    <col min="18" max="18" width="14.7109375" style="15" bestFit="1" customWidth="1"/>
    <col min="19" max="19" width="10.140625" style="15" bestFit="1" customWidth="1"/>
    <col min="20" max="20" width="11.42578125" style="15" bestFit="1" customWidth="1"/>
    <col min="21" max="16384" width="9.140625" style="15"/>
  </cols>
  <sheetData>
    <row r="2" spans="2:20" s="14" customFormat="1" ht="15" x14ac:dyDescent="0.25">
      <c r="B2" s="50" t="s">
        <v>20</v>
      </c>
      <c r="C2" s="51"/>
      <c r="D2" s="51"/>
      <c r="E2" s="51"/>
      <c r="F2" s="51"/>
      <c r="G2" s="51"/>
      <c r="H2" s="51"/>
      <c r="I2" s="51"/>
      <c r="J2" s="51"/>
      <c r="K2" s="52"/>
      <c r="L2" s="50" t="s">
        <v>17</v>
      </c>
      <c r="M2" s="51"/>
      <c r="N2" s="51"/>
      <c r="O2" s="51"/>
      <c r="P2" s="51"/>
      <c r="Q2" s="51"/>
      <c r="R2" s="51"/>
      <c r="S2" s="51"/>
      <c r="T2" s="51"/>
    </row>
    <row r="3" spans="2:20" x14ac:dyDescent="0.25">
      <c r="B3" s="49" t="s">
        <v>2</v>
      </c>
      <c r="C3" s="48"/>
      <c r="D3" s="48"/>
      <c r="E3" s="48"/>
      <c r="F3" s="48"/>
      <c r="G3" s="48"/>
      <c r="H3" s="48"/>
      <c r="I3" s="48"/>
      <c r="J3" s="48"/>
      <c r="K3" s="8"/>
      <c r="L3" s="49" t="s">
        <v>2</v>
      </c>
      <c r="M3" s="48"/>
      <c r="N3" s="48"/>
      <c r="O3" s="48"/>
      <c r="P3" s="48"/>
      <c r="Q3" s="48"/>
      <c r="R3" s="48"/>
      <c r="S3" s="48"/>
      <c r="T3" s="48"/>
    </row>
    <row r="4" spans="2:20" x14ac:dyDescent="0.25">
      <c r="B4" s="53">
        <v>45839</v>
      </c>
      <c r="C4" s="11"/>
      <c r="D4" s="11"/>
      <c r="E4" s="11"/>
      <c r="G4" s="11"/>
      <c r="H4" s="11"/>
      <c r="I4" s="11"/>
      <c r="J4" s="11"/>
      <c r="K4" s="11"/>
      <c r="L4" s="53">
        <v>45839</v>
      </c>
      <c r="M4" s="11"/>
      <c r="N4" s="11"/>
      <c r="O4" s="11"/>
      <c r="P4" s="11"/>
      <c r="Q4" s="11"/>
      <c r="R4" s="11"/>
      <c r="S4" s="11"/>
      <c r="T4" s="11"/>
    </row>
    <row r="6" spans="2:20" x14ac:dyDescent="0.25">
      <c r="B6" s="46" t="s">
        <v>10</v>
      </c>
      <c r="C6" s="46" t="s">
        <v>5</v>
      </c>
      <c r="D6" s="46"/>
      <c r="E6" s="46" t="s">
        <v>6</v>
      </c>
      <c r="F6" s="46"/>
      <c r="G6" s="46" t="s">
        <v>7</v>
      </c>
      <c r="H6" s="46"/>
      <c r="I6" s="46" t="s">
        <v>8</v>
      </c>
      <c r="J6" s="46"/>
      <c r="K6" s="47"/>
      <c r="L6" s="46" t="s">
        <v>10</v>
      </c>
      <c r="M6" s="46" t="s">
        <v>5</v>
      </c>
      <c r="N6" s="46"/>
      <c r="O6" s="46" t="s">
        <v>6</v>
      </c>
      <c r="P6" s="46"/>
      <c r="Q6" s="46" t="s">
        <v>7</v>
      </c>
      <c r="R6" s="46"/>
      <c r="S6" s="46" t="s">
        <v>8</v>
      </c>
      <c r="T6" s="46"/>
    </row>
    <row r="7" spans="2:20" s="29" customFormat="1" x14ac:dyDescent="0.25">
      <c r="B7" s="45"/>
      <c r="C7" s="45" t="s">
        <v>11</v>
      </c>
      <c r="D7" s="45" t="s">
        <v>18</v>
      </c>
      <c r="E7" s="45" t="s">
        <v>11</v>
      </c>
      <c r="F7" s="45" t="s">
        <v>18</v>
      </c>
      <c r="G7" s="45" t="s">
        <v>11</v>
      </c>
      <c r="H7" s="45" t="s">
        <v>18</v>
      </c>
      <c r="I7" s="45" t="s">
        <v>11</v>
      </c>
      <c r="J7" s="45" t="s">
        <v>18</v>
      </c>
      <c r="K7" s="45"/>
      <c r="L7" s="45"/>
      <c r="M7" s="45" t="s">
        <v>11</v>
      </c>
      <c r="N7" s="45" t="s">
        <v>18</v>
      </c>
      <c r="O7" s="45" t="s">
        <v>11</v>
      </c>
      <c r="P7" s="45" t="s">
        <v>18</v>
      </c>
      <c r="Q7" s="45" t="s">
        <v>11</v>
      </c>
      <c r="R7" s="45" t="s">
        <v>18</v>
      </c>
      <c r="S7" s="45" t="s">
        <v>11</v>
      </c>
      <c r="T7" s="45" t="s">
        <v>18</v>
      </c>
    </row>
    <row r="8" spans="2:20" x14ac:dyDescent="0.25">
      <c r="B8" s="9">
        <v>1</v>
      </c>
      <c r="C8" s="34"/>
      <c r="D8" s="35"/>
      <c r="E8" s="36"/>
      <c r="F8" s="35"/>
      <c r="G8" s="36"/>
      <c r="H8" s="36"/>
      <c r="I8" s="36"/>
      <c r="J8" s="37"/>
      <c r="K8" s="9"/>
      <c r="L8" s="9">
        <v>1</v>
      </c>
      <c r="M8" s="34"/>
      <c r="N8" s="35"/>
      <c r="O8" s="36"/>
      <c r="P8" s="35"/>
      <c r="Q8" s="36"/>
      <c r="R8" s="36"/>
      <c r="S8" s="36"/>
      <c r="T8" s="37"/>
    </row>
    <row r="9" spans="2:20" x14ac:dyDescent="0.25">
      <c r="B9" s="9">
        <v>2</v>
      </c>
      <c r="C9" s="38"/>
      <c r="D9" s="10"/>
      <c r="E9" s="9"/>
      <c r="F9" s="10"/>
      <c r="G9" s="9"/>
      <c r="H9" s="9"/>
      <c r="I9" s="9"/>
      <c r="J9" s="39"/>
      <c r="K9" s="9"/>
      <c r="L9" s="9">
        <v>2</v>
      </c>
      <c r="M9" s="38"/>
      <c r="N9" s="10"/>
      <c r="O9" s="9"/>
      <c r="P9" s="10"/>
      <c r="Q9" s="9"/>
      <c r="R9" s="9"/>
      <c r="S9" s="9"/>
      <c r="T9" s="39"/>
    </row>
    <row r="10" spans="2:20" x14ac:dyDescent="0.25">
      <c r="B10" s="9">
        <v>3</v>
      </c>
      <c r="C10" s="40"/>
      <c r="D10" s="10"/>
      <c r="E10" s="10"/>
      <c r="F10" s="10"/>
      <c r="G10" s="9"/>
      <c r="H10" s="9"/>
      <c r="I10" s="9"/>
      <c r="J10" s="39"/>
      <c r="K10" s="9"/>
      <c r="L10" s="9">
        <v>3</v>
      </c>
      <c r="M10" s="40"/>
      <c r="N10" s="10"/>
      <c r="O10" s="10"/>
      <c r="P10" s="10"/>
      <c r="Q10" s="9"/>
      <c r="R10" s="9"/>
      <c r="S10" s="9"/>
      <c r="T10" s="39"/>
    </row>
    <row r="11" spans="2:20" x14ac:dyDescent="0.25">
      <c r="B11" s="9">
        <v>4</v>
      </c>
      <c r="C11" s="38"/>
      <c r="D11" s="10"/>
      <c r="E11" s="9"/>
      <c r="F11" s="10"/>
      <c r="G11" s="9"/>
      <c r="H11" s="9"/>
      <c r="I11" s="9"/>
      <c r="J11" s="39"/>
      <c r="K11" s="9"/>
      <c r="L11" s="9">
        <v>4</v>
      </c>
      <c r="M11" s="38"/>
      <c r="N11" s="10"/>
      <c r="O11" s="9"/>
      <c r="P11" s="10"/>
      <c r="Q11" s="9"/>
      <c r="R11" s="9"/>
      <c r="S11" s="9"/>
      <c r="T11" s="39"/>
    </row>
    <row r="12" spans="2:20" x14ac:dyDescent="0.25">
      <c r="B12" s="9">
        <v>5</v>
      </c>
      <c r="C12" s="38"/>
      <c r="D12" s="10"/>
      <c r="E12" s="9"/>
      <c r="F12" s="10"/>
      <c r="G12" s="9"/>
      <c r="H12" s="9"/>
      <c r="I12" s="9"/>
      <c r="J12" s="39"/>
      <c r="K12" s="9"/>
      <c r="L12" s="9">
        <v>5</v>
      </c>
      <c r="M12" s="38"/>
      <c r="N12" s="10"/>
      <c r="O12" s="9"/>
      <c r="P12" s="10"/>
      <c r="Q12" s="9"/>
      <c r="R12" s="9"/>
      <c r="S12" s="9"/>
      <c r="T12" s="39"/>
    </row>
    <row r="13" spans="2:20" x14ac:dyDescent="0.25">
      <c r="B13" s="9">
        <v>6</v>
      </c>
      <c r="C13" s="40"/>
      <c r="D13" s="10"/>
      <c r="E13" s="9"/>
      <c r="F13" s="10"/>
      <c r="G13" s="9"/>
      <c r="H13" s="9"/>
      <c r="I13" s="9"/>
      <c r="J13" s="39"/>
      <c r="K13" s="9"/>
      <c r="L13" s="9">
        <v>6</v>
      </c>
      <c r="M13" s="40"/>
      <c r="N13" s="10"/>
      <c r="O13" s="9"/>
      <c r="P13" s="10"/>
      <c r="Q13" s="9"/>
      <c r="R13" s="9"/>
      <c r="S13" s="9"/>
      <c r="T13" s="39"/>
    </row>
    <row r="14" spans="2:20" x14ac:dyDescent="0.25">
      <c r="B14" s="9">
        <v>7</v>
      </c>
      <c r="C14" s="38"/>
      <c r="D14" s="10"/>
      <c r="E14" s="9"/>
      <c r="F14" s="10"/>
      <c r="G14" s="9"/>
      <c r="H14" s="9"/>
      <c r="I14" s="9"/>
      <c r="J14" s="39"/>
      <c r="K14" s="9"/>
      <c r="L14" s="9">
        <v>7</v>
      </c>
      <c r="M14" s="38"/>
      <c r="N14" s="10"/>
      <c r="O14" s="9"/>
      <c r="P14" s="10"/>
      <c r="Q14" s="9"/>
      <c r="R14" s="9"/>
      <c r="S14" s="9"/>
      <c r="T14" s="39"/>
    </row>
    <row r="15" spans="2:20" x14ac:dyDescent="0.25">
      <c r="B15" s="9">
        <v>8</v>
      </c>
      <c r="C15" s="40"/>
      <c r="D15" s="10"/>
      <c r="E15" s="9"/>
      <c r="F15" s="10"/>
      <c r="G15" s="9"/>
      <c r="H15" s="9"/>
      <c r="I15" s="9"/>
      <c r="J15" s="39"/>
      <c r="K15" s="9"/>
      <c r="L15" s="9">
        <v>8</v>
      </c>
      <c r="M15" s="40"/>
      <c r="N15" s="10"/>
      <c r="O15" s="9"/>
      <c r="P15" s="10"/>
      <c r="Q15" s="9"/>
      <c r="R15" s="9"/>
      <c r="S15" s="9"/>
      <c r="T15" s="39"/>
    </row>
    <row r="16" spans="2:20" x14ac:dyDescent="0.25">
      <c r="B16" s="9">
        <v>9</v>
      </c>
      <c r="C16" s="40"/>
      <c r="D16" s="10"/>
      <c r="E16" s="9"/>
      <c r="F16" s="10"/>
      <c r="G16" s="9"/>
      <c r="H16" s="9"/>
      <c r="I16" s="9"/>
      <c r="J16" s="39"/>
      <c r="K16" s="9"/>
      <c r="L16" s="9">
        <v>9</v>
      </c>
      <c r="M16" s="40"/>
      <c r="N16" s="10"/>
      <c r="O16" s="9"/>
      <c r="P16" s="10"/>
      <c r="Q16" s="9"/>
      <c r="R16" s="9"/>
      <c r="S16" s="9"/>
      <c r="T16" s="39"/>
    </row>
    <row r="17" spans="2:20" x14ac:dyDescent="0.25">
      <c r="B17" s="9">
        <v>10</v>
      </c>
      <c r="C17" s="40"/>
      <c r="D17" s="10"/>
      <c r="E17" s="10"/>
      <c r="F17" s="10"/>
      <c r="G17" s="9"/>
      <c r="H17" s="9"/>
      <c r="I17" s="9"/>
      <c r="J17" s="39"/>
      <c r="K17" s="9"/>
      <c r="L17" s="9">
        <v>10</v>
      </c>
      <c r="M17" s="40"/>
      <c r="N17" s="10"/>
      <c r="O17" s="10"/>
      <c r="P17" s="10"/>
      <c r="Q17" s="9"/>
      <c r="R17" s="9"/>
      <c r="S17" s="9"/>
      <c r="T17" s="39"/>
    </row>
    <row r="18" spans="2:20" x14ac:dyDescent="0.25">
      <c r="B18" s="9">
        <v>11</v>
      </c>
      <c r="C18" s="38"/>
      <c r="D18" s="10"/>
      <c r="E18" s="9"/>
      <c r="F18" s="10"/>
      <c r="G18" s="9"/>
      <c r="H18" s="9"/>
      <c r="I18" s="9"/>
      <c r="J18" s="39"/>
      <c r="K18" s="9"/>
      <c r="L18" s="9">
        <v>11</v>
      </c>
      <c r="M18" s="38"/>
      <c r="N18" s="10"/>
      <c r="O18" s="9"/>
      <c r="P18" s="10"/>
      <c r="Q18" s="9"/>
      <c r="R18" s="9"/>
      <c r="S18" s="9"/>
      <c r="T18" s="39"/>
    </row>
    <row r="19" spans="2:20" x14ac:dyDescent="0.25">
      <c r="B19" s="9">
        <v>12</v>
      </c>
      <c r="C19" s="38"/>
      <c r="D19" s="10"/>
      <c r="E19" s="9"/>
      <c r="F19" s="10"/>
      <c r="G19" s="9"/>
      <c r="H19" s="9"/>
      <c r="I19" s="9"/>
      <c r="J19" s="39"/>
      <c r="K19" s="9"/>
      <c r="L19" s="9">
        <v>12</v>
      </c>
      <c r="M19" s="38"/>
      <c r="N19" s="10"/>
      <c r="O19" s="9"/>
      <c r="P19" s="10"/>
      <c r="Q19" s="9"/>
      <c r="R19" s="9"/>
      <c r="S19" s="9"/>
      <c r="T19" s="39"/>
    </row>
    <row r="20" spans="2:20" x14ac:dyDescent="0.25">
      <c r="B20" s="9">
        <v>13</v>
      </c>
      <c r="C20" s="40"/>
      <c r="D20" s="10"/>
      <c r="E20" s="9"/>
      <c r="F20" s="10"/>
      <c r="G20" s="9"/>
      <c r="H20" s="9"/>
      <c r="I20" s="9"/>
      <c r="J20" s="39"/>
      <c r="K20" s="9"/>
      <c r="L20" s="9">
        <v>13</v>
      </c>
      <c r="M20" s="40"/>
      <c r="N20" s="10"/>
      <c r="O20" s="9"/>
      <c r="P20" s="10"/>
      <c r="Q20" s="9"/>
      <c r="R20" s="9"/>
      <c r="S20" s="9"/>
      <c r="T20" s="39"/>
    </row>
    <row r="21" spans="2:20" x14ac:dyDescent="0.25">
      <c r="B21" s="9">
        <v>14</v>
      </c>
      <c r="C21" s="38"/>
      <c r="D21" s="10"/>
      <c r="E21" s="9"/>
      <c r="F21" s="10"/>
      <c r="G21" s="9"/>
      <c r="H21" s="9"/>
      <c r="I21" s="9"/>
      <c r="J21" s="39"/>
      <c r="K21" s="9"/>
      <c r="L21" s="9">
        <v>14</v>
      </c>
      <c r="M21" s="38"/>
      <c r="N21" s="10"/>
      <c r="O21" s="9"/>
      <c r="P21" s="10"/>
      <c r="Q21" s="9"/>
      <c r="R21" s="9"/>
      <c r="S21" s="9"/>
      <c r="T21" s="39"/>
    </row>
    <row r="22" spans="2:20" x14ac:dyDescent="0.25">
      <c r="B22" s="9">
        <v>15</v>
      </c>
      <c r="C22" s="38"/>
      <c r="D22" s="10"/>
      <c r="E22" s="9"/>
      <c r="F22" s="10"/>
      <c r="G22" s="9"/>
      <c r="H22" s="9"/>
      <c r="I22" s="9"/>
      <c r="J22" s="39"/>
      <c r="K22" s="9"/>
      <c r="L22" s="9">
        <v>15</v>
      </c>
      <c r="M22" s="38"/>
      <c r="N22" s="10"/>
      <c r="O22" s="9"/>
      <c r="P22" s="10"/>
      <c r="Q22" s="9"/>
      <c r="R22" s="9"/>
      <c r="S22" s="9"/>
      <c r="T22" s="39"/>
    </row>
    <row r="23" spans="2:20" x14ac:dyDescent="0.25">
      <c r="B23" s="9">
        <v>16</v>
      </c>
      <c r="C23" s="38"/>
      <c r="D23" s="10"/>
      <c r="E23" s="9"/>
      <c r="F23" s="10"/>
      <c r="G23" s="9"/>
      <c r="H23" s="9"/>
      <c r="I23" s="9"/>
      <c r="J23" s="39"/>
      <c r="K23" s="9"/>
      <c r="L23" s="9">
        <v>16</v>
      </c>
      <c r="M23" s="38"/>
      <c r="N23" s="10"/>
      <c r="O23" s="9"/>
      <c r="P23" s="10"/>
      <c r="Q23" s="9"/>
      <c r="R23" s="9"/>
      <c r="S23" s="9"/>
      <c r="T23" s="39"/>
    </row>
    <row r="24" spans="2:20" x14ac:dyDescent="0.25">
      <c r="B24" s="9">
        <v>17</v>
      </c>
      <c r="C24" s="40"/>
      <c r="D24" s="10"/>
      <c r="E24" s="10"/>
      <c r="F24" s="10"/>
      <c r="G24" s="9"/>
      <c r="H24" s="9"/>
      <c r="I24" s="9"/>
      <c r="J24" s="39"/>
      <c r="K24" s="9"/>
      <c r="L24" s="9">
        <v>17</v>
      </c>
      <c r="M24" s="40"/>
      <c r="N24" s="10"/>
      <c r="O24" s="10"/>
      <c r="P24" s="10"/>
      <c r="Q24" s="9"/>
      <c r="R24" s="9"/>
      <c r="S24" s="9"/>
      <c r="T24" s="39"/>
    </row>
    <row r="25" spans="2:20" x14ac:dyDescent="0.25">
      <c r="B25" s="9">
        <v>18</v>
      </c>
      <c r="C25" s="40"/>
      <c r="D25" s="10"/>
      <c r="E25" s="9"/>
      <c r="F25" s="10"/>
      <c r="G25" s="9"/>
      <c r="H25" s="9"/>
      <c r="I25" s="9"/>
      <c r="J25" s="39"/>
      <c r="K25" s="9"/>
      <c r="L25" s="9">
        <v>18</v>
      </c>
      <c r="M25" s="40"/>
      <c r="N25" s="10"/>
      <c r="O25" s="9"/>
      <c r="P25" s="10"/>
      <c r="Q25" s="9"/>
      <c r="R25" s="9"/>
      <c r="S25" s="9"/>
      <c r="T25" s="39"/>
    </row>
    <row r="26" spans="2:20" x14ac:dyDescent="0.25">
      <c r="B26" s="9">
        <v>19</v>
      </c>
      <c r="C26" s="40"/>
      <c r="D26" s="10"/>
      <c r="E26" s="9"/>
      <c r="F26" s="10"/>
      <c r="G26" s="9"/>
      <c r="H26" s="9"/>
      <c r="I26" s="9"/>
      <c r="J26" s="39"/>
      <c r="K26" s="9"/>
      <c r="L26" s="9">
        <v>19</v>
      </c>
      <c r="M26" s="40"/>
      <c r="N26" s="10"/>
      <c r="O26" s="9"/>
      <c r="P26" s="10"/>
      <c r="Q26" s="9"/>
      <c r="R26" s="9"/>
      <c r="S26" s="9"/>
      <c r="T26" s="39"/>
    </row>
    <row r="27" spans="2:20" x14ac:dyDescent="0.25">
      <c r="B27" s="9">
        <v>20</v>
      </c>
      <c r="C27" s="40"/>
      <c r="D27" s="10"/>
      <c r="E27" s="9"/>
      <c r="F27" s="9"/>
      <c r="G27" s="9"/>
      <c r="H27" s="9"/>
      <c r="I27" s="9"/>
      <c r="J27" s="39"/>
      <c r="K27" s="9"/>
      <c r="L27" s="9">
        <v>20</v>
      </c>
      <c r="M27" s="40"/>
      <c r="N27" s="10"/>
      <c r="O27" s="9"/>
      <c r="P27" s="9"/>
      <c r="Q27" s="9"/>
      <c r="R27" s="9"/>
      <c r="S27" s="9"/>
      <c r="T27" s="39"/>
    </row>
    <row r="28" spans="2:20" x14ac:dyDescent="0.25">
      <c r="B28" s="9">
        <v>21</v>
      </c>
      <c r="C28" s="40"/>
      <c r="D28" s="10"/>
      <c r="E28" s="9"/>
      <c r="F28" s="10"/>
      <c r="G28" s="9"/>
      <c r="H28" s="9"/>
      <c r="I28" s="9"/>
      <c r="J28" s="39"/>
      <c r="K28" s="9"/>
      <c r="L28" s="9">
        <v>21</v>
      </c>
      <c r="M28" s="40"/>
      <c r="N28" s="10"/>
      <c r="O28" s="9"/>
      <c r="P28" s="10"/>
      <c r="Q28" s="9"/>
      <c r="R28" s="9"/>
      <c r="S28" s="9"/>
      <c r="T28" s="39"/>
    </row>
    <row r="29" spans="2:20" x14ac:dyDescent="0.25">
      <c r="B29" s="9">
        <v>22</v>
      </c>
      <c r="C29" s="38"/>
      <c r="D29" s="10"/>
      <c r="E29" s="9"/>
      <c r="F29" s="10"/>
      <c r="G29" s="9"/>
      <c r="H29" s="9"/>
      <c r="I29" s="9"/>
      <c r="J29" s="39"/>
      <c r="K29" s="9"/>
      <c r="L29" s="9">
        <v>22</v>
      </c>
      <c r="M29" s="38"/>
      <c r="N29" s="10"/>
      <c r="O29" s="9"/>
      <c r="P29" s="10"/>
      <c r="Q29" s="9"/>
      <c r="R29" s="9"/>
      <c r="S29" s="9"/>
      <c r="T29" s="39"/>
    </row>
    <row r="30" spans="2:20" x14ac:dyDescent="0.25">
      <c r="B30" s="9">
        <v>23</v>
      </c>
      <c r="C30" s="38"/>
      <c r="D30" s="10"/>
      <c r="E30" s="9"/>
      <c r="F30" s="10"/>
      <c r="G30" s="9"/>
      <c r="H30" s="9"/>
      <c r="I30" s="9"/>
      <c r="J30" s="39"/>
      <c r="K30" s="9"/>
      <c r="L30" s="9">
        <v>23</v>
      </c>
      <c r="M30" s="38"/>
      <c r="N30" s="10"/>
      <c r="O30" s="9"/>
      <c r="P30" s="10"/>
      <c r="Q30" s="9"/>
      <c r="R30" s="9"/>
      <c r="S30" s="9"/>
      <c r="T30" s="39"/>
    </row>
    <row r="31" spans="2:20" x14ac:dyDescent="0.25">
      <c r="B31" s="9">
        <v>24</v>
      </c>
      <c r="C31" s="40"/>
      <c r="D31" s="10"/>
      <c r="E31" s="10"/>
      <c r="F31" s="10"/>
      <c r="G31" s="9"/>
      <c r="H31" s="9"/>
      <c r="I31" s="9"/>
      <c r="J31" s="39"/>
      <c r="K31" s="9"/>
      <c r="L31" s="9">
        <v>24</v>
      </c>
      <c r="M31" s="40"/>
      <c r="N31" s="10"/>
      <c r="O31" s="10"/>
      <c r="P31" s="10"/>
      <c r="Q31" s="9"/>
      <c r="R31" s="9"/>
      <c r="S31" s="9"/>
      <c r="T31" s="39"/>
    </row>
    <row r="32" spans="2:20" x14ac:dyDescent="0.25">
      <c r="B32" s="9">
        <v>25</v>
      </c>
      <c r="C32" s="40"/>
      <c r="D32" s="10"/>
      <c r="E32" s="9"/>
      <c r="F32" s="10"/>
      <c r="G32" s="9"/>
      <c r="H32" s="9"/>
      <c r="I32" s="9"/>
      <c r="J32" s="39"/>
      <c r="K32" s="9"/>
      <c r="L32" s="9">
        <v>25</v>
      </c>
      <c r="M32" s="40"/>
      <c r="N32" s="10"/>
      <c r="O32" s="9"/>
      <c r="P32" s="10"/>
      <c r="Q32" s="9"/>
      <c r="R32" s="9"/>
      <c r="S32" s="9"/>
      <c r="T32" s="39"/>
    </row>
    <row r="33" spans="2:20" x14ac:dyDescent="0.25">
      <c r="B33" s="9">
        <v>26</v>
      </c>
      <c r="C33" s="40"/>
      <c r="D33" s="10"/>
      <c r="E33" s="9"/>
      <c r="F33" s="10"/>
      <c r="G33" s="9"/>
      <c r="H33" s="9"/>
      <c r="I33" s="9"/>
      <c r="J33" s="39"/>
      <c r="K33" s="9"/>
      <c r="L33" s="9">
        <v>26</v>
      </c>
      <c r="M33" s="40"/>
      <c r="N33" s="10"/>
      <c r="O33" s="9"/>
      <c r="P33" s="10"/>
      <c r="Q33" s="9"/>
      <c r="R33" s="9"/>
      <c r="S33" s="9"/>
      <c r="T33" s="39"/>
    </row>
    <row r="34" spans="2:20" x14ac:dyDescent="0.25">
      <c r="B34" s="9">
        <v>27</v>
      </c>
      <c r="C34" s="40"/>
      <c r="D34" s="10"/>
      <c r="E34" s="9"/>
      <c r="F34" s="10"/>
      <c r="G34" s="9"/>
      <c r="H34" s="9"/>
      <c r="I34" s="9"/>
      <c r="J34" s="39"/>
      <c r="K34" s="9"/>
      <c r="L34" s="9">
        <v>27</v>
      </c>
      <c r="M34" s="40"/>
      <c r="N34" s="10"/>
      <c r="O34" s="9"/>
      <c r="P34" s="10"/>
      <c r="Q34" s="9"/>
      <c r="R34" s="9"/>
      <c r="S34" s="9"/>
      <c r="T34" s="39"/>
    </row>
    <row r="35" spans="2:20" x14ac:dyDescent="0.25">
      <c r="B35" s="9">
        <v>28</v>
      </c>
      <c r="C35" s="38"/>
      <c r="D35" s="10"/>
      <c r="E35" s="9"/>
      <c r="F35" s="10"/>
      <c r="G35" s="9"/>
      <c r="H35" s="9"/>
      <c r="I35" s="9"/>
      <c r="J35" s="39"/>
      <c r="K35" s="9"/>
      <c r="L35" s="9">
        <v>28</v>
      </c>
      <c r="M35" s="38"/>
      <c r="N35" s="10"/>
      <c r="O35" s="9"/>
      <c r="P35" s="10"/>
      <c r="Q35" s="9"/>
      <c r="R35" s="9"/>
      <c r="S35" s="9"/>
      <c r="T35" s="39"/>
    </row>
    <row r="36" spans="2:20" x14ac:dyDescent="0.25">
      <c r="B36" s="9">
        <v>29</v>
      </c>
      <c r="C36" s="40"/>
      <c r="D36" s="10"/>
      <c r="E36" s="9"/>
      <c r="F36" s="10"/>
      <c r="G36" s="9"/>
      <c r="H36" s="9"/>
      <c r="I36" s="9"/>
      <c r="J36" s="39"/>
      <c r="K36" s="9"/>
      <c r="L36" s="9">
        <v>29</v>
      </c>
      <c r="M36" s="40"/>
      <c r="N36" s="10"/>
      <c r="O36" s="9"/>
      <c r="P36" s="10"/>
      <c r="Q36" s="9"/>
      <c r="R36" s="9"/>
      <c r="S36" s="9"/>
      <c r="T36" s="39"/>
    </row>
    <row r="37" spans="2:20" x14ac:dyDescent="0.25">
      <c r="B37" s="9">
        <v>30</v>
      </c>
      <c r="C37" s="38"/>
      <c r="D37" s="10"/>
      <c r="E37" s="9"/>
      <c r="F37" s="10"/>
      <c r="G37" s="9"/>
      <c r="H37" s="9"/>
      <c r="I37" s="9"/>
      <c r="J37" s="39"/>
      <c r="K37" s="9"/>
      <c r="L37" s="9">
        <v>30</v>
      </c>
      <c r="M37" s="38"/>
      <c r="N37" s="10"/>
      <c r="O37" s="9"/>
      <c r="P37" s="10"/>
      <c r="Q37" s="9"/>
      <c r="R37" s="9"/>
      <c r="S37" s="9"/>
      <c r="T37" s="39"/>
    </row>
    <row r="38" spans="2:20" x14ac:dyDescent="0.25">
      <c r="B38" s="9">
        <v>31</v>
      </c>
      <c r="C38" s="41"/>
      <c r="D38" s="42"/>
      <c r="E38" s="42"/>
      <c r="F38" s="42"/>
      <c r="G38" s="43"/>
      <c r="H38" s="43"/>
      <c r="I38" s="43"/>
      <c r="J38" s="44"/>
      <c r="K38" s="9"/>
      <c r="L38" s="9">
        <v>31</v>
      </c>
      <c r="M38" s="41"/>
      <c r="N38" s="42"/>
      <c r="O38" s="42"/>
      <c r="P38" s="42"/>
      <c r="Q38" s="43"/>
      <c r="R38" s="43"/>
      <c r="S38" s="43"/>
      <c r="T38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Output --&gt;</vt:lpstr>
      <vt:lpstr>Sales_CW</vt:lpstr>
      <vt:lpstr>Sales_NP</vt:lpstr>
      <vt:lpstr>Working Sheets --&gt;</vt:lpstr>
      <vt:lpstr>Sales_CW_Working</vt:lpstr>
      <vt:lpstr>Sales_NP_Working</vt:lpstr>
      <vt:lpstr>Raw Data --&gt;</vt:lpstr>
      <vt:lpstr>Sales Report_CW</vt:lpstr>
      <vt:lpstr>Sales Report_NP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Celine Wang</dc:creator>
  <cp:lastModifiedBy>Celine Wang</cp:lastModifiedBy>
  <dcterms:created xsi:type="dcterms:W3CDTF">2025-11-21T09:43:02Z</dcterms:created>
  <dcterms:modified xsi:type="dcterms:W3CDTF">2026-01-14T09:14:31Z</dcterms:modified>
</cp:coreProperties>
</file>